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defaultThemeVersion="124226"/>
  <mc:AlternateContent xmlns:mc="http://schemas.openxmlformats.org/markup-compatibility/2006">
    <mc:Choice Requires="x15">
      <x15ac:absPath xmlns:x15ac="http://schemas.microsoft.com/office/spreadsheetml/2010/11/ac" url="D:\ngc\test\模版\"/>
    </mc:Choice>
  </mc:AlternateContent>
  <xr:revisionPtr revIDLastSave="0" documentId="13_ncr:1_{767BEDBC-E4AE-4231-9FE1-EC0B8524914F}" xr6:coauthVersionLast="47" xr6:coauthVersionMax="47" xr10:uidLastSave="{00000000-0000-0000-0000-000000000000}"/>
  <bookViews>
    <workbookView xWindow="28680" yWindow="-120" windowWidth="29040" windowHeight="15720" tabRatio="892" activeTab="3" xr2:uid="{00000000-000D-0000-FFFF-FFFF00000000}"/>
  </bookViews>
  <sheets>
    <sheet name="改版履歴" sheetId="118" r:id="rId1"/>
    <sheet name="【サンプル】概要欄に結合条件記載パターン" sheetId="119" state="hidden" r:id="rId2"/>
    <sheet name="【サンプル】備考欄に結合条件を記載パターン" sheetId="132" r:id="rId3"/>
    <sheet name="【サンプル】UNION ALLを使用したパターン" sheetId="133" r:id="rId4"/>
    <sheet name="【サンプル】カード受注ヘッダ_受注_個別CSV用" sheetId="121" state="hidden" r:id="rId5"/>
    <sheet name="【サンプル】カード受注ヘッダ_受注_一覧表示用_old" sheetId="131" state="hidden" r:id="rId6"/>
    <sheet name="カード受注ヘッダ_受注_一覧表示用" sheetId="129" state="hidden" r:id="rId7"/>
    <sheet name="カード受注ヘッダ_受注_個別CSV用" sheetId="130" state="hidden" r:id="rId8"/>
    <sheet name="カード受注ヘッダ_CKU010S01B02_ヘッダ表示用" sheetId="126" state="hidden" r:id="rId9"/>
    <sheet name="カード受注明細_CKU010S01B02_明細表示用" sheetId="127" state="hidden" r:id="rId10"/>
    <sheet name="カード受注ヘッダ_CKU010S01B02_チェック用" sheetId="128" state="hidden" r:id="rId11"/>
    <sheet name="ホールマスタ_CKU010D02B01_一覧表示用" sheetId="125" state="hidden" r:id="rId12"/>
    <sheet name="フォーマット" sheetId="120" r:id="rId13"/>
  </sheets>
  <externalReferences>
    <externalReference r:id="rId14"/>
    <externalReference r:id="rId15"/>
    <externalReference r:id="rId16"/>
    <externalReference r:id="rId17"/>
    <externalReference r:id="rId18"/>
    <externalReference r:id="rId19"/>
  </externalReferences>
  <definedNames>
    <definedName name="____a6" localSheetId="3" hidden="1">{"'一覧'!$A$1:$M$28"}</definedName>
    <definedName name="____a6" localSheetId="5" hidden="1">{"'一覧'!$A$1:$M$28"}</definedName>
    <definedName name="____a6" localSheetId="4" hidden="1">{"'一覧'!$A$1:$M$28"}</definedName>
    <definedName name="____a6" localSheetId="2" hidden="1">{"'一覧'!$A$1:$M$28"}</definedName>
    <definedName name="____a6" localSheetId="10" hidden="1">{"'一覧'!$A$1:$M$28"}</definedName>
    <definedName name="____a6" localSheetId="8" hidden="1">{"'一覧'!$A$1:$M$28"}</definedName>
    <definedName name="____a6" localSheetId="7" hidden="1">{"'一覧'!$A$1:$M$28"}</definedName>
    <definedName name="____a6" localSheetId="9" hidden="1">{"'一覧'!$A$1:$M$28"}</definedName>
    <definedName name="____a6" localSheetId="12" hidden="1">{"'一覧'!$A$1:$M$28"}</definedName>
    <definedName name="____a6" localSheetId="11" hidden="1">{"'一覧'!$A$1:$M$28"}</definedName>
    <definedName name="____a6" localSheetId="0" hidden="1">{"'一覧'!$A$1:$M$28"}</definedName>
    <definedName name="____a6" hidden="1">{"'一覧'!$A$1:$M$28"}</definedName>
    <definedName name="____a6_1" localSheetId="3" hidden="1">{"'一覧'!$A$1:$M$28"}</definedName>
    <definedName name="____a6_1" localSheetId="5" hidden="1">{"'一覧'!$A$1:$M$28"}</definedName>
    <definedName name="____a6_1" localSheetId="4" hidden="1">{"'一覧'!$A$1:$M$28"}</definedName>
    <definedName name="____a6_1" localSheetId="2" hidden="1">{"'一覧'!$A$1:$M$28"}</definedName>
    <definedName name="____a6_1" localSheetId="10" hidden="1">{"'一覧'!$A$1:$M$28"}</definedName>
    <definedName name="____a6_1" localSheetId="8" hidden="1">{"'一覧'!$A$1:$M$28"}</definedName>
    <definedName name="____a6_1" localSheetId="7" hidden="1">{"'一覧'!$A$1:$M$28"}</definedName>
    <definedName name="____a6_1" localSheetId="9" hidden="1">{"'一覧'!$A$1:$M$28"}</definedName>
    <definedName name="____a6_1" localSheetId="12" hidden="1">{"'一覧'!$A$1:$M$28"}</definedName>
    <definedName name="____a6_1" localSheetId="11" hidden="1">{"'一覧'!$A$1:$M$28"}</definedName>
    <definedName name="____a6_1" localSheetId="0" hidden="1">{"'一覧'!$A$1:$M$28"}</definedName>
    <definedName name="____a6_1" hidden="1">{"'一覧'!$A$1:$M$28"}</definedName>
    <definedName name="____b1" localSheetId="3" hidden="1">{"'一覧'!$A$1:$M$28"}</definedName>
    <definedName name="____b1" localSheetId="5" hidden="1">{"'一覧'!$A$1:$M$28"}</definedName>
    <definedName name="____b1" localSheetId="4" hidden="1">{"'一覧'!$A$1:$M$28"}</definedName>
    <definedName name="____b1" localSheetId="2" hidden="1">{"'一覧'!$A$1:$M$28"}</definedName>
    <definedName name="____b1" localSheetId="10" hidden="1">{"'一覧'!$A$1:$M$28"}</definedName>
    <definedName name="____b1" localSheetId="8" hidden="1">{"'一覧'!$A$1:$M$28"}</definedName>
    <definedName name="____b1" localSheetId="7" hidden="1">{"'一覧'!$A$1:$M$28"}</definedName>
    <definedName name="____b1" localSheetId="9" hidden="1">{"'一覧'!$A$1:$M$28"}</definedName>
    <definedName name="____b1" localSheetId="12" hidden="1">{"'一覧'!$A$1:$M$28"}</definedName>
    <definedName name="____b1" localSheetId="11" hidden="1">{"'一覧'!$A$1:$M$28"}</definedName>
    <definedName name="____b1" localSheetId="0" hidden="1">{"'一覧'!$A$1:$M$28"}</definedName>
    <definedName name="____b1" hidden="1">{"'一覧'!$A$1:$M$28"}</definedName>
    <definedName name="____b1_1" localSheetId="3" hidden="1">{"'一覧'!$A$1:$M$28"}</definedName>
    <definedName name="____b1_1" localSheetId="5" hidden="1">{"'一覧'!$A$1:$M$28"}</definedName>
    <definedName name="____b1_1" localSheetId="4" hidden="1">{"'一覧'!$A$1:$M$28"}</definedName>
    <definedName name="____b1_1" localSheetId="2" hidden="1">{"'一覧'!$A$1:$M$28"}</definedName>
    <definedName name="____b1_1" localSheetId="10" hidden="1">{"'一覧'!$A$1:$M$28"}</definedName>
    <definedName name="____b1_1" localSheetId="8" hidden="1">{"'一覧'!$A$1:$M$28"}</definedName>
    <definedName name="____b1_1" localSheetId="7" hidden="1">{"'一覧'!$A$1:$M$28"}</definedName>
    <definedName name="____b1_1" localSheetId="9" hidden="1">{"'一覧'!$A$1:$M$28"}</definedName>
    <definedName name="____b1_1" localSheetId="12" hidden="1">{"'一覧'!$A$1:$M$28"}</definedName>
    <definedName name="____b1_1" localSheetId="11" hidden="1">{"'一覧'!$A$1:$M$28"}</definedName>
    <definedName name="____b1_1" localSheetId="0" hidden="1">{"'一覧'!$A$1:$M$28"}</definedName>
    <definedName name="____b1_1" hidden="1">{"'一覧'!$A$1:$M$28"}</definedName>
    <definedName name="____q1" localSheetId="3" hidden="1">{"'一覧'!$A$1:$M$28"}</definedName>
    <definedName name="____q1" localSheetId="5" hidden="1">{"'一覧'!$A$1:$M$28"}</definedName>
    <definedName name="____q1" localSheetId="4" hidden="1">{"'一覧'!$A$1:$M$28"}</definedName>
    <definedName name="____q1" localSheetId="2" hidden="1">{"'一覧'!$A$1:$M$28"}</definedName>
    <definedName name="____q1" localSheetId="10" hidden="1">{"'一覧'!$A$1:$M$28"}</definedName>
    <definedName name="____q1" localSheetId="8" hidden="1">{"'一覧'!$A$1:$M$28"}</definedName>
    <definedName name="____q1" localSheetId="7" hidden="1">{"'一覧'!$A$1:$M$28"}</definedName>
    <definedName name="____q1" localSheetId="9" hidden="1">{"'一覧'!$A$1:$M$28"}</definedName>
    <definedName name="____q1" localSheetId="12" hidden="1">{"'一覧'!$A$1:$M$28"}</definedName>
    <definedName name="____q1" localSheetId="11" hidden="1">{"'一覧'!$A$1:$M$28"}</definedName>
    <definedName name="____q1" localSheetId="0" hidden="1">{"'一覧'!$A$1:$M$28"}</definedName>
    <definedName name="____q1" hidden="1">{"'一覧'!$A$1:$M$28"}</definedName>
    <definedName name="____q1_1" localSheetId="3" hidden="1">{"'一覧'!$A$1:$M$28"}</definedName>
    <definedName name="____q1_1" localSheetId="5" hidden="1">{"'一覧'!$A$1:$M$28"}</definedName>
    <definedName name="____q1_1" localSheetId="4" hidden="1">{"'一覧'!$A$1:$M$28"}</definedName>
    <definedName name="____q1_1" localSheetId="2" hidden="1">{"'一覧'!$A$1:$M$28"}</definedName>
    <definedName name="____q1_1" localSheetId="10" hidden="1">{"'一覧'!$A$1:$M$28"}</definedName>
    <definedName name="____q1_1" localSheetId="8" hidden="1">{"'一覧'!$A$1:$M$28"}</definedName>
    <definedName name="____q1_1" localSheetId="7" hidden="1">{"'一覧'!$A$1:$M$28"}</definedName>
    <definedName name="____q1_1" localSheetId="9" hidden="1">{"'一覧'!$A$1:$M$28"}</definedName>
    <definedName name="____q1_1" localSheetId="12" hidden="1">{"'一覧'!$A$1:$M$28"}</definedName>
    <definedName name="____q1_1" localSheetId="11" hidden="1">{"'一覧'!$A$1:$M$28"}</definedName>
    <definedName name="____q1_1" localSheetId="0" hidden="1">{"'一覧'!$A$1:$M$28"}</definedName>
    <definedName name="____q1_1" hidden="1">{"'一覧'!$A$1:$M$28"}</definedName>
    <definedName name="____q3" localSheetId="3" hidden="1">{"'一覧'!$A$1:$M$28"}</definedName>
    <definedName name="____q3" localSheetId="5" hidden="1">{"'一覧'!$A$1:$M$28"}</definedName>
    <definedName name="____q3" localSheetId="4" hidden="1">{"'一覧'!$A$1:$M$28"}</definedName>
    <definedName name="____q3" localSheetId="2" hidden="1">{"'一覧'!$A$1:$M$28"}</definedName>
    <definedName name="____q3" localSheetId="10" hidden="1">{"'一覧'!$A$1:$M$28"}</definedName>
    <definedName name="____q3" localSheetId="8" hidden="1">{"'一覧'!$A$1:$M$28"}</definedName>
    <definedName name="____q3" localSheetId="7" hidden="1">{"'一覧'!$A$1:$M$28"}</definedName>
    <definedName name="____q3" localSheetId="9" hidden="1">{"'一覧'!$A$1:$M$28"}</definedName>
    <definedName name="____q3" localSheetId="12" hidden="1">{"'一覧'!$A$1:$M$28"}</definedName>
    <definedName name="____q3" localSheetId="11" hidden="1">{"'一覧'!$A$1:$M$28"}</definedName>
    <definedName name="____q3" localSheetId="0" hidden="1">{"'一覧'!$A$1:$M$28"}</definedName>
    <definedName name="____q3" hidden="1">{"'一覧'!$A$1:$M$28"}</definedName>
    <definedName name="____q3_1" localSheetId="3" hidden="1">{"'一覧'!$A$1:$M$28"}</definedName>
    <definedName name="____q3_1" localSheetId="5" hidden="1">{"'一覧'!$A$1:$M$28"}</definedName>
    <definedName name="____q3_1" localSheetId="4" hidden="1">{"'一覧'!$A$1:$M$28"}</definedName>
    <definedName name="____q3_1" localSheetId="2" hidden="1">{"'一覧'!$A$1:$M$28"}</definedName>
    <definedName name="____q3_1" localSheetId="10" hidden="1">{"'一覧'!$A$1:$M$28"}</definedName>
    <definedName name="____q3_1" localSheetId="8" hidden="1">{"'一覧'!$A$1:$M$28"}</definedName>
    <definedName name="____q3_1" localSheetId="7" hidden="1">{"'一覧'!$A$1:$M$28"}</definedName>
    <definedName name="____q3_1" localSheetId="9" hidden="1">{"'一覧'!$A$1:$M$28"}</definedName>
    <definedName name="____q3_1" localSheetId="12" hidden="1">{"'一覧'!$A$1:$M$28"}</definedName>
    <definedName name="____q3_1" localSheetId="11" hidden="1">{"'一覧'!$A$1:$M$28"}</definedName>
    <definedName name="____q3_1" localSheetId="0" hidden="1">{"'一覧'!$A$1:$M$28"}</definedName>
    <definedName name="____q3_1" hidden="1">{"'一覧'!$A$1:$M$28"}</definedName>
    <definedName name="____q4" localSheetId="3" hidden="1">{"'一覧'!$A$1:$M$28"}</definedName>
    <definedName name="____q4" localSheetId="5" hidden="1">{"'一覧'!$A$1:$M$28"}</definedName>
    <definedName name="____q4" localSheetId="4" hidden="1">{"'一覧'!$A$1:$M$28"}</definedName>
    <definedName name="____q4" localSheetId="2" hidden="1">{"'一覧'!$A$1:$M$28"}</definedName>
    <definedName name="____q4" localSheetId="10" hidden="1">{"'一覧'!$A$1:$M$28"}</definedName>
    <definedName name="____q4" localSheetId="8" hidden="1">{"'一覧'!$A$1:$M$28"}</definedName>
    <definedName name="____q4" localSheetId="7" hidden="1">{"'一覧'!$A$1:$M$28"}</definedName>
    <definedName name="____q4" localSheetId="9" hidden="1">{"'一覧'!$A$1:$M$28"}</definedName>
    <definedName name="____q4" localSheetId="12" hidden="1">{"'一覧'!$A$1:$M$28"}</definedName>
    <definedName name="____q4" localSheetId="11" hidden="1">{"'一覧'!$A$1:$M$28"}</definedName>
    <definedName name="____q4" localSheetId="0" hidden="1">{"'一覧'!$A$1:$M$28"}</definedName>
    <definedName name="____q4" hidden="1">{"'一覧'!$A$1:$M$28"}</definedName>
    <definedName name="____q4_1" localSheetId="3" hidden="1">{"'一覧'!$A$1:$M$28"}</definedName>
    <definedName name="____q4_1" localSheetId="5" hidden="1">{"'一覧'!$A$1:$M$28"}</definedName>
    <definedName name="____q4_1" localSheetId="4" hidden="1">{"'一覧'!$A$1:$M$28"}</definedName>
    <definedName name="____q4_1" localSheetId="2" hidden="1">{"'一覧'!$A$1:$M$28"}</definedName>
    <definedName name="____q4_1" localSheetId="10" hidden="1">{"'一覧'!$A$1:$M$28"}</definedName>
    <definedName name="____q4_1" localSheetId="8" hidden="1">{"'一覧'!$A$1:$M$28"}</definedName>
    <definedName name="____q4_1" localSheetId="7" hidden="1">{"'一覧'!$A$1:$M$28"}</definedName>
    <definedName name="____q4_1" localSheetId="9" hidden="1">{"'一覧'!$A$1:$M$28"}</definedName>
    <definedName name="____q4_1" localSheetId="12" hidden="1">{"'一覧'!$A$1:$M$28"}</definedName>
    <definedName name="____q4_1" localSheetId="11" hidden="1">{"'一覧'!$A$1:$M$28"}</definedName>
    <definedName name="____q4_1" localSheetId="0" hidden="1">{"'一覧'!$A$1:$M$28"}</definedName>
    <definedName name="____q4_1" hidden="1">{"'一覧'!$A$1:$M$28"}</definedName>
    <definedName name="____q5" localSheetId="3" hidden="1">{"'一覧'!$A$1:$M$28"}</definedName>
    <definedName name="____q5" localSheetId="5" hidden="1">{"'一覧'!$A$1:$M$28"}</definedName>
    <definedName name="____q5" localSheetId="4" hidden="1">{"'一覧'!$A$1:$M$28"}</definedName>
    <definedName name="____q5" localSheetId="2" hidden="1">{"'一覧'!$A$1:$M$28"}</definedName>
    <definedName name="____q5" localSheetId="10" hidden="1">{"'一覧'!$A$1:$M$28"}</definedName>
    <definedName name="____q5" localSheetId="8" hidden="1">{"'一覧'!$A$1:$M$28"}</definedName>
    <definedName name="____q5" localSheetId="7" hidden="1">{"'一覧'!$A$1:$M$28"}</definedName>
    <definedName name="____q5" localSheetId="9" hidden="1">{"'一覧'!$A$1:$M$28"}</definedName>
    <definedName name="____q5" localSheetId="12" hidden="1">{"'一覧'!$A$1:$M$28"}</definedName>
    <definedName name="____q5" localSheetId="11" hidden="1">{"'一覧'!$A$1:$M$28"}</definedName>
    <definedName name="____q5" localSheetId="0" hidden="1">{"'一覧'!$A$1:$M$28"}</definedName>
    <definedName name="____q5" hidden="1">{"'一覧'!$A$1:$M$28"}</definedName>
    <definedName name="____q5_1" localSheetId="3" hidden="1">{"'一覧'!$A$1:$M$28"}</definedName>
    <definedName name="____q5_1" localSheetId="5" hidden="1">{"'一覧'!$A$1:$M$28"}</definedName>
    <definedName name="____q5_1" localSheetId="4" hidden="1">{"'一覧'!$A$1:$M$28"}</definedName>
    <definedName name="____q5_1" localSheetId="2" hidden="1">{"'一覧'!$A$1:$M$28"}</definedName>
    <definedName name="____q5_1" localSheetId="10" hidden="1">{"'一覧'!$A$1:$M$28"}</definedName>
    <definedName name="____q5_1" localSheetId="8" hidden="1">{"'一覧'!$A$1:$M$28"}</definedName>
    <definedName name="____q5_1" localSheetId="7" hidden="1">{"'一覧'!$A$1:$M$28"}</definedName>
    <definedName name="____q5_1" localSheetId="9" hidden="1">{"'一覧'!$A$1:$M$28"}</definedName>
    <definedName name="____q5_1" localSheetId="12" hidden="1">{"'一覧'!$A$1:$M$28"}</definedName>
    <definedName name="____q5_1" localSheetId="11" hidden="1">{"'一覧'!$A$1:$M$28"}</definedName>
    <definedName name="____q5_1" localSheetId="0" hidden="1">{"'一覧'!$A$1:$M$28"}</definedName>
    <definedName name="____q5_1" hidden="1">{"'一覧'!$A$1:$M$28"}</definedName>
    <definedName name="___a6" localSheetId="3" hidden="1">{"'一覧'!$A$1:$M$28"}</definedName>
    <definedName name="___a6" localSheetId="5" hidden="1">{"'一覧'!$A$1:$M$28"}</definedName>
    <definedName name="___a6" localSheetId="4" hidden="1">{"'一覧'!$A$1:$M$28"}</definedName>
    <definedName name="___a6" localSheetId="2" hidden="1">{"'一覧'!$A$1:$M$28"}</definedName>
    <definedName name="___a6" localSheetId="10" hidden="1">{"'一覧'!$A$1:$M$28"}</definedName>
    <definedName name="___a6" localSheetId="8" hidden="1">{"'一覧'!$A$1:$M$28"}</definedName>
    <definedName name="___a6" localSheetId="7" hidden="1">{"'一覧'!$A$1:$M$28"}</definedName>
    <definedName name="___a6" localSheetId="9" hidden="1">{"'一覧'!$A$1:$M$28"}</definedName>
    <definedName name="___a6" localSheetId="12" hidden="1">{"'一覧'!$A$1:$M$28"}</definedName>
    <definedName name="___a6" localSheetId="11" hidden="1">{"'一覧'!$A$1:$M$28"}</definedName>
    <definedName name="___a6" localSheetId="0" hidden="1">{"'一覧'!$A$1:$M$28"}</definedName>
    <definedName name="___a6" hidden="1">{"'一覧'!$A$1:$M$28"}</definedName>
    <definedName name="___a6_1" localSheetId="3" hidden="1">{"'一覧'!$A$1:$M$28"}</definedName>
    <definedName name="___a6_1" localSheetId="5" hidden="1">{"'一覧'!$A$1:$M$28"}</definedName>
    <definedName name="___a6_1" localSheetId="4" hidden="1">{"'一覧'!$A$1:$M$28"}</definedName>
    <definedName name="___a6_1" localSheetId="2" hidden="1">{"'一覧'!$A$1:$M$28"}</definedName>
    <definedName name="___a6_1" localSheetId="10" hidden="1">{"'一覧'!$A$1:$M$28"}</definedName>
    <definedName name="___a6_1" localSheetId="8" hidden="1">{"'一覧'!$A$1:$M$28"}</definedName>
    <definedName name="___a6_1" localSheetId="7" hidden="1">{"'一覧'!$A$1:$M$28"}</definedName>
    <definedName name="___a6_1" localSheetId="9" hidden="1">{"'一覧'!$A$1:$M$28"}</definedName>
    <definedName name="___a6_1" localSheetId="12" hidden="1">{"'一覧'!$A$1:$M$28"}</definedName>
    <definedName name="___a6_1" localSheetId="11" hidden="1">{"'一覧'!$A$1:$M$28"}</definedName>
    <definedName name="___a6_1" localSheetId="0" hidden="1">{"'一覧'!$A$1:$M$28"}</definedName>
    <definedName name="___a6_1" hidden="1">{"'一覧'!$A$1:$M$28"}</definedName>
    <definedName name="___b1" localSheetId="3" hidden="1">{"'一覧'!$A$1:$M$28"}</definedName>
    <definedName name="___b1" localSheetId="5" hidden="1">{"'一覧'!$A$1:$M$28"}</definedName>
    <definedName name="___b1" localSheetId="4" hidden="1">{"'一覧'!$A$1:$M$28"}</definedName>
    <definedName name="___b1" localSheetId="2" hidden="1">{"'一覧'!$A$1:$M$28"}</definedName>
    <definedName name="___b1" localSheetId="10" hidden="1">{"'一覧'!$A$1:$M$28"}</definedName>
    <definedName name="___b1" localSheetId="8" hidden="1">{"'一覧'!$A$1:$M$28"}</definedName>
    <definedName name="___b1" localSheetId="7" hidden="1">{"'一覧'!$A$1:$M$28"}</definedName>
    <definedName name="___b1" localSheetId="9" hidden="1">{"'一覧'!$A$1:$M$28"}</definedName>
    <definedName name="___b1" localSheetId="12" hidden="1">{"'一覧'!$A$1:$M$28"}</definedName>
    <definedName name="___b1" localSheetId="11" hidden="1">{"'一覧'!$A$1:$M$28"}</definedName>
    <definedName name="___b1" localSheetId="0" hidden="1">{"'一覧'!$A$1:$M$28"}</definedName>
    <definedName name="___b1" hidden="1">{"'一覧'!$A$1:$M$28"}</definedName>
    <definedName name="___b1_1" localSheetId="3" hidden="1">{"'一覧'!$A$1:$M$28"}</definedName>
    <definedName name="___b1_1" localSheetId="5" hidden="1">{"'一覧'!$A$1:$M$28"}</definedName>
    <definedName name="___b1_1" localSheetId="4" hidden="1">{"'一覧'!$A$1:$M$28"}</definedName>
    <definedName name="___b1_1" localSheetId="2" hidden="1">{"'一覧'!$A$1:$M$28"}</definedName>
    <definedName name="___b1_1" localSheetId="10" hidden="1">{"'一覧'!$A$1:$M$28"}</definedName>
    <definedName name="___b1_1" localSheetId="8" hidden="1">{"'一覧'!$A$1:$M$28"}</definedName>
    <definedName name="___b1_1" localSheetId="7" hidden="1">{"'一覧'!$A$1:$M$28"}</definedName>
    <definedName name="___b1_1" localSheetId="9" hidden="1">{"'一覧'!$A$1:$M$28"}</definedName>
    <definedName name="___b1_1" localSheetId="12" hidden="1">{"'一覧'!$A$1:$M$28"}</definedName>
    <definedName name="___b1_1" localSheetId="11" hidden="1">{"'一覧'!$A$1:$M$28"}</definedName>
    <definedName name="___b1_1" localSheetId="0" hidden="1">{"'一覧'!$A$1:$M$28"}</definedName>
    <definedName name="___b1_1" hidden="1">{"'一覧'!$A$1:$M$28"}</definedName>
    <definedName name="___q1" localSheetId="3" hidden="1">{"'一覧'!$A$1:$M$28"}</definedName>
    <definedName name="___q1" localSheetId="5" hidden="1">{"'一覧'!$A$1:$M$28"}</definedName>
    <definedName name="___q1" localSheetId="4" hidden="1">{"'一覧'!$A$1:$M$28"}</definedName>
    <definedName name="___q1" localSheetId="2" hidden="1">{"'一覧'!$A$1:$M$28"}</definedName>
    <definedName name="___q1" localSheetId="10" hidden="1">{"'一覧'!$A$1:$M$28"}</definedName>
    <definedName name="___q1" localSheetId="8" hidden="1">{"'一覧'!$A$1:$M$28"}</definedName>
    <definedName name="___q1" localSheetId="7" hidden="1">{"'一覧'!$A$1:$M$28"}</definedName>
    <definedName name="___q1" localSheetId="9" hidden="1">{"'一覧'!$A$1:$M$28"}</definedName>
    <definedName name="___q1" localSheetId="12" hidden="1">{"'一覧'!$A$1:$M$28"}</definedName>
    <definedName name="___q1" localSheetId="11" hidden="1">{"'一覧'!$A$1:$M$28"}</definedName>
    <definedName name="___q1" localSheetId="0" hidden="1">{"'一覧'!$A$1:$M$28"}</definedName>
    <definedName name="___q1" hidden="1">{"'一覧'!$A$1:$M$28"}</definedName>
    <definedName name="___q1_1" localSheetId="3" hidden="1">{"'一覧'!$A$1:$M$28"}</definedName>
    <definedName name="___q1_1" localSheetId="5" hidden="1">{"'一覧'!$A$1:$M$28"}</definedName>
    <definedName name="___q1_1" localSheetId="4" hidden="1">{"'一覧'!$A$1:$M$28"}</definedName>
    <definedName name="___q1_1" localSheetId="2" hidden="1">{"'一覧'!$A$1:$M$28"}</definedName>
    <definedName name="___q1_1" localSheetId="10" hidden="1">{"'一覧'!$A$1:$M$28"}</definedName>
    <definedName name="___q1_1" localSheetId="8" hidden="1">{"'一覧'!$A$1:$M$28"}</definedName>
    <definedName name="___q1_1" localSheetId="7" hidden="1">{"'一覧'!$A$1:$M$28"}</definedName>
    <definedName name="___q1_1" localSheetId="9" hidden="1">{"'一覧'!$A$1:$M$28"}</definedName>
    <definedName name="___q1_1" localSheetId="12" hidden="1">{"'一覧'!$A$1:$M$28"}</definedName>
    <definedName name="___q1_1" localSheetId="11" hidden="1">{"'一覧'!$A$1:$M$28"}</definedName>
    <definedName name="___q1_1" localSheetId="0" hidden="1">{"'一覧'!$A$1:$M$28"}</definedName>
    <definedName name="___q1_1" hidden="1">{"'一覧'!$A$1:$M$28"}</definedName>
    <definedName name="___q3" localSheetId="3" hidden="1">{"'一覧'!$A$1:$M$28"}</definedName>
    <definedName name="___q3" localSheetId="5" hidden="1">{"'一覧'!$A$1:$M$28"}</definedName>
    <definedName name="___q3" localSheetId="4" hidden="1">{"'一覧'!$A$1:$M$28"}</definedName>
    <definedName name="___q3" localSheetId="2" hidden="1">{"'一覧'!$A$1:$M$28"}</definedName>
    <definedName name="___q3" localSheetId="10" hidden="1">{"'一覧'!$A$1:$M$28"}</definedName>
    <definedName name="___q3" localSheetId="8" hidden="1">{"'一覧'!$A$1:$M$28"}</definedName>
    <definedName name="___q3" localSheetId="7" hidden="1">{"'一覧'!$A$1:$M$28"}</definedName>
    <definedName name="___q3" localSheetId="9" hidden="1">{"'一覧'!$A$1:$M$28"}</definedName>
    <definedName name="___q3" localSheetId="12" hidden="1">{"'一覧'!$A$1:$M$28"}</definedName>
    <definedName name="___q3" localSheetId="11" hidden="1">{"'一覧'!$A$1:$M$28"}</definedName>
    <definedName name="___q3" localSheetId="0" hidden="1">{"'一覧'!$A$1:$M$28"}</definedName>
    <definedName name="___q3" hidden="1">{"'一覧'!$A$1:$M$28"}</definedName>
    <definedName name="___q3_1" localSheetId="3" hidden="1">{"'一覧'!$A$1:$M$28"}</definedName>
    <definedName name="___q3_1" localSheetId="5" hidden="1">{"'一覧'!$A$1:$M$28"}</definedName>
    <definedName name="___q3_1" localSheetId="4" hidden="1">{"'一覧'!$A$1:$M$28"}</definedName>
    <definedName name="___q3_1" localSheetId="2" hidden="1">{"'一覧'!$A$1:$M$28"}</definedName>
    <definedName name="___q3_1" localSheetId="10" hidden="1">{"'一覧'!$A$1:$M$28"}</definedName>
    <definedName name="___q3_1" localSheetId="8" hidden="1">{"'一覧'!$A$1:$M$28"}</definedName>
    <definedName name="___q3_1" localSheetId="7" hidden="1">{"'一覧'!$A$1:$M$28"}</definedName>
    <definedName name="___q3_1" localSheetId="9" hidden="1">{"'一覧'!$A$1:$M$28"}</definedName>
    <definedName name="___q3_1" localSheetId="12" hidden="1">{"'一覧'!$A$1:$M$28"}</definedName>
    <definedName name="___q3_1" localSheetId="11" hidden="1">{"'一覧'!$A$1:$M$28"}</definedName>
    <definedName name="___q3_1" localSheetId="0" hidden="1">{"'一覧'!$A$1:$M$28"}</definedName>
    <definedName name="___q3_1" hidden="1">{"'一覧'!$A$1:$M$28"}</definedName>
    <definedName name="___q4" localSheetId="3" hidden="1">{"'一覧'!$A$1:$M$28"}</definedName>
    <definedName name="___q4" localSheetId="5" hidden="1">{"'一覧'!$A$1:$M$28"}</definedName>
    <definedName name="___q4" localSheetId="4" hidden="1">{"'一覧'!$A$1:$M$28"}</definedName>
    <definedName name="___q4" localSheetId="2" hidden="1">{"'一覧'!$A$1:$M$28"}</definedName>
    <definedName name="___q4" localSheetId="10" hidden="1">{"'一覧'!$A$1:$M$28"}</definedName>
    <definedName name="___q4" localSheetId="8" hidden="1">{"'一覧'!$A$1:$M$28"}</definedName>
    <definedName name="___q4" localSheetId="7" hidden="1">{"'一覧'!$A$1:$M$28"}</definedName>
    <definedName name="___q4" localSheetId="9" hidden="1">{"'一覧'!$A$1:$M$28"}</definedName>
    <definedName name="___q4" localSheetId="12" hidden="1">{"'一覧'!$A$1:$M$28"}</definedName>
    <definedName name="___q4" localSheetId="11" hidden="1">{"'一覧'!$A$1:$M$28"}</definedName>
    <definedName name="___q4" localSheetId="0" hidden="1">{"'一覧'!$A$1:$M$28"}</definedName>
    <definedName name="___q4" hidden="1">{"'一覧'!$A$1:$M$28"}</definedName>
    <definedName name="___q4_1" localSheetId="3" hidden="1">{"'一覧'!$A$1:$M$28"}</definedName>
    <definedName name="___q4_1" localSheetId="5" hidden="1">{"'一覧'!$A$1:$M$28"}</definedName>
    <definedName name="___q4_1" localSheetId="4" hidden="1">{"'一覧'!$A$1:$M$28"}</definedName>
    <definedName name="___q4_1" localSheetId="2" hidden="1">{"'一覧'!$A$1:$M$28"}</definedName>
    <definedName name="___q4_1" localSheetId="10" hidden="1">{"'一覧'!$A$1:$M$28"}</definedName>
    <definedName name="___q4_1" localSheetId="8" hidden="1">{"'一覧'!$A$1:$M$28"}</definedName>
    <definedName name="___q4_1" localSheetId="7" hidden="1">{"'一覧'!$A$1:$M$28"}</definedName>
    <definedName name="___q4_1" localSheetId="9" hidden="1">{"'一覧'!$A$1:$M$28"}</definedName>
    <definedName name="___q4_1" localSheetId="12" hidden="1">{"'一覧'!$A$1:$M$28"}</definedName>
    <definedName name="___q4_1" localSheetId="11" hidden="1">{"'一覧'!$A$1:$M$28"}</definedName>
    <definedName name="___q4_1" localSheetId="0" hidden="1">{"'一覧'!$A$1:$M$28"}</definedName>
    <definedName name="___q4_1" hidden="1">{"'一覧'!$A$1:$M$28"}</definedName>
    <definedName name="___q5" localSheetId="3" hidden="1">{"'一覧'!$A$1:$M$28"}</definedName>
    <definedName name="___q5" localSheetId="5" hidden="1">{"'一覧'!$A$1:$M$28"}</definedName>
    <definedName name="___q5" localSheetId="4" hidden="1">{"'一覧'!$A$1:$M$28"}</definedName>
    <definedName name="___q5" localSheetId="2" hidden="1">{"'一覧'!$A$1:$M$28"}</definedName>
    <definedName name="___q5" localSheetId="10" hidden="1">{"'一覧'!$A$1:$M$28"}</definedName>
    <definedName name="___q5" localSheetId="8" hidden="1">{"'一覧'!$A$1:$M$28"}</definedName>
    <definedName name="___q5" localSheetId="7" hidden="1">{"'一覧'!$A$1:$M$28"}</definedName>
    <definedName name="___q5" localSheetId="9" hidden="1">{"'一覧'!$A$1:$M$28"}</definedName>
    <definedName name="___q5" localSheetId="12" hidden="1">{"'一覧'!$A$1:$M$28"}</definedName>
    <definedName name="___q5" localSheetId="11" hidden="1">{"'一覧'!$A$1:$M$28"}</definedName>
    <definedName name="___q5" localSheetId="0" hidden="1">{"'一覧'!$A$1:$M$28"}</definedName>
    <definedName name="___q5" hidden="1">{"'一覧'!$A$1:$M$28"}</definedName>
    <definedName name="___q5_1" localSheetId="3" hidden="1">{"'一覧'!$A$1:$M$28"}</definedName>
    <definedName name="___q5_1" localSheetId="5" hidden="1">{"'一覧'!$A$1:$M$28"}</definedName>
    <definedName name="___q5_1" localSheetId="4" hidden="1">{"'一覧'!$A$1:$M$28"}</definedName>
    <definedName name="___q5_1" localSheetId="2" hidden="1">{"'一覧'!$A$1:$M$28"}</definedName>
    <definedName name="___q5_1" localSheetId="10" hidden="1">{"'一覧'!$A$1:$M$28"}</definedName>
    <definedName name="___q5_1" localSheetId="8" hidden="1">{"'一覧'!$A$1:$M$28"}</definedName>
    <definedName name="___q5_1" localSheetId="7" hidden="1">{"'一覧'!$A$1:$M$28"}</definedName>
    <definedName name="___q5_1" localSheetId="9" hidden="1">{"'一覧'!$A$1:$M$28"}</definedName>
    <definedName name="___q5_1" localSheetId="12" hidden="1">{"'一覧'!$A$1:$M$28"}</definedName>
    <definedName name="___q5_1" localSheetId="11" hidden="1">{"'一覧'!$A$1:$M$28"}</definedName>
    <definedName name="___q5_1" localSheetId="0" hidden="1">{"'一覧'!$A$1:$M$28"}</definedName>
    <definedName name="___q5_1" hidden="1">{"'一覧'!$A$1:$M$28"}</definedName>
    <definedName name="_a6" localSheetId="3" hidden="1">{"'一覧'!$A$1:$M$28"}</definedName>
    <definedName name="_a6" localSheetId="5" hidden="1">{"'一覧'!$A$1:$M$28"}</definedName>
    <definedName name="_a6" localSheetId="4" hidden="1">{"'一覧'!$A$1:$M$28"}</definedName>
    <definedName name="_a6" localSheetId="2" hidden="1">{"'一覧'!$A$1:$M$28"}</definedName>
    <definedName name="_a6" localSheetId="10" hidden="1">{"'一覧'!$A$1:$M$28"}</definedName>
    <definedName name="_a6" localSheetId="8" hidden="1">{"'一覧'!$A$1:$M$28"}</definedName>
    <definedName name="_a6" localSheetId="7" hidden="1">{"'一覧'!$A$1:$M$28"}</definedName>
    <definedName name="_a6" localSheetId="9" hidden="1">{"'一覧'!$A$1:$M$28"}</definedName>
    <definedName name="_a6" localSheetId="12" hidden="1">{"'一覧'!$A$1:$M$28"}</definedName>
    <definedName name="_a6" localSheetId="11" hidden="1">{"'一覧'!$A$1:$M$28"}</definedName>
    <definedName name="_a6" localSheetId="0" hidden="1">{"'一覧'!$A$1:$M$28"}</definedName>
    <definedName name="_a6" hidden="1">{"'一覧'!$A$1:$M$28"}</definedName>
    <definedName name="_a6_1" localSheetId="3" hidden="1">{"'一覧'!$A$1:$M$28"}</definedName>
    <definedName name="_a6_1" localSheetId="5" hidden="1">{"'一覧'!$A$1:$M$28"}</definedName>
    <definedName name="_a6_1" localSheetId="4" hidden="1">{"'一覧'!$A$1:$M$28"}</definedName>
    <definedName name="_a6_1" localSheetId="2" hidden="1">{"'一覧'!$A$1:$M$28"}</definedName>
    <definedName name="_a6_1" localSheetId="10" hidden="1">{"'一覧'!$A$1:$M$28"}</definedName>
    <definedName name="_a6_1" localSheetId="8" hidden="1">{"'一覧'!$A$1:$M$28"}</definedName>
    <definedName name="_a6_1" localSheetId="7" hidden="1">{"'一覧'!$A$1:$M$28"}</definedName>
    <definedName name="_a6_1" localSheetId="9" hidden="1">{"'一覧'!$A$1:$M$28"}</definedName>
    <definedName name="_a6_1" localSheetId="12" hidden="1">{"'一覧'!$A$1:$M$28"}</definedName>
    <definedName name="_a6_1" localSheetId="11" hidden="1">{"'一覧'!$A$1:$M$28"}</definedName>
    <definedName name="_a6_1" localSheetId="0" hidden="1">{"'一覧'!$A$1:$M$28"}</definedName>
    <definedName name="_a6_1" hidden="1">{"'一覧'!$A$1:$M$28"}</definedName>
    <definedName name="_b1" localSheetId="3" hidden="1">{"'一覧'!$A$1:$M$28"}</definedName>
    <definedName name="_b1" localSheetId="5" hidden="1">{"'一覧'!$A$1:$M$28"}</definedName>
    <definedName name="_b1" localSheetId="4" hidden="1">{"'一覧'!$A$1:$M$28"}</definedName>
    <definedName name="_b1" localSheetId="2" hidden="1">{"'一覧'!$A$1:$M$28"}</definedName>
    <definedName name="_b1" localSheetId="10" hidden="1">{"'一覧'!$A$1:$M$28"}</definedName>
    <definedName name="_b1" localSheetId="8" hidden="1">{"'一覧'!$A$1:$M$28"}</definedName>
    <definedName name="_b1" localSheetId="7" hidden="1">{"'一覧'!$A$1:$M$28"}</definedName>
    <definedName name="_b1" localSheetId="9" hidden="1">{"'一覧'!$A$1:$M$28"}</definedName>
    <definedName name="_b1" localSheetId="12" hidden="1">{"'一覧'!$A$1:$M$28"}</definedName>
    <definedName name="_b1" localSheetId="11" hidden="1">{"'一覧'!$A$1:$M$28"}</definedName>
    <definedName name="_b1" localSheetId="0" hidden="1">{"'一覧'!$A$1:$M$28"}</definedName>
    <definedName name="_b1" hidden="1">{"'一覧'!$A$1:$M$28"}</definedName>
    <definedName name="_b1_1" localSheetId="3" hidden="1">{"'一覧'!$A$1:$M$28"}</definedName>
    <definedName name="_b1_1" localSheetId="5" hidden="1">{"'一覧'!$A$1:$M$28"}</definedName>
    <definedName name="_b1_1" localSheetId="4" hidden="1">{"'一覧'!$A$1:$M$28"}</definedName>
    <definedName name="_b1_1" localSheetId="2" hidden="1">{"'一覧'!$A$1:$M$28"}</definedName>
    <definedName name="_b1_1" localSheetId="10" hidden="1">{"'一覧'!$A$1:$M$28"}</definedName>
    <definedName name="_b1_1" localSheetId="8" hidden="1">{"'一覧'!$A$1:$M$28"}</definedName>
    <definedName name="_b1_1" localSheetId="7" hidden="1">{"'一覧'!$A$1:$M$28"}</definedName>
    <definedName name="_b1_1" localSheetId="9" hidden="1">{"'一覧'!$A$1:$M$28"}</definedName>
    <definedName name="_b1_1" localSheetId="12" hidden="1">{"'一覧'!$A$1:$M$28"}</definedName>
    <definedName name="_b1_1" localSheetId="11" hidden="1">{"'一覧'!$A$1:$M$28"}</definedName>
    <definedName name="_b1_1" localSheetId="0" hidden="1">{"'一覧'!$A$1:$M$28"}</definedName>
    <definedName name="_b1_1" hidden="1">{"'一覧'!$A$1:$M$28"}</definedName>
    <definedName name="_xlnm._FilterDatabase" localSheetId="3" hidden="1">'【サンプル】UNION ALLを使用したパターン'!$A$9:$AH$57</definedName>
    <definedName name="_xlnm._FilterDatabase" localSheetId="5" hidden="1">【サンプル】カード受注ヘッダ_受注_一覧表示用_old!$A$9:$AH$598</definedName>
    <definedName name="_xlnm._FilterDatabase" localSheetId="4" hidden="1">【サンプル】カード受注ヘッダ_受注_個別CSV用!$A$9:$AH$77</definedName>
    <definedName name="_xlnm._FilterDatabase" localSheetId="1" hidden="1">【サンプル】概要欄に結合条件記載パターン!$A$9:$AH$569</definedName>
    <definedName name="_xlnm._FilterDatabase" localSheetId="2" hidden="1">【サンプル】備考欄に結合条件を記載パターン!$A$9:$AH$162</definedName>
    <definedName name="_xlnm._FilterDatabase" localSheetId="10" hidden="1">カード受注ヘッダ_CKU010S01B02_チェック用!$A$9:$AH$44</definedName>
    <definedName name="_xlnm._FilterDatabase" localSheetId="8" hidden="1">カード受注ヘッダ_CKU010S01B02_ヘッダ表示用!$A$9:$AH$162</definedName>
    <definedName name="_xlnm._FilterDatabase" localSheetId="6" hidden="1">カード受注ヘッダ_受注_一覧表示用!$A$9:$AH$539</definedName>
    <definedName name="_xlnm._FilterDatabase" localSheetId="7" hidden="1">カード受注ヘッダ_受注_個別CSV用!$A$9:$AP$9</definedName>
    <definedName name="_xlnm._FilterDatabase" localSheetId="9" hidden="1">カード受注明細_CKU010S01B02_明細表示用!$A$9:$AH$82</definedName>
    <definedName name="_xlnm._FilterDatabase" localSheetId="12" hidden="1">フォーマット!$A$9:$AH$44</definedName>
    <definedName name="_xlnm._FilterDatabase" localSheetId="11" hidden="1">ホールマスタ_CKU010D02B01_一覧表示用!$A$9:$AH$52</definedName>
    <definedName name="_Key1" localSheetId="3" hidden="1">#REF!</definedName>
    <definedName name="_Key1" localSheetId="4" hidden="1">#REF!</definedName>
    <definedName name="_Key1" localSheetId="2" hidden="1">#REF!</definedName>
    <definedName name="_Key1" localSheetId="10" hidden="1">#REF!</definedName>
    <definedName name="_Key1" localSheetId="8" hidden="1">#REF!</definedName>
    <definedName name="_Key1" localSheetId="7" hidden="1">#REF!</definedName>
    <definedName name="_Key1" localSheetId="9" hidden="1">#REF!</definedName>
    <definedName name="_Key1" localSheetId="12" hidden="1">#REF!</definedName>
    <definedName name="_Key1" localSheetId="11" hidden="1">#REF!</definedName>
    <definedName name="_Key1" localSheetId="0" hidden="1">#REF!</definedName>
    <definedName name="_Key1" hidden="1">#REF!</definedName>
    <definedName name="_Key2" localSheetId="3" hidden="1">#REF!</definedName>
    <definedName name="_Key2" localSheetId="4" hidden="1">#REF!</definedName>
    <definedName name="_Key2" localSheetId="2" hidden="1">#REF!</definedName>
    <definedName name="_Key2" localSheetId="10" hidden="1">#REF!</definedName>
    <definedName name="_Key2" localSheetId="8" hidden="1">#REF!</definedName>
    <definedName name="_Key2" localSheetId="7" hidden="1">#REF!</definedName>
    <definedName name="_Key2" localSheetId="9" hidden="1">#REF!</definedName>
    <definedName name="_Key2" localSheetId="12" hidden="1">#REF!</definedName>
    <definedName name="_Key2" localSheetId="11" hidden="1">#REF!</definedName>
    <definedName name="_Key2" localSheetId="0" hidden="1">#REF!</definedName>
    <definedName name="_Key2" hidden="1">#REF!</definedName>
    <definedName name="_key3" localSheetId="3" hidden="1">#REF!</definedName>
    <definedName name="_key3" localSheetId="4" hidden="1">#REF!</definedName>
    <definedName name="_key3" localSheetId="2" hidden="1">#REF!</definedName>
    <definedName name="_key3" localSheetId="10" hidden="1">#REF!</definedName>
    <definedName name="_key3" localSheetId="8" hidden="1">#REF!</definedName>
    <definedName name="_key3" localSheetId="7" hidden="1">#REF!</definedName>
    <definedName name="_key3" localSheetId="9" hidden="1">#REF!</definedName>
    <definedName name="_key3" localSheetId="12" hidden="1">#REF!</definedName>
    <definedName name="_key3" localSheetId="11" hidden="1">#REF!</definedName>
    <definedName name="_key3" localSheetId="0" hidden="1">#REF!</definedName>
    <definedName name="_key3" hidden="1">#REF!</definedName>
    <definedName name="_Order1" hidden="1">0</definedName>
    <definedName name="_Order2" hidden="1">0</definedName>
    <definedName name="_q1" localSheetId="3" hidden="1">{"'一覧'!$A$1:$M$28"}</definedName>
    <definedName name="_q1" localSheetId="5" hidden="1">{"'一覧'!$A$1:$M$28"}</definedName>
    <definedName name="_q1" localSheetId="4" hidden="1">{"'一覧'!$A$1:$M$28"}</definedName>
    <definedName name="_q1" localSheetId="2" hidden="1">{"'一覧'!$A$1:$M$28"}</definedName>
    <definedName name="_q1" localSheetId="10" hidden="1">{"'一覧'!$A$1:$M$28"}</definedName>
    <definedName name="_q1" localSheetId="8" hidden="1">{"'一覧'!$A$1:$M$28"}</definedName>
    <definedName name="_q1" localSheetId="7" hidden="1">{"'一覧'!$A$1:$M$28"}</definedName>
    <definedName name="_q1" localSheetId="9" hidden="1">{"'一覧'!$A$1:$M$28"}</definedName>
    <definedName name="_q1" localSheetId="12" hidden="1">{"'一覧'!$A$1:$M$28"}</definedName>
    <definedName name="_q1" localSheetId="11" hidden="1">{"'一覧'!$A$1:$M$28"}</definedName>
    <definedName name="_q1" localSheetId="0" hidden="1">{"'一覧'!$A$1:$M$28"}</definedName>
    <definedName name="_q1" hidden="1">{"'一覧'!$A$1:$M$28"}</definedName>
    <definedName name="_q1_1" localSheetId="3" hidden="1">{"'一覧'!$A$1:$M$28"}</definedName>
    <definedName name="_q1_1" localSheetId="5" hidden="1">{"'一覧'!$A$1:$M$28"}</definedName>
    <definedName name="_q1_1" localSheetId="4" hidden="1">{"'一覧'!$A$1:$M$28"}</definedName>
    <definedName name="_q1_1" localSheetId="2" hidden="1">{"'一覧'!$A$1:$M$28"}</definedName>
    <definedName name="_q1_1" localSheetId="10" hidden="1">{"'一覧'!$A$1:$M$28"}</definedName>
    <definedName name="_q1_1" localSheetId="8" hidden="1">{"'一覧'!$A$1:$M$28"}</definedName>
    <definedName name="_q1_1" localSheetId="7" hidden="1">{"'一覧'!$A$1:$M$28"}</definedName>
    <definedName name="_q1_1" localSheetId="9" hidden="1">{"'一覧'!$A$1:$M$28"}</definedName>
    <definedName name="_q1_1" localSheetId="12" hidden="1">{"'一覧'!$A$1:$M$28"}</definedName>
    <definedName name="_q1_1" localSheetId="11" hidden="1">{"'一覧'!$A$1:$M$28"}</definedName>
    <definedName name="_q1_1" localSheetId="0" hidden="1">{"'一覧'!$A$1:$M$28"}</definedName>
    <definedName name="_q1_1" hidden="1">{"'一覧'!$A$1:$M$28"}</definedName>
    <definedName name="_q3" localSheetId="3" hidden="1">{"'一覧'!$A$1:$M$28"}</definedName>
    <definedName name="_q3" localSheetId="5" hidden="1">{"'一覧'!$A$1:$M$28"}</definedName>
    <definedName name="_q3" localSheetId="4" hidden="1">{"'一覧'!$A$1:$M$28"}</definedName>
    <definedName name="_q3" localSheetId="2" hidden="1">{"'一覧'!$A$1:$M$28"}</definedName>
    <definedName name="_q3" localSheetId="10" hidden="1">{"'一覧'!$A$1:$M$28"}</definedName>
    <definedName name="_q3" localSheetId="8" hidden="1">{"'一覧'!$A$1:$M$28"}</definedName>
    <definedName name="_q3" localSheetId="7" hidden="1">{"'一覧'!$A$1:$M$28"}</definedName>
    <definedName name="_q3" localSheetId="9" hidden="1">{"'一覧'!$A$1:$M$28"}</definedName>
    <definedName name="_q3" localSheetId="12" hidden="1">{"'一覧'!$A$1:$M$28"}</definedName>
    <definedName name="_q3" localSheetId="11" hidden="1">{"'一覧'!$A$1:$M$28"}</definedName>
    <definedName name="_q3" localSheetId="0" hidden="1">{"'一覧'!$A$1:$M$28"}</definedName>
    <definedName name="_q3" hidden="1">{"'一覧'!$A$1:$M$28"}</definedName>
    <definedName name="_q3_1" localSheetId="3" hidden="1">{"'一覧'!$A$1:$M$28"}</definedName>
    <definedName name="_q3_1" localSheetId="5" hidden="1">{"'一覧'!$A$1:$M$28"}</definedName>
    <definedName name="_q3_1" localSheetId="4" hidden="1">{"'一覧'!$A$1:$M$28"}</definedName>
    <definedName name="_q3_1" localSheetId="2" hidden="1">{"'一覧'!$A$1:$M$28"}</definedName>
    <definedName name="_q3_1" localSheetId="10" hidden="1">{"'一覧'!$A$1:$M$28"}</definedName>
    <definedName name="_q3_1" localSheetId="8" hidden="1">{"'一覧'!$A$1:$M$28"}</definedName>
    <definedName name="_q3_1" localSheetId="7" hidden="1">{"'一覧'!$A$1:$M$28"}</definedName>
    <definedName name="_q3_1" localSheetId="9" hidden="1">{"'一覧'!$A$1:$M$28"}</definedName>
    <definedName name="_q3_1" localSheetId="12" hidden="1">{"'一覧'!$A$1:$M$28"}</definedName>
    <definedName name="_q3_1" localSheetId="11" hidden="1">{"'一覧'!$A$1:$M$28"}</definedName>
    <definedName name="_q3_1" localSheetId="0" hidden="1">{"'一覧'!$A$1:$M$28"}</definedName>
    <definedName name="_q3_1" hidden="1">{"'一覧'!$A$1:$M$28"}</definedName>
    <definedName name="_q4" localSheetId="3" hidden="1">{"'一覧'!$A$1:$M$28"}</definedName>
    <definedName name="_q4" localSheetId="5" hidden="1">{"'一覧'!$A$1:$M$28"}</definedName>
    <definedName name="_q4" localSheetId="4" hidden="1">{"'一覧'!$A$1:$M$28"}</definedName>
    <definedName name="_q4" localSheetId="2" hidden="1">{"'一覧'!$A$1:$M$28"}</definedName>
    <definedName name="_q4" localSheetId="10" hidden="1">{"'一覧'!$A$1:$M$28"}</definedName>
    <definedName name="_q4" localSheetId="8" hidden="1">{"'一覧'!$A$1:$M$28"}</definedName>
    <definedName name="_q4" localSheetId="7" hidden="1">{"'一覧'!$A$1:$M$28"}</definedName>
    <definedName name="_q4" localSheetId="9" hidden="1">{"'一覧'!$A$1:$M$28"}</definedName>
    <definedName name="_q4" localSheetId="12" hidden="1">{"'一覧'!$A$1:$M$28"}</definedName>
    <definedName name="_q4" localSheetId="11" hidden="1">{"'一覧'!$A$1:$M$28"}</definedName>
    <definedName name="_q4" localSheetId="0" hidden="1">{"'一覧'!$A$1:$M$28"}</definedName>
    <definedName name="_q4" hidden="1">{"'一覧'!$A$1:$M$28"}</definedName>
    <definedName name="_q4_1" localSheetId="3" hidden="1">{"'一覧'!$A$1:$M$28"}</definedName>
    <definedName name="_q4_1" localSheetId="5" hidden="1">{"'一覧'!$A$1:$M$28"}</definedName>
    <definedName name="_q4_1" localSheetId="4" hidden="1">{"'一覧'!$A$1:$M$28"}</definedName>
    <definedName name="_q4_1" localSheetId="2" hidden="1">{"'一覧'!$A$1:$M$28"}</definedName>
    <definedName name="_q4_1" localSheetId="10" hidden="1">{"'一覧'!$A$1:$M$28"}</definedName>
    <definedName name="_q4_1" localSheetId="8" hidden="1">{"'一覧'!$A$1:$M$28"}</definedName>
    <definedName name="_q4_1" localSheetId="7" hidden="1">{"'一覧'!$A$1:$M$28"}</definedName>
    <definedName name="_q4_1" localSheetId="9" hidden="1">{"'一覧'!$A$1:$M$28"}</definedName>
    <definedName name="_q4_1" localSheetId="12" hidden="1">{"'一覧'!$A$1:$M$28"}</definedName>
    <definedName name="_q4_1" localSheetId="11" hidden="1">{"'一覧'!$A$1:$M$28"}</definedName>
    <definedName name="_q4_1" localSheetId="0" hidden="1">{"'一覧'!$A$1:$M$28"}</definedName>
    <definedName name="_q4_1" hidden="1">{"'一覧'!$A$1:$M$28"}</definedName>
    <definedName name="_q5" localSheetId="3" hidden="1">{"'一覧'!$A$1:$M$28"}</definedName>
    <definedName name="_q5" localSheetId="5" hidden="1">{"'一覧'!$A$1:$M$28"}</definedName>
    <definedName name="_q5" localSheetId="4" hidden="1">{"'一覧'!$A$1:$M$28"}</definedName>
    <definedName name="_q5" localSheetId="2" hidden="1">{"'一覧'!$A$1:$M$28"}</definedName>
    <definedName name="_q5" localSheetId="10" hidden="1">{"'一覧'!$A$1:$M$28"}</definedName>
    <definedName name="_q5" localSheetId="8" hidden="1">{"'一覧'!$A$1:$M$28"}</definedName>
    <definedName name="_q5" localSheetId="7" hidden="1">{"'一覧'!$A$1:$M$28"}</definedName>
    <definedName name="_q5" localSheetId="9" hidden="1">{"'一覧'!$A$1:$M$28"}</definedName>
    <definedName name="_q5" localSheetId="12" hidden="1">{"'一覧'!$A$1:$M$28"}</definedName>
    <definedName name="_q5" localSheetId="11" hidden="1">{"'一覧'!$A$1:$M$28"}</definedName>
    <definedName name="_q5" localSheetId="0" hidden="1">{"'一覧'!$A$1:$M$28"}</definedName>
    <definedName name="_q5" hidden="1">{"'一覧'!$A$1:$M$28"}</definedName>
    <definedName name="_q5_1" localSheetId="3" hidden="1">{"'一覧'!$A$1:$M$28"}</definedName>
    <definedName name="_q5_1" localSheetId="5" hidden="1">{"'一覧'!$A$1:$M$28"}</definedName>
    <definedName name="_q5_1" localSheetId="4" hidden="1">{"'一覧'!$A$1:$M$28"}</definedName>
    <definedName name="_q5_1" localSheetId="2" hidden="1">{"'一覧'!$A$1:$M$28"}</definedName>
    <definedName name="_q5_1" localSheetId="10" hidden="1">{"'一覧'!$A$1:$M$28"}</definedName>
    <definedName name="_q5_1" localSheetId="8" hidden="1">{"'一覧'!$A$1:$M$28"}</definedName>
    <definedName name="_q5_1" localSheetId="7" hidden="1">{"'一覧'!$A$1:$M$28"}</definedName>
    <definedName name="_q5_1" localSheetId="9" hidden="1">{"'一覧'!$A$1:$M$28"}</definedName>
    <definedName name="_q5_1" localSheetId="12" hidden="1">{"'一覧'!$A$1:$M$28"}</definedName>
    <definedName name="_q5_1" localSheetId="11" hidden="1">{"'一覧'!$A$1:$M$28"}</definedName>
    <definedName name="_q5_1" localSheetId="0" hidden="1">{"'一覧'!$A$1:$M$28"}</definedName>
    <definedName name="_q5_1" hidden="1">{"'一覧'!$A$1:$M$28"}</definedName>
    <definedName name="_Regression_X" localSheetId="3" hidden="1">#REF!</definedName>
    <definedName name="_Regression_X" localSheetId="4" hidden="1">#REF!</definedName>
    <definedName name="_Regression_X" localSheetId="2" hidden="1">#REF!</definedName>
    <definedName name="_Regression_X" localSheetId="10" hidden="1">#REF!</definedName>
    <definedName name="_Regression_X" localSheetId="8" hidden="1">#REF!</definedName>
    <definedName name="_Regression_X" localSheetId="7" hidden="1">#REF!</definedName>
    <definedName name="_Regression_X" localSheetId="9" hidden="1">#REF!</definedName>
    <definedName name="_Regression_X" localSheetId="12" hidden="1">#REF!</definedName>
    <definedName name="_Regression_X" localSheetId="11" hidden="1">#REF!</definedName>
    <definedName name="_Regression_X" localSheetId="0" hidden="1">#REF!</definedName>
    <definedName name="_Regression_X" hidden="1">#REF!</definedName>
    <definedName name="_Sort" localSheetId="3" hidden="1">#REF!</definedName>
    <definedName name="_Sort" localSheetId="4" hidden="1">#REF!</definedName>
    <definedName name="_Sort" localSheetId="2" hidden="1">#REF!</definedName>
    <definedName name="_Sort" localSheetId="10" hidden="1">#REF!</definedName>
    <definedName name="_Sort" localSheetId="8" hidden="1">#REF!</definedName>
    <definedName name="_Sort" localSheetId="7" hidden="1">#REF!</definedName>
    <definedName name="_Sort" localSheetId="9" hidden="1">#REF!</definedName>
    <definedName name="_Sort" localSheetId="12" hidden="1">#REF!</definedName>
    <definedName name="_Sort" localSheetId="11" hidden="1">#REF!</definedName>
    <definedName name="_Sort" localSheetId="0" hidden="1">#REF!</definedName>
    <definedName name="_Sort" hidden="1">#REF!</definedName>
    <definedName name="_Table2_In1" localSheetId="3" hidden="1">#REF!</definedName>
    <definedName name="_Table2_In1" localSheetId="4" hidden="1">#REF!</definedName>
    <definedName name="_Table2_In1" localSheetId="2" hidden="1">#REF!</definedName>
    <definedName name="_Table2_In1" localSheetId="10" hidden="1">#REF!</definedName>
    <definedName name="_Table2_In1" localSheetId="8" hidden="1">#REF!</definedName>
    <definedName name="_Table2_In1" localSheetId="7" hidden="1">#REF!</definedName>
    <definedName name="_Table2_In1" localSheetId="9" hidden="1">#REF!</definedName>
    <definedName name="_Table2_In1" localSheetId="12" hidden="1">#REF!</definedName>
    <definedName name="_Table2_In1" localSheetId="11" hidden="1">#REF!</definedName>
    <definedName name="_Table2_In1" localSheetId="0" hidden="1">#REF!</definedName>
    <definedName name="_Table2_In1" hidden="1">#REF!</definedName>
    <definedName name="_Table2_In2" localSheetId="3" hidden="1">#REF!</definedName>
    <definedName name="_Table2_In2" localSheetId="4" hidden="1">#REF!</definedName>
    <definedName name="_Table2_In2" localSheetId="2" hidden="1">#REF!</definedName>
    <definedName name="_Table2_In2" localSheetId="10" hidden="1">#REF!</definedName>
    <definedName name="_Table2_In2" localSheetId="8" hidden="1">#REF!</definedName>
    <definedName name="_Table2_In2" localSheetId="7" hidden="1">#REF!</definedName>
    <definedName name="_Table2_In2" localSheetId="9" hidden="1">#REF!</definedName>
    <definedName name="_Table2_In2" localSheetId="12" hidden="1">#REF!</definedName>
    <definedName name="_Table2_In2" localSheetId="11" hidden="1">#REF!</definedName>
    <definedName name="_Table2_In2" localSheetId="0" hidden="1">#REF!</definedName>
    <definedName name="_Table2_In2" hidden="1">#REF!</definedName>
    <definedName name="【工数見積もり用】画面タイプ" localSheetId="3">#REF!</definedName>
    <definedName name="【工数見積もり用】画面タイプ" localSheetId="4">#REF!</definedName>
    <definedName name="【工数見積もり用】画面タイプ" localSheetId="2">#REF!</definedName>
    <definedName name="【工数見積もり用】画面タイプ" localSheetId="10">#REF!</definedName>
    <definedName name="【工数見積もり用】画面タイプ" localSheetId="8">#REF!</definedName>
    <definedName name="【工数見積もり用】画面タイプ" localSheetId="7">#REF!</definedName>
    <definedName name="【工数見積もり用】画面タイプ" localSheetId="9">#REF!</definedName>
    <definedName name="【工数見積もり用】画面タイプ" localSheetId="12">#REF!</definedName>
    <definedName name="【工数見積もり用】画面タイプ" localSheetId="11">#REF!</definedName>
    <definedName name="【工数見積もり用】画面タイプ">#REF!</definedName>
    <definedName name="【工数見積もり用】分類" localSheetId="3">#REF!</definedName>
    <definedName name="【工数見積もり用】分類" localSheetId="4">#REF!</definedName>
    <definedName name="【工数見積もり用】分類" localSheetId="2">#REF!</definedName>
    <definedName name="【工数見積もり用】分類" localSheetId="10">#REF!</definedName>
    <definedName name="【工数見積もり用】分類" localSheetId="8">#REF!</definedName>
    <definedName name="【工数見積もり用】分類" localSheetId="7">#REF!</definedName>
    <definedName name="【工数見積もり用】分類" localSheetId="9">#REF!</definedName>
    <definedName name="【工数見積もり用】分類" localSheetId="12">#REF!</definedName>
    <definedName name="【工数見積もり用】分類" localSheetId="11">#REF!</definedName>
    <definedName name="【工数見積もり用】分類">#REF!</definedName>
    <definedName name="①NEW" localSheetId="3">#REF!</definedName>
    <definedName name="①NEW" localSheetId="4">#REF!</definedName>
    <definedName name="①NEW" localSheetId="2">#REF!</definedName>
    <definedName name="①NEW" localSheetId="10">#REF!</definedName>
    <definedName name="①NEW" localSheetId="8">#REF!</definedName>
    <definedName name="①NEW" localSheetId="7">#REF!</definedName>
    <definedName name="①NEW" localSheetId="9">#REF!</definedName>
    <definedName name="①NEW" localSheetId="12">#REF!</definedName>
    <definedName name="①NEW" localSheetId="11">#REF!</definedName>
    <definedName name="①NEW">#REF!</definedName>
    <definedName name="①OLD" localSheetId="3">#REF!</definedName>
    <definedName name="①OLD" localSheetId="4">#REF!</definedName>
    <definedName name="①OLD" localSheetId="2">#REF!</definedName>
    <definedName name="①OLD" localSheetId="10">#REF!</definedName>
    <definedName name="①OLD" localSheetId="8">#REF!</definedName>
    <definedName name="①OLD" localSheetId="7">#REF!</definedName>
    <definedName name="①OLD" localSheetId="9">#REF!</definedName>
    <definedName name="①OLD" localSheetId="12">#REF!</definedName>
    <definedName name="①OLD" localSheetId="11">#REF!</definedName>
    <definedName name="①OLD">#REF!</definedName>
    <definedName name="③NEW" localSheetId="3">#REF!</definedName>
    <definedName name="③NEW" localSheetId="4">#REF!</definedName>
    <definedName name="③NEW" localSheetId="2">#REF!</definedName>
    <definedName name="③NEW" localSheetId="10">#REF!</definedName>
    <definedName name="③NEW" localSheetId="8">#REF!</definedName>
    <definedName name="③NEW" localSheetId="7">#REF!</definedName>
    <definedName name="③NEW" localSheetId="9">#REF!</definedName>
    <definedName name="③NEW" localSheetId="12">#REF!</definedName>
    <definedName name="③NEW" localSheetId="11">#REF!</definedName>
    <definedName name="③NEW">#REF!</definedName>
    <definedName name="③OLD" localSheetId="3">#REF!</definedName>
    <definedName name="③OLD" localSheetId="4">#REF!</definedName>
    <definedName name="③OLD" localSheetId="2">#REF!</definedName>
    <definedName name="③OLD" localSheetId="10">#REF!</definedName>
    <definedName name="③OLD" localSheetId="8">#REF!</definedName>
    <definedName name="③OLD" localSheetId="7">#REF!</definedName>
    <definedName name="③OLD" localSheetId="9">#REF!</definedName>
    <definedName name="③OLD" localSheetId="12">#REF!</definedName>
    <definedName name="③OLD" localSheetId="11">#REF!</definedName>
    <definedName name="③OLD">#REF!</definedName>
    <definedName name="④NEW" localSheetId="3">#REF!</definedName>
    <definedName name="④NEW" localSheetId="4">#REF!</definedName>
    <definedName name="④NEW" localSheetId="2">#REF!</definedName>
    <definedName name="④NEW" localSheetId="10">#REF!</definedName>
    <definedName name="④NEW" localSheetId="8">#REF!</definedName>
    <definedName name="④NEW" localSheetId="7">#REF!</definedName>
    <definedName name="④NEW" localSheetId="9">#REF!</definedName>
    <definedName name="④NEW" localSheetId="12">#REF!</definedName>
    <definedName name="④NEW" localSheetId="11">#REF!</definedName>
    <definedName name="④NEW">#REF!</definedName>
    <definedName name="④OLD" localSheetId="3">#REF!</definedName>
    <definedName name="④OLD" localSheetId="4">#REF!</definedName>
    <definedName name="④OLD" localSheetId="2">#REF!</definedName>
    <definedName name="④OLD" localSheetId="10">#REF!</definedName>
    <definedName name="④OLD" localSheetId="8">#REF!</definedName>
    <definedName name="④OLD" localSheetId="7">#REF!</definedName>
    <definedName name="④OLD" localSheetId="9">#REF!</definedName>
    <definedName name="④OLD" localSheetId="12">#REF!</definedName>
    <definedName name="④OLD" localSheetId="11">#REF!</definedName>
    <definedName name="④OLD">#REF!</definedName>
    <definedName name="⑤NEW" localSheetId="3">#REF!</definedName>
    <definedName name="⑤NEW" localSheetId="4">#REF!</definedName>
    <definedName name="⑤NEW" localSheetId="2">#REF!</definedName>
    <definedName name="⑤NEW" localSheetId="10">#REF!</definedName>
    <definedName name="⑤NEW" localSheetId="8">#REF!</definedName>
    <definedName name="⑤NEW" localSheetId="7">#REF!</definedName>
    <definedName name="⑤NEW" localSheetId="9">#REF!</definedName>
    <definedName name="⑤NEW" localSheetId="12">#REF!</definedName>
    <definedName name="⑤NEW" localSheetId="11">#REF!</definedName>
    <definedName name="⑤NEW">#REF!</definedName>
    <definedName name="⑤OLD" localSheetId="3">#REF!</definedName>
    <definedName name="⑤OLD" localSheetId="4">#REF!</definedName>
    <definedName name="⑤OLD" localSheetId="2">#REF!</definedName>
    <definedName name="⑤OLD" localSheetId="10">#REF!</definedName>
    <definedName name="⑤OLD" localSheetId="8">#REF!</definedName>
    <definedName name="⑤OLD" localSheetId="7">#REF!</definedName>
    <definedName name="⑤OLD" localSheetId="9">#REF!</definedName>
    <definedName name="⑤OLD" localSheetId="12">#REF!</definedName>
    <definedName name="⑤OLD" localSheetId="11">#REF!</definedName>
    <definedName name="⑤OLD">#REF!</definedName>
    <definedName name="⑧NEW" localSheetId="3">#REF!</definedName>
    <definedName name="⑧NEW" localSheetId="4">#REF!</definedName>
    <definedName name="⑧NEW" localSheetId="2">#REF!</definedName>
    <definedName name="⑧NEW" localSheetId="10">#REF!</definedName>
    <definedName name="⑧NEW" localSheetId="8">#REF!</definedName>
    <definedName name="⑧NEW" localSheetId="7">#REF!</definedName>
    <definedName name="⑧NEW" localSheetId="9">#REF!</definedName>
    <definedName name="⑧NEW" localSheetId="12">#REF!</definedName>
    <definedName name="⑧NEW" localSheetId="11">#REF!</definedName>
    <definedName name="⑧NEW">#REF!</definedName>
    <definedName name="⑧OLD" localSheetId="3">#REF!</definedName>
    <definedName name="⑧OLD" localSheetId="4">#REF!</definedName>
    <definedName name="⑧OLD" localSheetId="2">#REF!</definedName>
    <definedName name="⑧OLD" localSheetId="10">#REF!</definedName>
    <definedName name="⑧OLD" localSheetId="8">#REF!</definedName>
    <definedName name="⑧OLD" localSheetId="7">#REF!</definedName>
    <definedName name="⑧OLD" localSheetId="9">#REF!</definedName>
    <definedName name="⑧OLD" localSheetId="12">#REF!</definedName>
    <definedName name="⑧OLD" localSheetId="11">#REF!</definedName>
    <definedName name="⑧OLD">#REF!</definedName>
    <definedName name="A" localSheetId="3" hidden="1">#REF!</definedName>
    <definedName name="A" localSheetId="4" hidden="1">#REF!</definedName>
    <definedName name="A" localSheetId="2" hidden="1">#REF!</definedName>
    <definedName name="A" localSheetId="10" hidden="1">#REF!</definedName>
    <definedName name="A" localSheetId="8" hidden="1">#REF!</definedName>
    <definedName name="A" localSheetId="7" hidden="1">#REF!</definedName>
    <definedName name="A" localSheetId="9" hidden="1">#REF!</definedName>
    <definedName name="A" localSheetId="12" hidden="1">#REF!</definedName>
    <definedName name="A" localSheetId="11" hidden="1">#REF!</definedName>
    <definedName name="A" localSheetId="0" hidden="1">#REF!</definedName>
    <definedName name="A" hidden="1">#REF!</definedName>
    <definedName name="ａａａ" localSheetId="3" hidden="1">#REF!</definedName>
    <definedName name="ａａａ" localSheetId="4" hidden="1">#REF!</definedName>
    <definedName name="ａａａ" localSheetId="2" hidden="1">#REF!</definedName>
    <definedName name="ａａａ" localSheetId="10" hidden="1">#REF!</definedName>
    <definedName name="ａａａ" localSheetId="8" hidden="1">#REF!</definedName>
    <definedName name="ａａａ" localSheetId="7" hidden="1">#REF!</definedName>
    <definedName name="ａａａ" localSheetId="9" hidden="1">#REF!</definedName>
    <definedName name="ａａａ" localSheetId="12" hidden="1">#REF!</definedName>
    <definedName name="ａａａ" localSheetId="11" hidden="1">#REF!</definedName>
    <definedName name="ａａａ" localSheetId="0" hidden="1">#REF!</definedName>
    <definedName name="ａａａ" hidden="1">#REF!</definedName>
    <definedName name="AAAA" localSheetId="3">#REF!</definedName>
    <definedName name="AAAA" localSheetId="4">#REF!</definedName>
    <definedName name="AAAA" localSheetId="2">#REF!</definedName>
    <definedName name="AAAA" localSheetId="10">#REF!</definedName>
    <definedName name="AAAA" localSheetId="8">#REF!</definedName>
    <definedName name="AAAA" localSheetId="7">#REF!</definedName>
    <definedName name="AAAA" localSheetId="9">#REF!</definedName>
    <definedName name="AAAA" localSheetId="12">#REF!</definedName>
    <definedName name="AAAA" localSheetId="11">#REF!</definedName>
    <definedName name="AAAA">#REF!</definedName>
    <definedName name="AAAAAAAA" localSheetId="3">#REF!</definedName>
    <definedName name="AAAAAAAA" localSheetId="4">#REF!</definedName>
    <definedName name="AAAAAAAA" localSheetId="2">#REF!</definedName>
    <definedName name="AAAAAAAA" localSheetId="10">#REF!</definedName>
    <definedName name="AAAAAAAA" localSheetId="8">#REF!</definedName>
    <definedName name="AAAAAAAA" localSheetId="7">#REF!</definedName>
    <definedName name="AAAAAAAA" localSheetId="9">#REF!</definedName>
    <definedName name="AAAAAAAA" localSheetId="12">#REF!</definedName>
    <definedName name="AAAAAAAA" localSheetId="11">#REF!</definedName>
    <definedName name="AAAAAAAA">#REF!</definedName>
    <definedName name="aaaaaaaaaaaaaaaaaaaaaaaaa" localSheetId="3" hidden="1">{"'一覧'!$A$1:$M$28"}</definedName>
    <definedName name="aaaaaaaaaaaaaaaaaaaaaaaaa" localSheetId="5" hidden="1">{"'一覧'!$A$1:$M$28"}</definedName>
    <definedName name="aaaaaaaaaaaaaaaaaaaaaaaaa" localSheetId="4" hidden="1">{"'一覧'!$A$1:$M$28"}</definedName>
    <definedName name="aaaaaaaaaaaaaaaaaaaaaaaaa" localSheetId="2" hidden="1">{"'一覧'!$A$1:$M$28"}</definedName>
    <definedName name="aaaaaaaaaaaaaaaaaaaaaaaaa" localSheetId="10" hidden="1">{"'一覧'!$A$1:$M$28"}</definedName>
    <definedName name="aaaaaaaaaaaaaaaaaaaaaaaaa" localSheetId="8" hidden="1">{"'一覧'!$A$1:$M$28"}</definedName>
    <definedName name="aaaaaaaaaaaaaaaaaaaaaaaaa" localSheetId="7" hidden="1">{"'一覧'!$A$1:$M$28"}</definedName>
    <definedName name="aaaaaaaaaaaaaaaaaaaaaaaaa" localSheetId="9" hidden="1">{"'一覧'!$A$1:$M$28"}</definedName>
    <definedName name="aaaaaaaaaaaaaaaaaaaaaaaaa" localSheetId="12" hidden="1">{"'一覧'!$A$1:$M$28"}</definedName>
    <definedName name="aaaaaaaaaaaaaaaaaaaaaaaaa" localSheetId="11" hidden="1">{"'一覧'!$A$1:$M$28"}</definedName>
    <definedName name="aaaaaaaaaaaaaaaaaaaaaaaaa" localSheetId="0" hidden="1">{"'一覧'!$A$1:$M$28"}</definedName>
    <definedName name="aaaaaaaaaaaaaaaaaaaaaaaaa" hidden="1">{"'一覧'!$A$1:$M$28"}</definedName>
    <definedName name="aaaaaaaaaaaaaaaaaaaaaaaaa_1" localSheetId="3" hidden="1">{"'一覧'!$A$1:$M$28"}</definedName>
    <definedName name="aaaaaaaaaaaaaaaaaaaaaaaaa_1" localSheetId="5" hidden="1">{"'一覧'!$A$1:$M$28"}</definedName>
    <definedName name="aaaaaaaaaaaaaaaaaaaaaaaaa_1" localSheetId="4" hidden="1">{"'一覧'!$A$1:$M$28"}</definedName>
    <definedName name="aaaaaaaaaaaaaaaaaaaaaaaaa_1" localSheetId="2" hidden="1">{"'一覧'!$A$1:$M$28"}</definedName>
    <definedName name="aaaaaaaaaaaaaaaaaaaaaaaaa_1" localSheetId="10" hidden="1">{"'一覧'!$A$1:$M$28"}</definedName>
    <definedName name="aaaaaaaaaaaaaaaaaaaaaaaaa_1" localSheetId="8" hidden="1">{"'一覧'!$A$1:$M$28"}</definedName>
    <definedName name="aaaaaaaaaaaaaaaaaaaaaaaaa_1" localSheetId="7" hidden="1">{"'一覧'!$A$1:$M$28"}</definedName>
    <definedName name="aaaaaaaaaaaaaaaaaaaaaaaaa_1" localSheetId="9" hidden="1">{"'一覧'!$A$1:$M$28"}</definedName>
    <definedName name="aaaaaaaaaaaaaaaaaaaaaaaaa_1" localSheetId="12" hidden="1">{"'一覧'!$A$1:$M$28"}</definedName>
    <definedName name="aaaaaaaaaaaaaaaaaaaaaaaaa_1" localSheetId="11" hidden="1">{"'一覧'!$A$1:$M$28"}</definedName>
    <definedName name="aaaaaaaaaaaaaaaaaaaaaaaaa_1" localSheetId="0" hidden="1">{"'一覧'!$A$1:$M$28"}</definedName>
    <definedName name="aaaaaaaaaaaaaaaaaaaaaaaaa_1" hidden="1">{"'一覧'!$A$1:$M$28"}</definedName>
    <definedName name="Access_Button" hidden="1">"外証デー他項目管理__テーブル項目説明原紙_List"</definedName>
    <definedName name="AccessDatabase" hidden="1">"C:\My Documents\１コン関連\Taiho2_SK_list.mdb"</definedName>
    <definedName name="acd" localSheetId="3" hidden="1">{"'一覧'!$A$1:$M$28"}</definedName>
    <definedName name="acd" localSheetId="5" hidden="1">{"'一覧'!$A$1:$M$28"}</definedName>
    <definedName name="acd" localSheetId="4" hidden="1">{"'一覧'!$A$1:$M$28"}</definedName>
    <definedName name="acd" localSheetId="2" hidden="1">{"'一覧'!$A$1:$M$28"}</definedName>
    <definedName name="acd" localSheetId="10" hidden="1">{"'一覧'!$A$1:$M$28"}</definedName>
    <definedName name="acd" localSheetId="8" hidden="1">{"'一覧'!$A$1:$M$28"}</definedName>
    <definedName name="acd" localSheetId="7" hidden="1">{"'一覧'!$A$1:$M$28"}</definedName>
    <definedName name="acd" localSheetId="9" hidden="1">{"'一覧'!$A$1:$M$28"}</definedName>
    <definedName name="acd" localSheetId="12" hidden="1">{"'一覧'!$A$1:$M$28"}</definedName>
    <definedName name="acd" localSheetId="11" hidden="1">{"'一覧'!$A$1:$M$28"}</definedName>
    <definedName name="acd" localSheetId="0" hidden="1">{"'一覧'!$A$1:$M$28"}</definedName>
    <definedName name="acd" hidden="1">{"'一覧'!$A$1:$M$28"}</definedName>
    <definedName name="acd_1" localSheetId="3" hidden="1">{"'一覧'!$A$1:$M$28"}</definedName>
    <definedName name="acd_1" localSheetId="5" hidden="1">{"'一覧'!$A$1:$M$28"}</definedName>
    <definedName name="acd_1" localSheetId="4" hidden="1">{"'一覧'!$A$1:$M$28"}</definedName>
    <definedName name="acd_1" localSheetId="2" hidden="1">{"'一覧'!$A$1:$M$28"}</definedName>
    <definedName name="acd_1" localSheetId="10" hidden="1">{"'一覧'!$A$1:$M$28"}</definedName>
    <definedName name="acd_1" localSheetId="8" hidden="1">{"'一覧'!$A$1:$M$28"}</definedName>
    <definedName name="acd_1" localSheetId="7" hidden="1">{"'一覧'!$A$1:$M$28"}</definedName>
    <definedName name="acd_1" localSheetId="9" hidden="1">{"'一覧'!$A$1:$M$28"}</definedName>
    <definedName name="acd_1" localSheetId="12" hidden="1">{"'一覧'!$A$1:$M$28"}</definedName>
    <definedName name="acd_1" localSheetId="11" hidden="1">{"'一覧'!$A$1:$M$28"}</definedName>
    <definedName name="acd_1" localSheetId="0" hidden="1">{"'一覧'!$A$1:$M$28"}</definedName>
    <definedName name="acd_1" hidden="1">{"'一覧'!$A$1:$M$28"}</definedName>
    <definedName name="B" hidden="1">#REF!</definedName>
    <definedName name="bb" localSheetId="3" hidden="1">{"'旅費精算ＤＴ２'!$A$1:$N$40"}</definedName>
    <definedName name="bb" localSheetId="5" hidden="1">{"'旅費精算ＤＴ２'!$A$1:$N$40"}</definedName>
    <definedName name="bb" localSheetId="4" hidden="1">{"'旅費精算ＤＴ２'!$A$1:$N$40"}</definedName>
    <definedName name="bb" localSheetId="2" hidden="1">{"'旅費精算ＤＴ２'!$A$1:$N$40"}</definedName>
    <definedName name="bb" localSheetId="10" hidden="1">{"'旅費精算ＤＴ２'!$A$1:$N$40"}</definedName>
    <definedName name="bb" localSheetId="8" hidden="1">{"'旅費精算ＤＴ２'!$A$1:$N$40"}</definedName>
    <definedName name="bb" localSheetId="7" hidden="1">{"'旅費精算ＤＴ２'!$A$1:$N$40"}</definedName>
    <definedName name="bb" localSheetId="9" hidden="1">{"'旅費精算ＤＴ２'!$A$1:$N$40"}</definedName>
    <definedName name="bb" localSheetId="12" hidden="1">{"'旅費精算ＤＴ２'!$A$1:$N$40"}</definedName>
    <definedName name="bb" localSheetId="11" hidden="1">{"'旅費精算ＤＴ２'!$A$1:$N$40"}</definedName>
    <definedName name="bb" localSheetId="0" hidden="1">{"'旅費精算ＤＴ２'!$A$1:$N$40"}</definedName>
    <definedName name="bb" hidden="1">{"'旅費精算ＤＴ２'!$A$1:$N$40"}</definedName>
    <definedName name="bb_1" localSheetId="3" hidden="1">{"'旅費精算ＤＴ２'!$A$1:$N$40"}</definedName>
    <definedName name="bb_1" localSheetId="5" hidden="1">{"'旅費精算ＤＴ２'!$A$1:$N$40"}</definedName>
    <definedName name="bb_1" localSheetId="4" hidden="1">{"'旅費精算ＤＴ２'!$A$1:$N$40"}</definedName>
    <definedName name="bb_1" localSheetId="2" hidden="1">{"'旅費精算ＤＴ２'!$A$1:$N$40"}</definedName>
    <definedName name="bb_1" localSheetId="10" hidden="1">{"'旅費精算ＤＴ２'!$A$1:$N$40"}</definedName>
    <definedName name="bb_1" localSheetId="8" hidden="1">{"'旅費精算ＤＴ２'!$A$1:$N$40"}</definedName>
    <definedName name="bb_1" localSheetId="7" hidden="1">{"'旅費精算ＤＴ２'!$A$1:$N$40"}</definedName>
    <definedName name="bb_1" localSheetId="9" hidden="1">{"'旅費精算ＤＴ２'!$A$1:$N$40"}</definedName>
    <definedName name="bb_1" localSheetId="12" hidden="1">{"'旅費精算ＤＴ２'!$A$1:$N$40"}</definedName>
    <definedName name="bb_1" localSheetId="11" hidden="1">{"'旅費精算ＤＴ２'!$A$1:$N$40"}</definedName>
    <definedName name="bb_1" localSheetId="0" hidden="1">{"'旅費精算ＤＴ２'!$A$1:$N$40"}</definedName>
    <definedName name="bb_1" hidden="1">{"'旅費精算ＤＴ２'!$A$1:$N$40"}</definedName>
    <definedName name="C_TBL.C_TBL" localSheetId="3">'【サンプル】UNION ALLを使用したパターン'!C_TBL.C_TBL</definedName>
    <definedName name="C_TBL.C_TBL" localSheetId="5">【サンプル】カード受注ヘッダ_受注_一覧表示用_old!C_TBL.C_TBL</definedName>
    <definedName name="C_TBL.C_TBL" localSheetId="4">【サンプル】カード受注ヘッダ_受注_個別CSV用!C_TBL.C_TBL</definedName>
    <definedName name="C_TBL.C_TBL" localSheetId="2">【サンプル】備考欄に結合条件を記載パターン!C_TBL.C_TBL</definedName>
    <definedName name="C_TBL.C_TBL" localSheetId="10">カード受注ヘッダ_CKU010S01B02_チェック用!C_TBL.C_TBL</definedName>
    <definedName name="C_TBL.C_TBL" localSheetId="8">カード受注ヘッダ_CKU010S01B02_ヘッダ表示用!C_TBL.C_TBL</definedName>
    <definedName name="C_TBL.C_TBL" localSheetId="7">カード受注ヘッダ_受注_個別CSV用!C_TBL.C_TBL</definedName>
    <definedName name="C_TBL.C_TBL" localSheetId="9">カード受注明細_CKU010S01B02_明細表示用!C_TBL.C_TBL</definedName>
    <definedName name="C_TBL.C_TBL" localSheetId="12">フォーマット!C_TBL.C_TBL</definedName>
    <definedName name="C_TBL.C_TBL" localSheetId="11">ホールマスタ_CKU010D02B01_一覧表示用!C_TBL.C_TBL</definedName>
    <definedName name="C_TBL.C_TBL" localSheetId="0">改版履歴!C_TBL.C_TBL</definedName>
    <definedName name="C_TBL.C_TBL">[0]!C_TBL.C_TBL</definedName>
    <definedName name="Cancel_DFDS" localSheetId="3">#REF!</definedName>
    <definedName name="Cancel_DFDS" localSheetId="4">#REF!</definedName>
    <definedName name="Cancel_DFDS" localSheetId="2">#REF!</definedName>
    <definedName name="Cancel_DFDS" localSheetId="10">#REF!</definedName>
    <definedName name="Cancel_DFDS" localSheetId="8">#REF!</definedName>
    <definedName name="Cancel_DFDS" localSheetId="7">#REF!</definedName>
    <definedName name="Cancel_DFDS" localSheetId="9">#REF!</definedName>
    <definedName name="Cancel_DFDS" localSheetId="12">#REF!</definedName>
    <definedName name="Cancel_DFDS" localSheetId="11">#REF!</definedName>
    <definedName name="Cancel_DFDS">#REF!</definedName>
    <definedName name="ｃｃｃ" localSheetId="3" hidden="1">{"'一覧'!$A$1:$M$28"}</definedName>
    <definedName name="ｃｃｃ" localSheetId="5" hidden="1">{"'一覧'!$A$1:$M$28"}</definedName>
    <definedName name="ｃｃｃ" localSheetId="4" hidden="1">{"'一覧'!$A$1:$M$28"}</definedName>
    <definedName name="ｃｃｃ" localSheetId="2" hidden="1">{"'一覧'!$A$1:$M$28"}</definedName>
    <definedName name="ｃｃｃ" localSheetId="10" hidden="1">{"'一覧'!$A$1:$M$28"}</definedName>
    <definedName name="ｃｃｃ" localSheetId="8" hidden="1">{"'一覧'!$A$1:$M$28"}</definedName>
    <definedName name="ｃｃｃ" localSheetId="7" hidden="1">{"'一覧'!$A$1:$M$28"}</definedName>
    <definedName name="ｃｃｃ" localSheetId="9" hidden="1">{"'一覧'!$A$1:$M$28"}</definedName>
    <definedName name="ｃｃｃ" localSheetId="12" hidden="1">{"'一覧'!$A$1:$M$28"}</definedName>
    <definedName name="ｃｃｃ" localSheetId="11" hidden="1">{"'一覧'!$A$1:$M$28"}</definedName>
    <definedName name="ｃｃｃ" localSheetId="0" hidden="1">{"'一覧'!$A$1:$M$28"}</definedName>
    <definedName name="ｃｃｃ" hidden="1">{"'一覧'!$A$1:$M$28"}</definedName>
    <definedName name="ｃｃｃ_1" localSheetId="3" hidden="1">{"'一覧'!$A$1:$M$28"}</definedName>
    <definedName name="ｃｃｃ_1" localSheetId="5" hidden="1">{"'一覧'!$A$1:$M$28"}</definedName>
    <definedName name="ｃｃｃ_1" localSheetId="4" hidden="1">{"'一覧'!$A$1:$M$28"}</definedName>
    <definedName name="ｃｃｃ_1" localSheetId="2" hidden="1">{"'一覧'!$A$1:$M$28"}</definedName>
    <definedName name="ｃｃｃ_1" localSheetId="10" hidden="1">{"'一覧'!$A$1:$M$28"}</definedName>
    <definedName name="ｃｃｃ_1" localSheetId="8" hidden="1">{"'一覧'!$A$1:$M$28"}</definedName>
    <definedName name="ｃｃｃ_1" localSheetId="7" hidden="1">{"'一覧'!$A$1:$M$28"}</definedName>
    <definedName name="ｃｃｃ_1" localSheetId="9" hidden="1">{"'一覧'!$A$1:$M$28"}</definedName>
    <definedName name="ｃｃｃ_1" localSheetId="12" hidden="1">{"'一覧'!$A$1:$M$28"}</definedName>
    <definedName name="ｃｃｃ_1" localSheetId="11" hidden="1">{"'一覧'!$A$1:$M$28"}</definedName>
    <definedName name="ｃｃｃ_1" localSheetId="0" hidden="1">{"'一覧'!$A$1:$M$28"}</definedName>
    <definedName name="ｃｃｃ_1" hidden="1">{"'一覧'!$A$1:$M$28"}</definedName>
    <definedName name="CLICK_CTL7" localSheetId="3">'【サンプル】UNION ALLを使用したパターン'!CLICK_CTL7</definedName>
    <definedName name="CLICK_CTL7" localSheetId="5">【サンプル】カード受注ヘッダ_受注_一覧表示用_old!CLICK_CTL7</definedName>
    <definedName name="CLICK_CTL7" localSheetId="4">【サンプル】カード受注ヘッダ_受注_個別CSV用!CLICK_CTL7</definedName>
    <definedName name="CLICK_CTL7" localSheetId="2">【サンプル】備考欄に結合条件を記載パターン!CLICK_CTL7</definedName>
    <definedName name="CLICK_CTL7" localSheetId="10">カード受注ヘッダ_CKU010S01B02_チェック用!CLICK_CTL7</definedName>
    <definedName name="CLICK_CTL7" localSheetId="8">カード受注ヘッダ_CKU010S01B02_ヘッダ表示用!CLICK_CTL7</definedName>
    <definedName name="CLICK_CTL7" localSheetId="7">カード受注ヘッダ_受注_個別CSV用!CLICK_CTL7</definedName>
    <definedName name="CLICK_CTL7" localSheetId="9">カード受注明細_CKU010S01B02_明細表示用!CLICK_CTL7</definedName>
    <definedName name="CLICK_CTL7" localSheetId="12">フォーマット!CLICK_CTL7</definedName>
    <definedName name="CLICK_CTL7" localSheetId="11">ホールマスタ_CKU010D02B01_一覧表示用!CLICK_CTL7</definedName>
    <definedName name="CLICK_CTL7" localSheetId="0">改版履歴!CLICK_CTL7</definedName>
    <definedName name="CLICK_CTL7">[0]!CLICK_CTL7</definedName>
    <definedName name="COLNUM" localSheetId="3">#REF!</definedName>
    <definedName name="COLNUM" localSheetId="4">#REF!</definedName>
    <definedName name="COLNUM" localSheetId="2">#REF!</definedName>
    <definedName name="COLNUM" localSheetId="10">#REF!</definedName>
    <definedName name="COLNUM" localSheetId="8">#REF!</definedName>
    <definedName name="COLNUM" localSheetId="7">#REF!</definedName>
    <definedName name="COLNUM" localSheetId="9">#REF!</definedName>
    <definedName name="COLNUM" localSheetId="12">#REF!</definedName>
    <definedName name="COLNUM" localSheetId="11">#REF!</definedName>
    <definedName name="COLNUM">#REF!</definedName>
    <definedName name="COLSZ" localSheetId="3">#REF!</definedName>
    <definedName name="COLSZ" localSheetId="4">#REF!</definedName>
    <definedName name="COLSZ" localSheetId="2">#REF!</definedName>
    <definedName name="COLSZ" localSheetId="10">#REF!</definedName>
    <definedName name="COLSZ" localSheetId="8">#REF!</definedName>
    <definedName name="COLSZ" localSheetId="7">#REF!</definedName>
    <definedName name="COLSZ" localSheetId="9">#REF!</definedName>
    <definedName name="COLSZ" localSheetId="12">#REF!</definedName>
    <definedName name="COLSZ" localSheetId="11">#REF!</definedName>
    <definedName name="COLSZ">#REF!</definedName>
    <definedName name="cscscscscscscs" localSheetId="3" hidden="1">{"'一覧'!$A$1:$M$28"}</definedName>
    <definedName name="cscscscscscscs" localSheetId="5" hidden="1">{"'一覧'!$A$1:$M$28"}</definedName>
    <definedName name="cscscscscscscs" localSheetId="4" hidden="1">{"'一覧'!$A$1:$M$28"}</definedName>
    <definedName name="cscscscscscscs" localSheetId="2" hidden="1">{"'一覧'!$A$1:$M$28"}</definedName>
    <definedName name="cscscscscscscs" localSheetId="10" hidden="1">{"'一覧'!$A$1:$M$28"}</definedName>
    <definedName name="cscscscscscscs" localSheetId="8" hidden="1">{"'一覧'!$A$1:$M$28"}</definedName>
    <definedName name="cscscscscscscs" localSheetId="7" hidden="1">{"'一覧'!$A$1:$M$28"}</definedName>
    <definedName name="cscscscscscscs" localSheetId="9" hidden="1">{"'一覧'!$A$1:$M$28"}</definedName>
    <definedName name="cscscscscscscs" localSheetId="12" hidden="1">{"'一覧'!$A$1:$M$28"}</definedName>
    <definedName name="cscscscscscscs" localSheetId="11" hidden="1">{"'一覧'!$A$1:$M$28"}</definedName>
    <definedName name="cscscscscscscs" localSheetId="0" hidden="1">{"'一覧'!$A$1:$M$28"}</definedName>
    <definedName name="cscscscscscscs" hidden="1">{"'一覧'!$A$1:$M$28"}</definedName>
    <definedName name="cscscscscscscs_1" localSheetId="3" hidden="1">{"'一覧'!$A$1:$M$28"}</definedName>
    <definedName name="cscscscscscscs_1" localSheetId="5" hidden="1">{"'一覧'!$A$1:$M$28"}</definedName>
    <definedName name="cscscscscscscs_1" localSheetId="4" hidden="1">{"'一覧'!$A$1:$M$28"}</definedName>
    <definedName name="cscscscscscscs_1" localSheetId="2" hidden="1">{"'一覧'!$A$1:$M$28"}</definedName>
    <definedName name="cscscscscscscs_1" localSheetId="10" hidden="1">{"'一覧'!$A$1:$M$28"}</definedName>
    <definedName name="cscscscscscscs_1" localSheetId="8" hidden="1">{"'一覧'!$A$1:$M$28"}</definedName>
    <definedName name="cscscscscscscs_1" localSheetId="7" hidden="1">{"'一覧'!$A$1:$M$28"}</definedName>
    <definedName name="cscscscscscscs_1" localSheetId="9" hidden="1">{"'一覧'!$A$1:$M$28"}</definedName>
    <definedName name="cscscscscscscs_1" localSheetId="12" hidden="1">{"'一覧'!$A$1:$M$28"}</definedName>
    <definedName name="cscscscscscscs_1" localSheetId="11" hidden="1">{"'一覧'!$A$1:$M$28"}</definedName>
    <definedName name="cscscscscscscs_1" localSheetId="0" hidden="1">{"'一覧'!$A$1:$M$28"}</definedName>
    <definedName name="cscscscscscscs_1" hidden="1">{"'一覧'!$A$1:$M$28"}</definedName>
    <definedName name="cxs" localSheetId="3" hidden="1">{"'一覧'!$A$1:$M$28"}</definedName>
    <definedName name="cxs" localSheetId="5" hidden="1">{"'一覧'!$A$1:$M$28"}</definedName>
    <definedName name="cxs" localSheetId="4" hidden="1">{"'一覧'!$A$1:$M$28"}</definedName>
    <definedName name="cxs" localSheetId="2" hidden="1">{"'一覧'!$A$1:$M$28"}</definedName>
    <definedName name="cxs" localSheetId="10" hidden="1">{"'一覧'!$A$1:$M$28"}</definedName>
    <definedName name="cxs" localSheetId="8" hidden="1">{"'一覧'!$A$1:$M$28"}</definedName>
    <definedName name="cxs" localSheetId="7" hidden="1">{"'一覧'!$A$1:$M$28"}</definedName>
    <definedName name="cxs" localSheetId="9" hidden="1">{"'一覧'!$A$1:$M$28"}</definedName>
    <definedName name="cxs" localSheetId="12" hidden="1">{"'一覧'!$A$1:$M$28"}</definedName>
    <definedName name="cxs" localSheetId="11" hidden="1">{"'一覧'!$A$1:$M$28"}</definedName>
    <definedName name="cxs" localSheetId="0" hidden="1">{"'一覧'!$A$1:$M$28"}</definedName>
    <definedName name="cxs" hidden="1">{"'一覧'!$A$1:$M$28"}</definedName>
    <definedName name="cxs_1" localSheetId="3" hidden="1">{"'一覧'!$A$1:$M$28"}</definedName>
    <definedName name="cxs_1" localSheetId="5" hidden="1">{"'一覧'!$A$1:$M$28"}</definedName>
    <definedName name="cxs_1" localSheetId="4" hidden="1">{"'一覧'!$A$1:$M$28"}</definedName>
    <definedName name="cxs_1" localSheetId="2" hidden="1">{"'一覧'!$A$1:$M$28"}</definedName>
    <definedName name="cxs_1" localSheetId="10" hidden="1">{"'一覧'!$A$1:$M$28"}</definedName>
    <definedName name="cxs_1" localSheetId="8" hidden="1">{"'一覧'!$A$1:$M$28"}</definedName>
    <definedName name="cxs_1" localSheetId="7" hidden="1">{"'一覧'!$A$1:$M$28"}</definedName>
    <definedName name="cxs_1" localSheetId="9" hidden="1">{"'一覧'!$A$1:$M$28"}</definedName>
    <definedName name="cxs_1" localSheetId="12" hidden="1">{"'一覧'!$A$1:$M$28"}</definedName>
    <definedName name="cxs_1" localSheetId="11" hidden="1">{"'一覧'!$A$1:$M$28"}</definedName>
    <definedName name="cxs_1" localSheetId="0" hidden="1">{"'一覧'!$A$1:$M$28"}</definedName>
    <definedName name="cxs_1" hidden="1">{"'一覧'!$A$1:$M$28"}</definedName>
    <definedName name="d" localSheetId="3" hidden="1">{"'定型検索項目'!$W$2:$AS$270"}</definedName>
    <definedName name="d" localSheetId="5" hidden="1">{"'定型検索項目'!$W$2:$AS$270"}</definedName>
    <definedName name="d" localSheetId="4" hidden="1">{"'定型検索項目'!$W$2:$AS$270"}</definedName>
    <definedName name="d" localSheetId="2" hidden="1">{"'定型検索項目'!$W$2:$AS$270"}</definedName>
    <definedName name="d" localSheetId="10" hidden="1">{"'定型検索項目'!$W$2:$AS$270"}</definedName>
    <definedName name="d" localSheetId="8" hidden="1">{"'定型検索項目'!$W$2:$AS$270"}</definedName>
    <definedName name="d" localSheetId="7" hidden="1">{"'定型検索項目'!$W$2:$AS$270"}</definedName>
    <definedName name="d" localSheetId="9" hidden="1">{"'定型検索項目'!$W$2:$AS$270"}</definedName>
    <definedName name="d" localSheetId="12" hidden="1">{"'定型検索項目'!$W$2:$AS$270"}</definedName>
    <definedName name="d" localSheetId="11" hidden="1">{"'定型検索項目'!$W$2:$AS$270"}</definedName>
    <definedName name="d" localSheetId="0" hidden="1">{"'定型検索項目'!$W$2:$AS$270"}</definedName>
    <definedName name="d" hidden="1">{"'定型検索項目'!$W$2:$AS$270"}</definedName>
    <definedName name="d_1" localSheetId="3" hidden="1">{"'定型検索項目'!$W$2:$AS$270"}</definedName>
    <definedName name="d_1" localSheetId="5" hidden="1">{"'定型検索項目'!$W$2:$AS$270"}</definedName>
    <definedName name="d_1" localSheetId="4" hidden="1">{"'定型検索項目'!$W$2:$AS$270"}</definedName>
    <definedName name="d_1" localSheetId="2" hidden="1">{"'定型検索項目'!$W$2:$AS$270"}</definedName>
    <definedName name="d_1" localSheetId="10" hidden="1">{"'定型検索項目'!$W$2:$AS$270"}</definedName>
    <definedName name="d_1" localSheetId="8" hidden="1">{"'定型検索項目'!$W$2:$AS$270"}</definedName>
    <definedName name="d_1" localSheetId="7" hidden="1">{"'定型検索項目'!$W$2:$AS$270"}</definedName>
    <definedName name="d_1" localSheetId="9" hidden="1">{"'定型検索項目'!$W$2:$AS$270"}</definedName>
    <definedName name="d_1" localSheetId="12" hidden="1">{"'定型検索項目'!$W$2:$AS$270"}</definedName>
    <definedName name="d_1" localSheetId="11" hidden="1">{"'定型検索項目'!$W$2:$AS$270"}</definedName>
    <definedName name="d_1" localSheetId="0" hidden="1">{"'定型検索項目'!$W$2:$AS$270"}</definedName>
    <definedName name="d_1" hidden="1">{"'定型検索項目'!$W$2:$AS$270"}</definedName>
    <definedName name="DB型">[1]リスト!$B$1:$B$6</definedName>
    <definedName name="Dlog_bk_prj_id">"エディット 12"</definedName>
    <definedName name="Dlog_bk_prj_name">"エディット 13"</definedName>
    <definedName name="Dlog_bk_sht_id">"エディット 14"</definedName>
    <definedName name="Dlog_sh_sht_name">"ドロップ 95"</definedName>
    <definedName name="Form1_Show" localSheetId="3">'【サンプル】UNION ALLを使用したパターン'!Form1_Show</definedName>
    <definedName name="Form1_Show" localSheetId="5">【サンプル】カード受注ヘッダ_受注_一覧表示用_old!Form1_Show</definedName>
    <definedName name="Form1_Show" localSheetId="4">【サンプル】カード受注ヘッダ_受注_個別CSV用!Form1_Show</definedName>
    <definedName name="Form1_Show" localSheetId="2">【サンプル】備考欄に結合条件を記載パターン!Form1_Show</definedName>
    <definedName name="Form1_Show" localSheetId="10">カード受注ヘッダ_CKU010S01B02_チェック用!Form1_Show</definedName>
    <definedName name="Form1_Show" localSheetId="8">カード受注ヘッダ_CKU010S01B02_ヘッダ表示用!Form1_Show</definedName>
    <definedName name="Form1_Show" localSheetId="7">カード受注ヘッダ_受注_個別CSV用!Form1_Show</definedName>
    <definedName name="Form1_Show" localSheetId="9">カード受注明細_CKU010S01B02_明細表示用!Form1_Show</definedName>
    <definedName name="Form1_Show" localSheetId="12">フォーマット!Form1_Show</definedName>
    <definedName name="Form1_Show" localSheetId="11">ホールマスタ_CKU010D02B01_一覧表示用!Form1_Show</definedName>
    <definedName name="Form1_Show">[0]!Form1_Show</definedName>
    <definedName name="Form2_Show" localSheetId="3">'【サンプル】UNION ALLを使用したパターン'!Form2_Show</definedName>
    <definedName name="Form2_Show" localSheetId="5">【サンプル】カード受注ヘッダ_受注_一覧表示用_old!Form2_Show</definedName>
    <definedName name="Form2_Show" localSheetId="4">【サンプル】カード受注ヘッダ_受注_個別CSV用!Form2_Show</definedName>
    <definedName name="Form2_Show" localSheetId="2">【サンプル】備考欄に結合条件を記載パターン!Form2_Show</definedName>
    <definedName name="Form2_Show" localSheetId="10">カード受注ヘッダ_CKU010S01B02_チェック用!Form2_Show</definedName>
    <definedName name="Form2_Show" localSheetId="8">カード受注ヘッダ_CKU010S01B02_ヘッダ表示用!Form2_Show</definedName>
    <definedName name="Form2_Show" localSheetId="7">カード受注ヘッダ_受注_個別CSV用!Form2_Show</definedName>
    <definedName name="Form2_Show" localSheetId="9">カード受注明細_CKU010S01B02_明細表示用!Form2_Show</definedName>
    <definedName name="Form2_Show" localSheetId="12">フォーマット!Form2_Show</definedName>
    <definedName name="Form2_Show" localSheetId="11">ホールマスタ_CKU010D02B01_一覧表示用!Form2_Show</definedName>
    <definedName name="Form2_Show">[0]!Form2_Show</definedName>
    <definedName name="GO" localSheetId="3">#REF!</definedName>
    <definedName name="GO" localSheetId="4">#REF!</definedName>
    <definedName name="GO" localSheetId="2">#REF!</definedName>
    <definedName name="GO" localSheetId="10">#REF!</definedName>
    <definedName name="GO" localSheetId="8">#REF!</definedName>
    <definedName name="GO" localSheetId="7">#REF!</definedName>
    <definedName name="GO" localSheetId="9">#REF!</definedName>
    <definedName name="GO" localSheetId="12">#REF!</definedName>
    <definedName name="GO" localSheetId="11">#REF!</definedName>
    <definedName name="GO">#REF!</definedName>
    <definedName name="GOKEI" localSheetId="3">#REF!</definedName>
    <definedName name="GOKEI" localSheetId="4">#REF!</definedName>
    <definedName name="GOKEI" localSheetId="2">#REF!</definedName>
    <definedName name="GOKEI" localSheetId="10">#REF!</definedName>
    <definedName name="GOKEI" localSheetId="8">#REF!</definedName>
    <definedName name="GOKEI" localSheetId="7">#REF!</definedName>
    <definedName name="GOKEI" localSheetId="9">#REF!</definedName>
    <definedName name="GOKEI" localSheetId="12">#REF!</definedName>
    <definedName name="GOKEI" localSheetId="11">#REF!</definedName>
    <definedName name="GOKEI">#REF!</definedName>
    <definedName name="gokei_11" localSheetId="3">#REF!</definedName>
    <definedName name="gokei_11" localSheetId="4">#REF!</definedName>
    <definedName name="gokei_11" localSheetId="2">#REF!</definedName>
    <definedName name="gokei_11" localSheetId="10">#REF!</definedName>
    <definedName name="gokei_11" localSheetId="8">#REF!</definedName>
    <definedName name="gokei_11" localSheetId="7">#REF!</definedName>
    <definedName name="gokei_11" localSheetId="9">#REF!</definedName>
    <definedName name="gokei_11" localSheetId="12">#REF!</definedName>
    <definedName name="gokei_11" localSheetId="11">#REF!</definedName>
    <definedName name="gokei_11">#REF!</definedName>
    <definedName name="gokei_11_1" localSheetId="3">#REF!</definedName>
    <definedName name="gokei_11_1" localSheetId="4">#REF!</definedName>
    <definedName name="gokei_11_1" localSheetId="2">#REF!</definedName>
    <definedName name="gokei_11_1" localSheetId="10">#REF!</definedName>
    <definedName name="gokei_11_1" localSheetId="8">#REF!</definedName>
    <definedName name="gokei_11_1" localSheetId="7">#REF!</definedName>
    <definedName name="gokei_11_1" localSheetId="9">#REF!</definedName>
    <definedName name="gokei_11_1" localSheetId="12">#REF!</definedName>
    <definedName name="gokei_11_1" localSheetId="11">#REF!</definedName>
    <definedName name="gokei_11_1">#REF!</definedName>
    <definedName name="GOKEI01" localSheetId="3">#REF!</definedName>
    <definedName name="GOKEI01" localSheetId="4">#REF!</definedName>
    <definedName name="GOKEI01" localSheetId="2">#REF!</definedName>
    <definedName name="GOKEI01" localSheetId="10">#REF!</definedName>
    <definedName name="GOKEI01" localSheetId="8">#REF!</definedName>
    <definedName name="GOKEI01" localSheetId="7">#REF!</definedName>
    <definedName name="GOKEI01" localSheetId="9">#REF!</definedName>
    <definedName name="GOKEI01" localSheetId="12">#REF!</definedName>
    <definedName name="GOKEI01" localSheetId="11">#REF!</definedName>
    <definedName name="GOKEI01">#REF!</definedName>
    <definedName name="GOKEI02" localSheetId="3">#REF!</definedName>
    <definedName name="GOKEI02" localSheetId="4">#REF!</definedName>
    <definedName name="GOKEI02" localSheetId="2">#REF!</definedName>
    <definedName name="GOKEI02" localSheetId="10">#REF!</definedName>
    <definedName name="GOKEI02" localSheetId="8">#REF!</definedName>
    <definedName name="GOKEI02" localSheetId="7">#REF!</definedName>
    <definedName name="GOKEI02" localSheetId="9">#REF!</definedName>
    <definedName name="GOKEI02" localSheetId="12">#REF!</definedName>
    <definedName name="GOKEI02" localSheetId="11">#REF!</definedName>
    <definedName name="GOKEI02">#REF!</definedName>
    <definedName name="GOKEI03" localSheetId="3">#REF!</definedName>
    <definedName name="GOKEI03" localSheetId="4">#REF!</definedName>
    <definedName name="GOKEI03" localSheetId="2">#REF!</definedName>
    <definedName name="GOKEI03" localSheetId="10">#REF!</definedName>
    <definedName name="GOKEI03" localSheetId="8">#REF!</definedName>
    <definedName name="GOKEI03" localSheetId="7">#REF!</definedName>
    <definedName name="GOKEI03" localSheetId="9">#REF!</definedName>
    <definedName name="GOKEI03" localSheetId="12">#REF!</definedName>
    <definedName name="GOKEI03" localSheetId="11">#REF!</definedName>
    <definedName name="GOKEI03">#REF!</definedName>
    <definedName name="GOKEI04" localSheetId="3">#REF!</definedName>
    <definedName name="GOKEI04" localSheetId="4">#REF!</definedName>
    <definedName name="GOKEI04" localSheetId="2">#REF!</definedName>
    <definedName name="GOKEI04" localSheetId="10">#REF!</definedName>
    <definedName name="GOKEI04" localSheetId="8">#REF!</definedName>
    <definedName name="GOKEI04" localSheetId="7">#REF!</definedName>
    <definedName name="GOKEI04" localSheetId="9">#REF!</definedName>
    <definedName name="GOKEI04" localSheetId="12">#REF!</definedName>
    <definedName name="GOKEI04" localSheetId="11">#REF!</definedName>
    <definedName name="GOKEI04">#REF!</definedName>
    <definedName name="GOKEI05" localSheetId="3">#REF!</definedName>
    <definedName name="GOKEI05" localSheetId="4">#REF!</definedName>
    <definedName name="GOKEI05" localSheetId="2">#REF!</definedName>
    <definedName name="GOKEI05" localSheetId="10">#REF!</definedName>
    <definedName name="GOKEI05" localSheetId="8">#REF!</definedName>
    <definedName name="GOKEI05" localSheetId="7">#REF!</definedName>
    <definedName name="GOKEI05" localSheetId="9">#REF!</definedName>
    <definedName name="GOKEI05" localSheetId="12">#REF!</definedName>
    <definedName name="GOKEI05" localSheetId="11">#REF!</definedName>
    <definedName name="GOKEI05">#REF!</definedName>
    <definedName name="GOKEI06" localSheetId="3">#REF!</definedName>
    <definedName name="GOKEI06" localSheetId="4">#REF!</definedName>
    <definedName name="GOKEI06" localSheetId="2">#REF!</definedName>
    <definedName name="GOKEI06" localSheetId="10">#REF!</definedName>
    <definedName name="GOKEI06" localSheetId="8">#REF!</definedName>
    <definedName name="GOKEI06" localSheetId="7">#REF!</definedName>
    <definedName name="GOKEI06" localSheetId="9">#REF!</definedName>
    <definedName name="GOKEI06" localSheetId="12">#REF!</definedName>
    <definedName name="GOKEI06" localSheetId="11">#REF!</definedName>
    <definedName name="GOKEI06">#REF!</definedName>
    <definedName name="GOKEI07" localSheetId="3">#REF!</definedName>
    <definedName name="GOKEI07" localSheetId="4">#REF!</definedName>
    <definedName name="GOKEI07" localSheetId="2">#REF!</definedName>
    <definedName name="GOKEI07" localSheetId="10">#REF!</definedName>
    <definedName name="GOKEI07" localSheetId="8">#REF!</definedName>
    <definedName name="GOKEI07" localSheetId="7">#REF!</definedName>
    <definedName name="GOKEI07" localSheetId="9">#REF!</definedName>
    <definedName name="GOKEI07" localSheetId="12">#REF!</definedName>
    <definedName name="GOKEI07" localSheetId="11">#REF!</definedName>
    <definedName name="GOKEI07">#REF!</definedName>
    <definedName name="GOKEI08" localSheetId="3">#REF!</definedName>
    <definedName name="GOKEI08" localSheetId="4">#REF!</definedName>
    <definedName name="GOKEI08" localSheetId="2">#REF!</definedName>
    <definedName name="GOKEI08" localSheetId="10">#REF!</definedName>
    <definedName name="GOKEI08" localSheetId="8">#REF!</definedName>
    <definedName name="GOKEI08" localSheetId="7">#REF!</definedName>
    <definedName name="GOKEI08" localSheetId="9">#REF!</definedName>
    <definedName name="GOKEI08" localSheetId="12">#REF!</definedName>
    <definedName name="GOKEI08" localSheetId="11">#REF!</definedName>
    <definedName name="GOKEI08">#REF!</definedName>
    <definedName name="GOKEI09" localSheetId="3">#REF!</definedName>
    <definedName name="GOKEI09" localSheetId="4">#REF!</definedName>
    <definedName name="GOKEI09" localSheetId="2">#REF!</definedName>
    <definedName name="GOKEI09" localSheetId="10">#REF!</definedName>
    <definedName name="GOKEI09" localSheetId="8">#REF!</definedName>
    <definedName name="GOKEI09" localSheetId="7">#REF!</definedName>
    <definedName name="GOKEI09" localSheetId="9">#REF!</definedName>
    <definedName name="GOKEI09" localSheetId="12">#REF!</definedName>
    <definedName name="GOKEI09" localSheetId="11">#REF!</definedName>
    <definedName name="GOKEI09">#REF!</definedName>
    <definedName name="gokei1" localSheetId="3">#REF!</definedName>
    <definedName name="gokei1" localSheetId="4">#REF!</definedName>
    <definedName name="gokei1" localSheetId="2">#REF!</definedName>
    <definedName name="gokei1" localSheetId="10">#REF!</definedName>
    <definedName name="gokei1" localSheetId="8">#REF!</definedName>
    <definedName name="gokei1" localSheetId="7">#REF!</definedName>
    <definedName name="gokei1" localSheetId="9">#REF!</definedName>
    <definedName name="gokei1" localSheetId="12">#REF!</definedName>
    <definedName name="gokei1" localSheetId="11">#REF!</definedName>
    <definedName name="gokei1">#REF!</definedName>
    <definedName name="GOKEI2" localSheetId="3">#REF!</definedName>
    <definedName name="GOKEI2" localSheetId="4">#REF!</definedName>
    <definedName name="GOKEI2" localSheetId="2">#REF!</definedName>
    <definedName name="GOKEI2" localSheetId="10">#REF!</definedName>
    <definedName name="GOKEI2" localSheetId="8">#REF!</definedName>
    <definedName name="GOKEI2" localSheetId="7">#REF!</definedName>
    <definedName name="GOKEI2" localSheetId="9">#REF!</definedName>
    <definedName name="GOKEI2" localSheetId="12">#REF!</definedName>
    <definedName name="GOKEI2" localSheetId="11">#REF!</definedName>
    <definedName name="GOKEI2">#REF!</definedName>
    <definedName name="GOKEI3" localSheetId="3">#REF!</definedName>
    <definedName name="GOKEI3" localSheetId="4">#REF!</definedName>
    <definedName name="GOKEI3" localSheetId="2">#REF!</definedName>
    <definedName name="GOKEI3" localSheetId="10">#REF!</definedName>
    <definedName name="GOKEI3" localSheetId="8">#REF!</definedName>
    <definedName name="GOKEI3" localSheetId="7">#REF!</definedName>
    <definedName name="GOKEI3" localSheetId="9">#REF!</definedName>
    <definedName name="GOKEI3" localSheetId="12">#REF!</definedName>
    <definedName name="GOKEI3" localSheetId="11">#REF!</definedName>
    <definedName name="GOKEI3">#REF!</definedName>
    <definedName name="GOKEI4" localSheetId="3">#REF!</definedName>
    <definedName name="GOKEI4" localSheetId="4">#REF!</definedName>
    <definedName name="GOKEI4" localSheetId="2">#REF!</definedName>
    <definedName name="GOKEI4" localSheetId="10">#REF!</definedName>
    <definedName name="GOKEI4" localSheetId="8">#REF!</definedName>
    <definedName name="GOKEI4" localSheetId="7">#REF!</definedName>
    <definedName name="GOKEI4" localSheetId="9">#REF!</definedName>
    <definedName name="GOKEI4" localSheetId="12">#REF!</definedName>
    <definedName name="GOKEI4" localSheetId="11">#REF!</definedName>
    <definedName name="GOKEI4">#REF!</definedName>
    <definedName name="GOKEI5" localSheetId="3">#REF!</definedName>
    <definedName name="GOKEI5" localSheetId="4">#REF!</definedName>
    <definedName name="GOKEI5" localSheetId="2">#REF!</definedName>
    <definedName name="GOKEI5" localSheetId="10">#REF!</definedName>
    <definedName name="GOKEI5" localSheetId="8">#REF!</definedName>
    <definedName name="GOKEI5" localSheetId="7">#REF!</definedName>
    <definedName name="GOKEI5" localSheetId="9">#REF!</definedName>
    <definedName name="GOKEI5" localSheetId="12">#REF!</definedName>
    <definedName name="GOKEI5" localSheetId="11">#REF!</definedName>
    <definedName name="GOKEI5">#REF!</definedName>
    <definedName name="GOKEI6" localSheetId="3">#REF!</definedName>
    <definedName name="GOKEI6" localSheetId="4">#REF!</definedName>
    <definedName name="GOKEI6" localSheetId="2">#REF!</definedName>
    <definedName name="GOKEI6" localSheetId="10">#REF!</definedName>
    <definedName name="GOKEI6" localSheetId="8">#REF!</definedName>
    <definedName name="GOKEI6" localSheetId="7">#REF!</definedName>
    <definedName name="GOKEI6" localSheetId="9">#REF!</definedName>
    <definedName name="GOKEI6" localSheetId="12">#REF!</definedName>
    <definedName name="GOKEI6" localSheetId="11">#REF!</definedName>
    <definedName name="GOKEI6">#REF!</definedName>
    <definedName name="GOKEI7" localSheetId="3">#REF!</definedName>
    <definedName name="GOKEI7" localSheetId="4">#REF!</definedName>
    <definedName name="GOKEI7" localSheetId="2">#REF!</definedName>
    <definedName name="GOKEI7" localSheetId="10">#REF!</definedName>
    <definedName name="GOKEI7" localSheetId="8">#REF!</definedName>
    <definedName name="GOKEI7" localSheetId="7">#REF!</definedName>
    <definedName name="GOKEI7" localSheetId="9">#REF!</definedName>
    <definedName name="GOKEI7" localSheetId="12">#REF!</definedName>
    <definedName name="GOKEI7" localSheetId="11">#REF!</definedName>
    <definedName name="GOKEI7">#REF!</definedName>
    <definedName name="GOKEI8" localSheetId="3">#REF!</definedName>
    <definedName name="GOKEI8" localSheetId="4">#REF!</definedName>
    <definedName name="GOKEI8" localSheetId="2">#REF!</definedName>
    <definedName name="GOKEI8" localSheetId="10">#REF!</definedName>
    <definedName name="GOKEI8" localSheetId="8">#REF!</definedName>
    <definedName name="GOKEI8" localSheetId="7">#REF!</definedName>
    <definedName name="GOKEI8" localSheetId="9">#REF!</definedName>
    <definedName name="GOKEI8" localSheetId="12">#REF!</definedName>
    <definedName name="GOKEI8" localSheetId="11">#REF!</definedName>
    <definedName name="GOKEI8">#REF!</definedName>
    <definedName name="gokeiN" localSheetId="3">#REF!</definedName>
    <definedName name="gokeiN" localSheetId="4">#REF!</definedName>
    <definedName name="gokeiN" localSheetId="2">#REF!</definedName>
    <definedName name="gokeiN" localSheetId="10">#REF!</definedName>
    <definedName name="gokeiN" localSheetId="8">#REF!</definedName>
    <definedName name="gokeiN" localSheetId="7">#REF!</definedName>
    <definedName name="gokeiN" localSheetId="9">#REF!</definedName>
    <definedName name="gokeiN" localSheetId="12">#REF!</definedName>
    <definedName name="gokeiN" localSheetId="11">#REF!</definedName>
    <definedName name="gokeiN">#REF!</definedName>
    <definedName name="gokeiN1" localSheetId="3">#REF!</definedName>
    <definedName name="gokeiN1" localSheetId="4">#REF!</definedName>
    <definedName name="gokeiN1" localSheetId="2">#REF!</definedName>
    <definedName name="gokeiN1" localSheetId="10">#REF!</definedName>
    <definedName name="gokeiN1" localSheetId="8">#REF!</definedName>
    <definedName name="gokeiN1" localSheetId="7">#REF!</definedName>
    <definedName name="gokeiN1" localSheetId="9">#REF!</definedName>
    <definedName name="gokeiN1" localSheetId="12">#REF!</definedName>
    <definedName name="gokeiN1" localSheetId="11">#REF!</definedName>
    <definedName name="gokeiN1">#REF!</definedName>
    <definedName name="gokeiN10" localSheetId="3">#REF!</definedName>
    <definedName name="gokeiN10" localSheetId="4">#REF!</definedName>
    <definedName name="gokeiN10" localSheetId="2">#REF!</definedName>
    <definedName name="gokeiN10" localSheetId="10">#REF!</definedName>
    <definedName name="gokeiN10" localSheetId="8">#REF!</definedName>
    <definedName name="gokeiN10" localSheetId="7">#REF!</definedName>
    <definedName name="gokeiN10" localSheetId="9">#REF!</definedName>
    <definedName name="gokeiN10" localSheetId="12">#REF!</definedName>
    <definedName name="gokeiN10" localSheetId="11">#REF!</definedName>
    <definedName name="gokeiN10">#REF!</definedName>
    <definedName name="gokeiN11" localSheetId="3">#REF!</definedName>
    <definedName name="gokeiN11" localSheetId="4">#REF!</definedName>
    <definedName name="gokeiN11" localSheetId="2">#REF!</definedName>
    <definedName name="gokeiN11" localSheetId="10">#REF!</definedName>
    <definedName name="gokeiN11" localSheetId="8">#REF!</definedName>
    <definedName name="gokeiN11" localSheetId="7">#REF!</definedName>
    <definedName name="gokeiN11" localSheetId="9">#REF!</definedName>
    <definedName name="gokeiN11" localSheetId="12">#REF!</definedName>
    <definedName name="gokeiN11" localSheetId="11">#REF!</definedName>
    <definedName name="gokeiN11">#REF!</definedName>
    <definedName name="gokeiN2" localSheetId="3">#REF!</definedName>
    <definedName name="gokeiN2" localSheetId="4">#REF!</definedName>
    <definedName name="gokeiN2" localSheetId="2">#REF!</definedName>
    <definedName name="gokeiN2" localSheetId="10">#REF!</definedName>
    <definedName name="gokeiN2" localSheetId="8">#REF!</definedName>
    <definedName name="gokeiN2" localSheetId="7">#REF!</definedName>
    <definedName name="gokeiN2" localSheetId="9">#REF!</definedName>
    <definedName name="gokeiN2" localSheetId="12">#REF!</definedName>
    <definedName name="gokeiN2" localSheetId="11">#REF!</definedName>
    <definedName name="gokeiN2">#REF!</definedName>
    <definedName name="gokeiN3" localSheetId="3">#REF!</definedName>
    <definedName name="gokeiN3" localSheetId="4">#REF!</definedName>
    <definedName name="gokeiN3" localSheetId="2">#REF!</definedName>
    <definedName name="gokeiN3" localSheetId="10">#REF!</definedName>
    <definedName name="gokeiN3" localSheetId="8">#REF!</definedName>
    <definedName name="gokeiN3" localSheetId="7">#REF!</definedName>
    <definedName name="gokeiN3" localSheetId="9">#REF!</definedName>
    <definedName name="gokeiN3" localSheetId="12">#REF!</definedName>
    <definedName name="gokeiN3" localSheetId="11">#REF!</definedName>
    <definedName name="gokeiN3">#REF!</definedName>
    <definedName name="gokeiN4" localSheetId="3">#REF!</definedName>
    <definedName name="gokeiN4" localSheetId="4">#REF!</definedName>
    <definedName name="gokeiN4" localSheetId="2">#REF!</definedName>
    <definedName name="gokeiN4" localSheetId="10">#REF!</definedName>
    <definedName name="gokeiN4" localSheetId="8">#REF!</definedName>
    <definedName name="gokeiN4" localSheetId="7">#REF!</definedName>
    <definedName name="gokeiN4" localSheetId="9">#REF!</definedName>
    <definedName name="gokeiN4" localSheetId="12">#REF!</definedName>
    <definedName name="gokeiN4" localSheetId="11">#REF!</definedName>
    <definedName name="gokeiN4">#REF!</definedName>
    <definedName name="gokeiN5" localSheetId="3">#REF!</definedName>
    <definedName name="gokeiN5" localSheetId="4">#REF!</definedName>
    <definedName name="gokeiN5" localSheetId="2">#REF!</definedName>
    <definedName name="gokeiN5" localSheetId="10">#REF!</definedName>
    <definedName name="gokeiN5" localSheetId="8">#REF!</definedName>
    <definedName name="gokeiN5" localSheetId="7">#REF!</definedName>
    <definedName name="gokeiN5" localSheetId="9">#REF!</definedName>
    <definedName name="gokeiN5" localSheetId="12">#REF!</definedName>
    <definedName name="gokeiN5" localSheetId="11">#REF!</definedName>
    <definedName name="gokeiN5">#REF!</definedName>
    <definedName name="gokeiN6" localSheetId="3">#REF!</definedName>
    <definedName name="gokeiN6" localSheetId="4">#REF!</definedName>
    <definedName name="gokeiN6" localSheetId="2">#REF!</definedName>
    <definedName name="gokeiN6" localSheetId="10">#REF!</definedName>
    <definedName name="gokeiN6" localSheetId="8">#REF!</definedName>
    <definedName name="gokeiN6" localSheetId="7">#REF!</definedName>
    <definedName name="gokeiN6" localSheetId="9">#REF!</definedName>
    <definedName name="gokeiN6" localSheetId="12">#REF!</definedName>
    <definedName name="gokeiN6" localSheetId="11">#REF!</definedName>
    <definedName name="gokeiN6">#REF!</definedName>
    <definedName name="gokeiN7" localSheetId="3">#REF!</definedName>
    <definedName name="gokeiN7" localSheetId="4">#REF!</definedName>
    <definedName name="gokeiN7" localSheetId="2">#REF!</definedName>
    <definedName name="gokeiN7" localSheetId="10">#REF!</definedName>
    <definedName name="gokeiN7" localSheetId="8">#REF!</definedName>
    <definedName name="gokeiN7" localSheetId="7">#REF!</definedName>
    <definedName name="gokeiN7" localSheetId="9">#REF!</definedName>
    <definedName name="gokeiN7" localSheetId="12">#REF!</definedName>
    <definedName name="gokeiN7" localSheetId="11">#REF!</definedName>
    <definedName name="gokeiN7">#REF!</definedName>
    <definedName name="gokeiN8" localSheetId="3">#REF!</definedName>
    <definedName name="gokeiN8" localSheetId="4">#REF!</definedName>
    <definedName name="gokeiN8" localSheetId="2">#REF!</definedName>
    <definedName name="gokeiN8" localSheetId="10">#REF!</definedName>
    <definedName name="gokeiN8" localSheetId="8">#REF!</definedName>
    <definedName name="gokeiN8" localSheetId="7">#REF!</definedName>
    <definedName name="gokeiN8" localSheetId="9">#REF!</definedName>
    <definedName name="gokeiN8" localSheetId="12">#REF!</definedName>
    <definedName name="gokeiN8" localSheetId="11">#REF!</definedName>
    <definedName name="gokeiN8">#REF!</definedName>
    <definedName name="gokeiN9" localSheetId="3">#REF!</definedName>
    <definedName name="gokeiN9" localSheetId="4">#REF!</definedName>
    <definedName name="gokeiN9" localSheetId="2">#REF!</definedName>
    <definedName name="gokeiN9" localSheetId="10">#REF!</definedName>
    <definedName name="gokeiN9" localSheetId="8">#REF!</definedName>
    <definedName name="gokeiN9" localSheetId="7">#REF!</definedName>
    <definedName name="gokeiN9" localSheetId="9">#REF!</definedName>
    <definedName name="gokeiN9" localSheetId="12">#REF!</definedName>
    <definedName name="gokeiN9" localSheetId="11">#REF!</definedName>
    <definedName name="gokeiN9">#REF!</definedName>
    <definedName name="GOOKEI02" localSheetId="3">#REF!</definedName>
    <definedName name="GOOKEI02" localSheetId="4">#REF!</definedName>
    <definedName name="GOOKEI02" localSheetId="2">#REF!</definedName>
    <definedName name="GOOKEI02" localSheetId="10">#REF!</definedName>
    <definedName name="GOOKEI02" localSheetId="8">#REF!</definedName>
    <definedName name="GOOKEI02" localSheetId="7">#REF!</definedName>
    <definedName name="GOOKEI02" localSheetId="9">#REF!</definedName>
    <definedName name="GOOKEI02" localSheetId="12">#REF!</definedName>
    <definedName name="GOOKEI02" localSheetId="11">#REF!</definedName>
    <definedName name="GOOKEI02">#REF!</definedName>
    <definedName name="Grp_Select" localSheetId="3">#REF!</definedName>
    <definedName name="Grp_Select" localSheetId="4">#REF!</definedName>
    <definedName name="Grp_Select" localSheetId="2">#REF!</definedName>
    <definedName name="Grp_Select" localSheetId="10">#REF!</definedName>
    <definedName name="Grp_Select" localSheetId="8">#REF!</definedName>
    <definedName name="Grp_Select" localSheetId="7">#REF!</definedName>
    <definedName name="Grp_Select" localSheetId="9">#REF!</definedName>
    <definedName name="Grp_Select" localSheetId="12">#REF!</definedName>
    <definedName name="Grp_Select" localSheetId="11">#REF!</definedName>
    <definedName name="Grp_Select">#REF!</definedName>
    <definedName name="ＧＷメッセージ一覧" localSheetId="3" hidden="1">#REF!</definedName>
    <definedName name="ＧＷメッセージ一覧" localSheetId="4" hidden="1">#REF!</definedName>
    <definedName name="ＧＷメッセージ一覧" localSheetId="2" hidden="1">#REF!</definedName>
    <definedName name="ＧＷメッセージ一覧" localSheetId="10" hidden="1">#REF!</definedName>
    <definedName name="ＧＷメッセージ一覧" localSheetId="8" hidden="1">#REF!</definedName>
    <definedName name="ＧＷメッセージ一覧" localSheetId="7" hidden="1">#REF!</definedName>
    <definedName name="ＧＷメッセージ一覧" localSheetId="9" hidden="1">#REF!</definedName>
    <definedName name="ＧＷメッセージ一覧" localSheetId="12" hidden="1">#REF!</definedName>
    <definedName name="ＧＷメッセージ一覧" localSheetId="11" hidden="1">#REF!</definedName>
    <definedName name="ＧＷメッセージ一覧" localSheetId="0" hidden="1">#REF!</definedName>
    <definedName name="ＧＷメッセージ一覧" hidden="1">#REF!</definedName>
    <definedName name="HTML_CodePage" hidden="1">932</definedName>
    <definedName name="HTML_Control" localSheetId="3" hidden="1">{"'旅費精算ＤＴ２'!$A$1:$N$40"}</definedName>
    <definedName name="HTML_Control" localSheetId="5" hidden="1">{"'旅費精算ＤＴ２'!$A$1:$N$40"}</definedName>
    <definedName name="HTML_Control" localSheetId="4" hidden="1">{"'旅費精算ＤＴ２'!$A$1:$N$40"}</definedName>
    <definedName name="HTML_Control" localSheetId="2" hidden="1">{"'旅費精算ＤＴ２'!$A$1:$N$40"}</definedName>
    <definedName name="HTML_Control" localSheetId="10" hidden="1">{"'旅費精算ＤＴ２'!$A$1:$N$40"}</definedName>
    <definedName name="HTML_Control" localSheetId="8" hidden="1">{"'旅費精算ＤＴ２'!$A$1:$N$40"}</definedName>
    <definedName name="HTML_Control" localSheetId="7" hidden="1">{"'旅費精算ＤＴ２'!$A$1:$N$40"}</definedName>
    <definedName name="HTML_Control" localSheetId="9" hidden="1">{"'旅費精算ＤＴ２'!$A$1:$N$40"}</definedName>
    <definedName name="HTML_Control" localSheetId="12" hidden="1">{"'旅費精算ＤＴ２'!$A$1:$N$40"}</definedName>
    <definedName name="HTML_Control" localSheetId="11" hidden="1">{"'旅費精算ＤＴ２'!$A$1:$N$40"}</definedName>
    <definedName name="HTML_Control" localSheetId="0" hidden="1">{"'旅費精算ＤＴ２'!$A$1:$N$40"}</definedName>
    <definedName name="HTML_Control" hidden="1">{"'旅費精算ＤＴ２'!$A$1:$N$40"}</definedName>
    <definedName name="HTML_Control_1" localSheetId="3" hidden="1">{"'旅費精算ＤＴ２'!$A$1:$N$40"}</definedName>
    <definedName name="HTML_Control_1" localSheetId="5" hidden="1">{"'旅費精算ＤＴ２'!$A$1:$N$40"}</definedName>
    <definedName name="HTML_Control_1" localSheetId="4" hidden="1">{"'旅費精算ＤＴ２'!$A$1:$N$40"}</definedName>
    <definedName name="HTML_Control_1" localSheetId="2" hidden="1">{"'旅費精算ＤＴ２'!$A$1:$N$40"}</definedName>
    <definedName name="HTML_Control_1" localSheetId="10" hidden="1">{"'旅費精算ＤＴ２'!$A$1:$N$40"}</definedName>
    <definedName name="HTML_Control_1" localSheetId="8" hidden="1">{"'旅費精算ＤＴ２'!$A$1:$N$40"}</definedName>
    <definedName name="HTML_Control_1" localSheetId="7" hidden="1">{"'旅費精算ＤＴ２'!$A$1:$N$40"}</definedName>
    <definedName name="HTML_Control_1" localSheetId="9" hidden="1">{"'旅費精算ＤＴ２'!$A$1:$N$40"}</definedName>
    <definedName name="HTML_Control_1" localSheetId="12" hidden="1">{"'旅費精算ＤＴ２'!$A$1:$N$40"}</definedName>
    <definedName name="HTML_Control_1" localSheetId="11" hidden="1">{"'旅費精算ＤＴ２'!$A$1:$N$40"}</definedName>
    <definedName name="HTML_Control_1" localSheetId="0" hidden="1">{"'旅費精算ＤＴ２'!$A$1:$N$40"}</definedName>
    <definedName name="HTML_Control_1" hidden="1">{"'旅費精算ＤＴ２'!$A$1:$N$40"}</definedName>
    <definedName name="HTML_Description" hidden="1">""</definedName>
    <definedName name="HTML_Email" hidden="1">"kazu@mom.co.jp"</definedName>
    <definedName name="HTML_Header" hidden="1">"旅費精算ＤＴ２"</definedName>
    <definedName name="HTML_LastUpdate" hidden="1">"98/11/20"</definedName>
    <definedName name="HTML_LineAfter" hidden="1">TRUE</definedName>
    <definedName name="HTML_LineBefore" hidden="1">TRUE</definedName>
    <definedName name="HTML_Name" hidden="1">"杉山一雅"</definedName>
    <definedName name="HTML_OBDlg2" hidden="1">TRUE</definedName>
    <definedName name="HTML_OBDlg3" hidden="1">TRUE</definedName>
    <definedName name="HTML_OBDlg4" hidden="1">TRUE</definedName>
    <definedName name="HTML_OS" hidden="1">0</definedName>
    <definedName name="HTML_PathFile" hidden="1">"C:\My Documents\test.htm"</definedName>
    <definedName name="HTML_PathTemplate" hidden="1">"D:\i-abe\ユーザー\関電工\db_matrix2.htm"</definedName>
    <definedName name="HTML_Title" hidden="1">"データベース設計書"</definedName>
    <definedName name="HTML1_1" hidden="1">"[勤阿部11.xls]交通費!$C$33:$O$48"</definedName>
    <definedName name="HTML1_10" hidden="1">""</definedName>
    <definedName name="HTML1_11" hidden="1">1</definedName>
    <definedName name="HTML1_12" hidden="1">"C:\My Documents\MyHTML.htm"</definedName>
    <definedName name="HTML1_2" hidden="1">1</definedName>
    <definedName name="HTML1_3" hidden="1">"勤阿部11.xl"</definedName>
    <definedName name="HTML1_4" hidden="1">"交通費"</definedName>
    <definedName name="HTML1_5" hidden="1">""</definedName>
    <definedName name="HTML1_6" hidden="1">-4146</definedName>
    <definedName name="HTML1_7" hidden="1">-4146</definedName>
    <definedName name="HTML1_8" hidden="1">"96/11/02"</definedName>
    <definedName name="HTML1_9" hidden="1">"東日本システム事業部"</definedName>
    <definedName name="HTML2_1" hidden="1">"[勤阿部11.xls]勤務報告!$C$8:$X$52"</definedName>
    <definedName name="HTML2_10" hidden="1">""</definedName>
    <definedName name="HTML2_11" hidden="1">-4146</definedName>
    <definedName name="HTML2_12" hidden="1">"C:\My Documents\MyHTML.htm"</definedName>
    <definedName name="HTML2_2" hidden="1">1</definedName>
    <definedName name="HTML2_3" hidden="1">"勤阿部11.xl"</definedName>
    <definedName name="HTML2_4" hidden="1">"勤務報告"</definedName>
    <definedName name="HTML2_5" hidden="1">""</definedName>
    <definedName name="HTML2_6" hidden="1">-4146</definedName>
    <definedName name="HTML2_7" hidden="1">-4146</definedName>
    <definedName name="HTML2_8" hidden="1">"96/11/02"</definedName>
    <definedName name="HTML2_9" hidden="1">"東日本システム事業部"</definedName>
    <definedName name="HTML3_1" hidden="1">"[勤阿部11.xls]Sheet15!$B$3:$J$20"</definedName>
    <definedName name="HTML3_10" hidden="1">""</definedName>
    <definedName name="HTML3_11" hidden="1">1</definedName>
    <definedName name="HTML3_12" hidden="1">"C:\My Documents\MyHTML.htm"</definedName>
    <definedName name="HTML3_2" hidden="1">1</definedName>
    <definedName name="HTML3_3" hidden="1">"勤阿部11.xl"</definedName>
    <definedName name="HTML3_4" hidden="1">"Sheet15"</definedName>
    <definedName name="HTML3_5" hidden="1">""</definedName>
    <definedName name="HTML3_6" hidden="1">-4146</definedName>
    <definedName name="HTML3_7" hidden="1">-4146</definedName>
    <definedName name="HTML3_8" hidden="1">"96/11/02"</definedName>
    <definedName name="HTML3_9" hidden="1">"東日本システム事業部"</definedName>
    <definedName name="HTML4_1" hidden="1">"'[nt.xls]ＳＣＡＴ－ＮＴ　構成表'!$A$2:$H$60"</definedName>
    <definedName name="HTML4_10" hidden="1">""</definedName>
    <definedName name="HTML4_11" hidden="1">1</definedName>
    <definedName name="HTML4_12" hidden="1">"A:\My Documents\EXCEL\MyHTML.htm"</definedName>
    <definedName name="HTML4_2" hidden="1">1</definedName>
    <definedName name="HTML4_3" hidden="1">"nt"</definedName>
    <definedName name="HTML4_4" hidden="1">"ＳＣＡＴ－ＮＴ　構成表"</definedName>
    <definedName name="HTML4_5" hidden="1">""</definedName>
    <definedName name="HTML4_6" hidden="1">-4146</definedName>
    <definedName name="HTML4_7" hidden="1">-4146</definedName>
    <definedName name="HTML4_8" hidden="1">"96/09/11"</definedName>
    <definedName name="HTML4_9" hidden="1">"岡島 達治"</definedName>
    <definedName name="HTML5_1" hidden="1">"'[nt.xls]ＳＣＡＴ－ＮＴ　構成表'!$A$1:$H$155"</definedName>
    <definedName name="HTML5_10" hidden="1">""</definedName>
    <definedName name="HTML5_11" hidden="1">1</definedName>
    <definedName name="HTML5_12" hidden="1">"A:\My Documents\EXCEL\MyHTML.htm"</definedName>
    <definedName name="HTML5_2" hidden="1">1</definedName>
    <definedName name="HTML5_3" hidden="1">"nt"</definedName>
    <definedName name="HTML5_4" hidden="1">"ＳＣＡＴ－ＮＴ　構成表"</definedName>
    <definedName name="HTML5_5" hidden="1">""</definedName>
    <definedName name="HTML5_6" hidden="1">-4146</definedName>
    <definedName name="HTML5_7" hidden="1">-4146</definedName>
    <definedName name="HTML5_8" hidden="1">"96/09/11"</definedName>
    <definedName name="HTML5_9" hidden="1">"岡島 達治"</definedName>
    <definedName name="HTML6_1" hidden="1">"'[nt.xls]ＳＣＡＴ－ＮＴ　構成表'!$A$1:$H$112"</definedName>
    <definedName name="HTML6_10" hidden="1">""</definedName>
    <definedName name="HTML6_11" hidden="1">1</definedName>
    <definedName name="HTML6_12" hidden="1">"A:\My Documents\EXCEL\MyHTML.htm"</definedName>
    <definedName name="HTML6_2" hidden="1">1</definedName>
    <definedName name="HTML6_3" hidden="1">"nt"</definedName>
    <definedName name="HTML6_4" hidden="1">"ＳＣＡＴ－ＮＴ　構成表"</definedName>
    <definedName name="HTML6_5" hidden="1">""</definedName>
    <definedName name="HTML6_6" hidden="1">-4146</definedName>
    <definedName name="HTML6_7" hidden="1">-4146</definedName>
    <definedName name="HTML6_8" hidden="1">"96/09/11"</definedName>
    <definedName name="HTML6_9" hidden="1">"岡島 達治"</definedName>
    <definedName name="HTML7_1" hidden="1">"'[nt.xls]ＳＣＡＴ－ＮＴ　構成表'!$A$1:$G$260"</definedName>
    <definedName name="HTML7_10" hidden="1">""</definedName>
    <definedName name="HTML7_11" hidden="1">1</definedName>
    <definedName name="HTML7_12" hidden="1">"A:\My Documents\EXCEL\MyHTML.htm"</definedName>
    <definedName name="HTML7_2" hidden="1">1</definedName>
    <definedName name="HTML7_3" hidden="1">""</definedName>
    <definedName name="HTML7_4" hidden="1">"ＳＣＡＴ－ＮＴ　構成表"</definedName>
    <definedName name="HTML7_5" hidden="1">""</definedName>
    <definedName name="HTML7_6" hidden="1">-4146</definedName>
    <definedName name="HTML7_7" hidden="1">-4146</definedName>
    <definedName name="HTML7_8" hidden="1">"96/09/11"</definedName>
    <definedName name="HTML7_9" hidden="1">"岡島 達治"</definedName>
    <definedName name="HTML8_1" hidden="1">"'[nt.xls]ＳＣＡＴ－ＮＴ　構成表'!$A$1:$G$250"</definedName>
    <definedName name="HTML8_10" hidden="1">""</definedName>
    <definedName name="HTML8_11" hidden="1">1</definedName>
    <definedName name="HTML8_12" hidden="1">"A:\My Documents\EXCEL\MyHTML.htm"</definedName>
    <definedName name="HTML8_2" hidden="1">1</definedName>
    <definedName name="HTML8_3" hidden="1">""</definedName>
    <definedName name="HTML8_4" hidden="1">"ＳＣＡＴ－ＮＴ　構成表"</definedName>
    <definedName name="HTML8_5" hidden="1">""</definedName>
    <definedName name="HTML8_6" hidden="1">-4146</definedName>
    <definedName name="HTML8_7" hidden="1">-4146</definedName>
    <definedName name="HTML8_8" hidden="1">"96/09/11"</definedName>
    <definedName name="HTML8_9" hidden="1">"岡島 達治"</definedName>
    <definedName name="HTMLCount" hidden="1">3</definedName>
    <definedName name="ID">#REF!</definedName>
    <definedName name="ＩＯ" localSheetId="3">#REF!</definedName>
    <definedName name="ＩＯ" localSheetId="4">#REF!</definedName>
    <definedName name="ＩＯ" localSheetId="2">#REF!</definedName>
    <definedName name="ＩＯ" localSheetId="10">#REF!</definedName>
    <definedName name="ＩＯ" localSheetId="8">#REF!</definedName>
    <definedName name="ＩＯ" localSheetId="7">#REF!</definedName>
    <definedName name="ＩＯ" localSheetId="9">#REF!</definedName>
    <definedName name="ＩＯ" localSheetId="12">#REF!</definedName>
    <definedName name="ＩＯ" localSheetId="11">#REF!</definedName>
    <definedName name="IO" localSheetId="0">#REF!</definedName>
    <definedName name="ＩＯ">#REF!</definedName>
    <definedName name="IsHoliday" localSheetId="3">[0]!UF.IsHoliday</definedName>
    <definedName name="IsHoliday" localSheetId="5">[0]!UF.IsHoliday</definedName>
    <definedName name="IsHoliday" localSheetId="4">[0]!UF.IsHoliday</definedName>
    <definedName name="IsHoliday" localSheetId="1">[0]!UF.IsHoliday</definedName>
    <definedName name="IsHoliday" localSheetId="2">[0]!UF.IsHoliday</definedName>
    <definedName name="IsHoliday" localSheetId="10">[0]!UF.IsHoliday</definedName>
    <definedName name="IsHoliday" localSheetId="8">[0]!UF.IsHoliday</definedName>
    <definedName name="IsHoliday" localSheetId="6">[0]!UF.IsHoliday</definedName>
    <definedName name="IsHoliday" localSheetId="7">[0]!UF.IsHoliday</definedName>
    <definedName name="IsHoliday" localSheetId="9">[0]!UF.IsHoliday</definedName>
    <definedName name="IsHoliday" localSheetId="12">[0]!UF.IsHoliday</definedName>
    <definedName name="IsHoliday" localSheetId="11">[0]!UF.IsHoliday</definedName>
    <definedName name="IsHoliday">[0]!UF.IsHoliday</definedName>
    <definedName name="KAGEN0" localSheetId="3">#REF!</definedName>
    <definedName name="KAGEN0" localSheetId="4">#REF!</definedName>
    <definedName name="KAGEN0" localSheetId="2">#REF!</definedName>
    <definedName name="KAGEN0" localSheetId="10">#REF!</definedName>
    <definedName name="KAGEN0" localSheetId="8">#REF!</definedName>
    <definedName name="KAGEN0" localSheetId="7">#REF!</definedName>
    <definedName name="KAGEN0" localSheetId="9">#REF!</definedName>
    <definedName name="KAGEN0" localSheetId="12">#REF!</definedName>
    <definedName name="KAGEN0" localSheetId="11">#REF!</definedName>
    <definedName name="KAGEN0">#REF!</definedName>
    <definedName name="KAGEN1" localSheetId="3">#REF!</definedName>
    <definedName name="KAGEN1" localSheetId="4">#REF!</definedName>
    <definedName name="KAGEN1" localSheetId="2">#REF!</definedName>
    <definedName name="KAGEN1" localSheetId="10">#REF!</definedName>
    <definedName name="KAGEN1" localSheetId="8">#REF!</definedName>
    <definedName name="KAGEN1" localSheetId="7">#REF!</definedName>
    <definedName name="KAGEN1" localSheetId="9">#REF!</definedName>
    <definedName name="KAGEN1" localSheetId="12">#REF!</definedName>
    <definedName name="KAGEN1" localSheetId="11">#REF!</definedName>
    <definedName name="KAGEN1">#REF!</definedName>
    <definedName name="KAGEN2" localSheetId="3">#REF!</definedName>
    <definedName name="KAGEN2" localSheetId="4">#REF!</definedName>
    <definedName name="KAGEN2" localSheetId="2">#REF!</definedName>
    <definedName name="KAGEN2" localSheetId="10">#REF!</definedName>
    <definedName name="KAGEN2" localSheetId="8">#REF!</definedName>
    <definedName name="KAGEN2" localSheetId="7">#REF!</definedName>
    <definedName name="KAGEN2" localSheetId="9">#REF!</definedName>
    <definedName name="KAGEN2" localSheetId="12">#REF!</definedName>
    <definedName name="KAGEN2" localSheetId="11">#REF!</definedName>
    <definedName name="KAGEN2">#REF!</definedName>
    <definedName name="Keta" localSheetId="3">'【サンプル】UNION ALLを使用したパターン'!Keta</definedName>
    <definedName name="Keta" localSheetId="5">【サンプル】カード受注ヘッダ_受注_一覧表示用_old!Keta</definedName>
    <definedName name="Keta" localSheetId="4">【サンプル】カード受注ヘッダ_受注_個別CSV用!Keta</definedName>
    <definedName name="Keta" localSheetId="2">【サンプル】備考欄に結合条件を記載パターン!Keta</definedName>
    <definedName name="Keta" localSheetId="10">カード受注ヘッダ_CKU010S01B02_チェック用!Keta</definedName>
    <definedName name="Keta" localSheetId="8">カード受注ヘッダ_CKU010S01B02_ヘッダ表示用!Keta</definedName>
    <definedName name="Keta" localSheetId="7">カード受注ヘッダ_受注_個別CSV用!Keta</definedName>
    <definedName name="Keta" localSheetId="9">カード受注明細_CKU010S01B02_明細表示用!Keta</definedName>
    <definedName name="Keta" localSheetId="12">フォーマット!Keta</definedName>
    <definedName name="Keta" localSheetId="11">ホールマスタ_CKU010D02B01_一覧表示用!Keta</definedName>
    <definedName name="Keta">[0]!Keta</definedName>
    <definedName name="keta2" localSheetId="3">'【サンプル】UNION ALLを使用したパターン'!keta2</definedName>
    <definedName name="keta2" localSheetId="5">【サンプル】カード受注ヘッダ_受注_一覧表示用_old!keta2</definedName>
    <definedName name="keta2" localSheetId="4">【サンプル】カード受注ヘッダ_受注_個別CSV用!keta2</definedName>
    <definedName name="keta2" localSheetId="2">【サンプル】備考欄に結合条件を記載パターン!keta2</definedName>
    <definedName name="keta2" localSheetId="10">カード受注ヘッダ_CKU010S01B02_チェック用!keta2</definedName>
    <definedName name="keta2" localSheetId="8">カード受注ヘッダ_CKU010S01B02_ヘッダ表示用!keta2</definedName>
    <definedName name="keta2" localSheetId="7">カード受注ヘッダ_受注_個別CSV用!keta2</definedName>
    <definedName name="keta2" localSheetId="9">カード受注明細_CKU010S01B02_明細表示用!keta2</definedName>
    <definedName name="keta2" localSheetId="12">フォーマット!keta2</definedName>
    <definedName name="keta2" localSheetId="11">ホールマスタ_CKU010D02B01_一覧表示用!keta2</definedName>
    <definedName name="keta2">[0]!keta2</definedName>
    <definedName name="KIJUNZAI" localSheetId="3">#REF!</definedName>
    <definedName name="KIJUNZAI" localSheetId="4">#REF!</definedName>
    <definedName name="KIJUNZAI" localSheetId="2">#REF!</definedName>
    <definedName name="KIJUNZAI" localSheetId="10">#REF!</definedName>
    <definedName name="KIJUNZAI" localSheetId="8">#REF!</definedName>
    <definedName name="KIJUNZAI" localSheetId="7">#REF!</definedName>
    <definedName name="KIJUNZAI" localSheetId="9">#REF!</definedName>
    <definedName name="KIJUNZAI" localSheetId="12">#REF!</definedName>
    <definedName name="KIJUNZAI" localSheetId="11">#REF!</definedName>
    <definedName name="KIJUNZAI">#REF!</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_1ｚａｎ" localSheetId="3">#REF!</definedName>
    <definedName name="N_1ｚａｎ" localSheetId="4">#REF!</definedName>
    <definedName name="N_1ｚａｎ" localSheetId="2">#REF!</definedName>
    <definedName name="N_1ｚａｎ" localSheetId="10">#REF!</definedName>
    <definedName name="N_1ｚａｎ" localSheetId="8">#REF!</definedName>
    <definedName name="N_1ｚａｎ" localSheetId="7">#REF!</definedName>
    <definedName name="N_1ｚａｎ" localSheetId="9">#REF!</definedName>
    <definedName name="N_1ｚａｎ" localSheetId="12">#REF!</definedName>
    <definedName name="N_1ｚａｎ" localSheetId="11">#REF!</definedName>
    <definedName name="N_1ｚａｎ">#REF!</definedName>
    <definedName name="NEW" localSheetId="3">#REF!</definedName>
    <definedName name="NEW" localSheetId="4">#REF!</definedName>
    <definedName name="NEW" localSheetId="2">#REF!</definedName>
    <definedName name="NEW" localSheetId="10">#REF!</definedName>
    <definedName name="NEW" localSheetId="8">#REF!</definedName>
    <definedName name="NEW" localSheetId="7">#REF!</definedName>
    <definedName name="NEW" localSheetId="9">#REF!</definedName>
    <definedName name="NEW" localSheetId="12">#REF!</definedName>
    <definedName name="NEW" localSheetId="11">#REF!</definedName>
    <definedName name="NEW">#REF!</definedName>
    <definedName name="PKNUM" localSheetId="3">#REF!</definedName>
    <definedName name="PKNUM" localSheetId="4">#REF!</definedName>
    <definedName name="PKNUM" localSheetId="2">#REF!</definedName>
    <definedName name="PKNUM" localSheetId="10">#REF!</definedName>
    <definedName name="PKNUM" localSheetId="8">#REF!</definedName>
    <definedName name="PKNUM" localSheetId="7">#REF!</definedName>
    <definedName name="PKNUM" localSheetId="9">#REF!</definedName>
    <definedName name="PKNUM" localSheetId="12">#REF!</definedName>
    <definedName name="PKNUM" localSheetId="11">#REF!</definedName>
    <definedName name="PKNUM">#REF!</definedName>
    <definedName name="PKSZ" localSheetId="3">#REF!</definedName>
    <definedName name="PKSZ" localSheetId="4">#REF!</definedName>
    <definedName name="PKSZ" localSheetId="2">#REF!</definedName>
    <definedName name="PKSZ" localSheetId="10">#REF!</definedName>
    <definedName name="PKSZ" localSheetId="8">#REF!</definedName>
    <definedName name="PKSZ" localSheetId="7">#REF!</definedName>
    <definedName name="PKSZ" localSheetId="9">#REF!</definedName>
    <definedName name="PKSZ" localSheetId="12">#REF!</definedName>
    <definedName name="PKSZ" localSheetId="11">#REF!</definedName>
    <definedName name="PKSZ">#REF!</definedName>
    <definedName name="_xlnm.Print_Area" localSheetId="3">'【サンプル】UNION ALLを使用したパターン'!$A$1:$AH$103</definedName>
    <definedName name="_xlnm.Print_Area" localSheetId="5">【サンプル】カード受注ヘッダ_受注_一覧表示用_old!$A$1:$AH$604</definedName>
    <definedName name="_xlnm.Print_Area" localSheetId="4">【サンプル】カード受注ヘッダ_受注_個別CSV用!$A$1:$AH$96</definedName>
    <definedName name="_xlnm.Print_Area" localSheetId="1">【サンプル】概要欄に結合条件記載パターン!$A$1:$AH$581</definedName>
    <definedName name="_xlnm.Print_Area" localSheetId="2">【サンプル】備考欄に結合条件を記載パターン!$A$1:$AH$235</definedName>
    <definedName name="_xlnm.Print_Area" localSheetId="10">カード受注ヘッダ_CKU010S01B02_チェック用!$A$1:$AH$65</definedName>
    <definedName name="_xlnm.Print_Area" localSheetId="8">カード受注ヘッダ_CKU010S01B02_ヘッダ表示用!$A$1:$AH$235</definedName>
    <definedName name="_xlnm.Print_Area" localSheetId="6">カード受注ヘッダ_受注_一覧表示用!$A$1:$AH$545</definedName>
    <definedName name="_xlnm.Print_Area" localSheetId="7">カード受注ヘッダ_受注_個別CSV用!$A$1:$AH$559</definedName>
    <definedName name="_xlnm.Print_Area" localSheetId="9">カード受注明細_CKU010S01B02_明細表示用!$A$1:$AH$100</definedName>
    <definedName name="_xlnm.Print_Area" localSheetId="12">フォーマット!$A$1:$AH$63</definedName>
    <definedName name="_xlnm.Print_Area" localSheetId="11">ホールマスタ_CKU010D02B01_一覧表示用!$A$1:$AH$69</definedName>
    <definedName name="_xlnm.Print_Area" localSheetId="0">改版履歴!$A$1:$CE$37</definedName>
    <definedName name="_xlnm.Print_Titles" localSheetId="3">'【サンプル】UNION ALLを使用したパターン'!$1:$9</definedName>
    <definedName name="_xlnm.Print_Titles" localSheetId="5">【サンプル】カード受注ヘッダ_受注_一覧表示用_old!$1:$9</definedName>
    <definedName name="_xlnm.Print_Titles" localSheetId="4">【サンプル】カード受注ヘッダ_受注_個別CSV用!$1:$9</definedName>
    <definedName name="_xlnm.Print_Titles" localSheetId="1">【サンプル】概要欄に結合条件記載パターン!$1:$9</definedName>
    <definedName name="_xlnm.Print_Titles" localSheetId="2">【サンプル】備考欄に結合条件を記載パターン!$1:$9</definedName>
    <definedName name="_xlnm.Print_Titles" localSheetId="10">カード受注ヘッダ_CKU010S01B02_チェック用!$1:$9</definedName>
    <definedName name="_xlnm.Print_Titles" localSheetId="8">カード受注ヘッダ_CKU010S01B02_ヘッダ表示用!$1:$9</definedName>
    <definedName name="_xlnm.Print_Titles" localSheetId="6">カード受注ヘッダ_受注_一覧表示用!$1:$9</definedName>
    <definedName name="_xlnm.Print_Titles" localSheetId="7">カード受注ヘッダ_受注_個別CSV用!$1:$9</definedName>
    <definedName name="_xlnm.Print_Titles" localSheetId="9">カード受注明細_CKU010S01B02_明細表示用!$1:$9</definedName>
    <definedName name="_xlnm.Print_Titles" localSheetId="12">フォーマット!$1:$9</definedName>
    <definedName name="_xlnm.Print_Titles" localSheetId="11">ホールマスタ_CKU010D02B01_一覧表示用!$1:$9</definedName>
    <definedName name="_xlnm.Print_Titles" localSheetId="0">改版履歴!$1:$4</definedName>
    <definedName name="_xlnm.Print_Titles">#REF!</definedName>
    <definedName name="qqq" localSheetId="3" hidden="1">{"'一覧'!$A$1:$M$28"}</definedName>
    <definedName name="qqq" localSheetId="5" hidden="1">{"'一覧'!$A$1:$M$28"}</definedName>
    <definedName name="qqq" localSheetId="4" hidden="1">{"'一覧'!$A$1:$M$28"}</definedName>
    <definedName name="qqq" localSheetId="2" hidden="1">{"'一覧'!$A$1:$M$28"}</definedName>
    <definedName name="qqq" localSheetId="10" hidden="1">{"'一覧'!$A$1:$M$28"}</definedName>
    <definedName name="qqq" localSheetId="8" hidden="1">{"'一覧'!$A$1:$M$28"}</definedName>
    <definedName name="qqq" localSheetId="7" hidden="1">{"'一覧'!$A$1:$M$28"}</definedName>
    <definedName name="qqq" localSheetId="9" hidden="1">{"'一覧'!$A$1:$M$28"}</definedName>
    <definedName name="qqq" localSheetId="12" hidden="1">{"'一覧'!$A$1:$M$28"}</definedName>
    <definedName name="qqq" localSheetId="11" hidden="1">{"'一覧'!$A$1:$M$28"}</definedName>
    <definedName name="qqq" localSheetId="0" hidden="1">{"'一覧'!$A$1:$M$28"}</definedName>
    <definedName name="qqq" hidden="1">{"'一覧'!$A$1:$M$28"}</definedName>
    <definedName name="qqq_1" localSheetId="3" hidden="1">{"'一覧'!$A$1:$M$28"}</definedName>
    <definedName name="qqq_1" localSheetId="5" hidden="1">{"'一覧'!$A$1:$M$28"}</definedName>
    <definedName name="qqq_1" localSheetId="4" hidden="1">{"'一覧'!$A$1:$M$28"}</definedName>
    <definedName name="qqq_1" localSheetId="2" hidden="1">{"'一覧'!$A$1:$M$28"}</definedName>
    <definedName name="qqq_1" localSheetId="10" hidden="1">{"'一覧'!$A$1:$M$28"}</definedName>
    <definedName name="qqq_1" localSheetId="8" hidden="1">{"'一覧'!$A$1:$M$28"}</definedName>
    <definedName name="qqq_1" localSheetId="7" hidden="1">{"'一覧'!$A$1:$M$28"}</definedName>
    <definedName name="qqq_1" localSheetId="9" hidden="1">{"'一覧'!$A$1:$M$28"}</definedName>
    <definedName name="qqq_1" localSheetId="12" hidden="1">{"'一覧'!$A$1:$M$28"}</definedName>
    <definedName name="qqq_1" localSheetId="11" hidden="1">{"'一覧'!$A$1:$M$28"}</definedName>
    <definedName name="qqq_1" localSheetId="0" hidden="1">{"'一覧'!$A$1:$M$28"}</definedName>
    <definedName name="qqq_1" hidden="1">{"'一覧'!$A$1:$M$28"}</definedName>
    <definedName name="ｒｒｒ" localSheetId="3" hidden="1">{"'一覧'!$A$1:$M$28"}</definedName>
    <definedName name="ｒｒｒ" localSheetId="5" hidden="1">{"'一覧'!$A$1:$M$28"}</definedName>
    <definedName name="ｒｒｒ" localSheetId="4" hidden="1">{"'一覧'!$A$1:$M$28"}</definedName>
    <definedName name="ｒｒｒ" localSheetId="2" hidden="1">{"'一覧'!$A$1:$M$28"}</definedName>
    <definedName name="ｒｒｒ" localSheetId="10" hidden="1">{"'一覧'!$A$1:$M$28"}</definedName>
    <definedName name="ｒｒｒ" localSheetId="8" hidden="1">{"'一覧'!$A$1:$M$28"}</definedName>
    <definedName name="ｒｒｒ" localSheetId="7" hidden="1">{"'一覧'!$A$1:$M$28"}</definedName>
    <definedName name="ｒｒｒ" localSheetId="9" hidden="1">{"'一覧'!$A$1:$M$28"}</definedName>
    <definedName name="ｒｒｒ" localSheetId="12" hidden="1">{"'一覧'!$A$1:$M$28"}</definedName>
    <definedName name="ｒｒｒ" localSheetId="11" hidden="1">{"'一覧'!$A$1:$M$28"}</definedName>
    <definedName name="ｒｒｒ" localSheetId="0" hidden="1">{"'一覧'!$A$1:$M$28"}</definedName>
    <definedName name="ｒｒｒ" hidden="1">{"'一覧'!$A$1:$M$28"}</definedName>
    <definedName name="ｒｒｒ_1" localSheetId="3" hidden="1">{"'一覧'!$A$1:$M$28"}</definedName>
    <definedName name="ｒｒｒ_1" localSheetId="5" hidden="1">{"'一覧'!$A$1:$M$28"}</definedName>
    <definedName name="ｒｒｒ_1" localSheetId="4" hidden="1">{"'一覧'!$A$1:$M$28"}</definedName>
    <definedName name="ｒｒｒ_1" localSheetId="2" hidden="1">{"'一覧'!$A$1:$M$28"}</definedName>
    <definedName name="ｒｒｒ_1" localSheetId="10" hidden="1">{"'一覧'!$A$1:$M$28"}</definedName>
    <definedName name="ｒｒｒ_1" localSheetId="8" hidden="1">{"'一覧'!$A$1:$M$28"}</definedName>
    <definedName name="ｒｒｒ_1" localSheetId="7" hidden="1">{"'一覧'!$A$1:$M$28"}</definedName>
    <definedName name="ｒｒｒ_1" localSheetId="9" hidden="1">{"'一覧'!$A$1:$M$28"}</definedName>
    <definedName name="ｒｒｒ_1" localSheetId="12" hidden="1">{"'一覧'!$A$1:$M$28"}</definedName>
    <definedName name="ｒｒｒ_1" localSheetId="11" hidden="1">{"'一覧'!$A$1:$M$28"}</definedName>
    <definedName name="ｒｒｒ_1" localSheetId="0" hidden="1">{"'一覧'!$A$1:$M$28"}</definedName>
    <definedName name="ｒｒｒ_1" hidden="1">{"'一覧'!$A$1:$M$28"}</definedName>
    <definedName name="ｓ" localSheetId="3">'【サンプル】UNION ALLを使用したパターン'!ｓ</definedName>
    <definedName name="ｓ" localSheetId="5">【サンプル】カード受注ヘッダ_受注_一覧表示用_old!ｓ</definedName>
    <definedName name="ｓ" localSheetId="4">【サンプル】カード受注ヘッダ_受注_個別CSV用!ｓ</definedName>
    <definedName name="ｓ" localSheetId="2">【サンプル】備考欄に結合条件を記載パターン!ｓ</definedName>
    <definedName name="ｓ" localSheetId="10">カード受注ヘッダ_CKU010S01B02_チェック用!ｓ</definedName>
    <definedName name="ｓ" localSheetId="8">カード受注ヘッダ_CKU010S01B02_ヘッダ表示用!ｓ</definedName>
    <definedName name="ｓ" localSheetId="7">カード受注ヘッダ_受注_個別CSV用!ｓ</definedName>
    <definedName name="ｓ" localSheetId="9">カード受注明細_CKU010S01B02_明細表示用!ｓ</definedName>
    <definedName name="ｓ" localSheetId="12">フォーマット!ｓ</definedName>
    <definedName name="ｓ" localSheetId="11">ホールマスタ_CKU010D02B01_一覧表示用!ｓ</definedName>
    <definedName name="ｓ">[0]!ｓ</definedName>
    <definedName name="SAPBEXrevision" hidden="1">5</definedName>
    <definedName name="SAPBEXsysID" hidden="1">"SP0"</definedName>
    <definedName name="SAPBEXwbID" hidden="1">"8FO04SFRHI28A7QJSOYKXRMHP"</definedName>
    <definedName name="sasasaas" localSheetId="3">'【サンプル】UNION ALLを使用したパターン'!sasasaas</definedName>
    <definedName name="sasasaas" localSheetId="5">【サンプル】カード受注ヘッダ_受注_一覧表示用_old!sasasaas</definedName>
    <definedName name="sasasaas" localSheetId="4">【サンプル】カード受注ヘッダ_受注_個別CSV用!sasasaas</definedName>
    <definedName name="sasasaas" localSheetId="2">【サンプル】備考欄に結合条件を記載パターン!sasasaas</definedName>
    <definedName name="sasasaas" localSheetId="10">カード受注ヘッダ_CKU010S01B02_チェック用!sasasaas</definedName>
    <definedName name="sasasaas" localSheetId="8">カード受注ヘッダ_CKU010S01B02_ヘッダ表示用!sasasaas</definedName>
    <definedName name="sasasaas" localSheetId="7">カード受注ヘッダ_受注_個別CSV用!sasasaas</definedName>
    <definedName name="sasasaas" localSheetId="9">カード受注明細_CKU010S01B02_明細表示用!sasasaas</definedName>
    <definedName name="sasasaas" localSheetId="12">フォーマット!sasasaas</definedName>
    <definedName name="sasasaas" localSheetId="11">ホールマスタ_CKU010D02B01_一覧表示用!sasasaas</definedName>
    <definedName name="sasasaas">[0]!sasasaas</definedName>
    <definedName name="sasasas" localSheetId="3">'【サンプル】UNION ALLを使用したパターン'!sasasas</definedName>
    <definedName name="sasasas" localSheetId="5">【サンプル】カード受注ヘッダ_受注_一覧表示用_old!sasasas</definedName>
    <definedName name="sasasas" localSheetId="4">【サンプル】カード受注ヘッダ_受注_個別CSV用!sasasas</definedName>
    <definedName name="sasasas" localSheetId="2">【サンプル】備考欄に結合条件を記載パターン!sasasas</definedName>
    <definedName name="sasasas" localSheetId="10">カード受注ヘッダ_CKU010S01B02_チェック用!sasasas</definedName>
    <definedName name="sasasas" localSheetId="8">カード受注ヘッダ_CKU010S01B02_ヘッダ表示用!sasasas</definedName>
    <definedName name="sasasas" localSheetId="7">カード受注ヘッダ_受注_個別CSV用!sasasas</definedName>
    <definedName name="sasasas" localSheetId="9">カード受注明細_CKU010S01B02_明細表示用!sasasas</definedName>
    <definedName name="sasasas" localSheetId="12">フォーマット!sasasas</definedName>
    <definedName name="sasasas" localSheetId="11">ホールマスタ_CKU010D02B01_一覧表示用!sasasas</definedName>
    <definedName name="sasasas">[0]!sasasas</definedName>
    <definedName name="Save_DFEDIT" localSheetId="3">#REF!</definedName>
    <definedName name="Save_DFEDIT" localSheetId="4">#REF!</definedName>
    <definedName name="Save_DFEDIT" localSheetId="2">#REF!</definedName>
    <definedName name="Save_DFEDIT" localSheetId="10">#REF!</definedName>
    <definedName name="Save_DFEDIT" localSheetId="8">#REF!</definedName>
    <definedName name="Save_DFEDIT" localSheetId="7">#REF!</definedName>
    <definedName name="Save_DFEDIT" localSheetId="9">#REF!</definedName>
    <definedName name="Save_DFEDIT" localSheetId="12">#REF!</definedName>
    <definedName name="Save_DFEDIT" localSheetId="11">#REF!</definedName>
    <definedName name="Save_DFEDIT">#REF!</definedName>
    <definedName name="SD" localSheetId="3" hidden="1">#REF!</definedName>
    <definedName name="SD" localSheetId="4" hidden="1">#REF!</definedName>
    <definedName name="SD" localSheetId="2" hidden="1">#REF!</definedName>
    <definedName name="SD" localSheetId="10" hidden="1">#REF!</definedName>
    <definedName name="SD" localSheetId="8" hidden="1">#REF!</definedName>
    <definedName name="SD" localSheetId="7" hidden="1">#REF!</definedName>
    <definedName name="SD" localSheetId="9" hidden="1">#REF!</definedName>
    <definedName name="SD" localSheetId="12" hidden="1">#REF!</definedName>
    <definedName name="SD" localSheetId="11" hidden="1">#REF!</definedName>
    <definedName name="SD" localSheetId="0" hidden="1">#REF!</definedName>
    <definedName name="SD" hidden="1">#REF!</definedName>
    <definedName name="SEIGAI" localSheetId="3">#REF!</definedName>
    <definedName name="SEIGAI" localSheetId="4">#REF!</definedName>
    <definedName name="SEIGAI" localSheetId="2">#REF!</definedName>
    <definedName name="SEIGAI" localSheetId="10">#REF!</definedName>
    <definedName name="SEIGAI" localSheetId="8">#REF!</definedName>
    <definedName name="SEIGAI" localSheetId="7">#REF!</definedName>
    <definedName name="SEIGAI" localSheetId="9">#REF!</definedName>
    <definedName name="SEIGAI" localSheetId="12">#REF!</definedName>
    <definedName name="SEIGAI" localSheetId="11">#REF!</definedName>
    <definedName name="SEIGAI">#REF!</definedName>
    <definedName name="SEIKET" localSheetId="3">#REF!</definedName>
    <definedName name="SEIKET" localSheetId="4">#REF!</definedName>
    <definedName name="SEIKET" localSheetId="2">#REF!</definedName>
    <definedName name="SEIKET" localSheetId="10">#REF!</definedName>
    <definedName name="SEIKET" localSheetId="8">#REF!</definedName>
    <definedName name="SEIKET" localSheetId="7">#REF!</definedName>
    <definedName name="SEIKET" localSheetId="9">#REF!</definedName>
    <definedName name="SEIKET" localSheetId="12">#REF!</definedName>
    <definedName name="SEIKET" localSheetId="11">#REF!</definedName>
    <definedName name="SEIKET">#REF!</definedName>
    <definedName name="SEISEI" localSheetId="3">#REF!</definedName>
    <definedName name="SEISEI" localSheetId="4">#REF!</definedName>
    <definedName name="SEISEI" localSheetId="2">#REF!</definedName>
    <definedName name="SEISEI" localSheetId="10">#REF!</definedName>
    <definedName name="SEISEI" localSheetId="8">#REF!</definedName>
    <definedName name="SEISEI" localSheetId="7">#REF!</definedName>
    <definedName name="SEISEI" localSheetId="9">#REF!</definedName>
    <definedName name="SEISEI" localSheetId="12">#REF!</definedName>
    <definedName name="SEISEI" localSheetId="11">#REF!</definedName>
    <definedName name="SEISEI">#REF!</definedName>
    <definedName name="SEISHO" localSheetId="3">#REF!</definedName>
    <definedName name="SEISHO" localSheetId="4">#REF!</definedName>
    <definedName name="SEISHO" localSheetId="2">#REF!</definedName>
    <definedName name="SEISHO" localSheetId="10">#REF!</definedName>
    <definedName name="SEISHO" localSheetId="8">#REF!</definedName>
    <definedName name="SEISHO" localSheetId="7">#REF!</definedName>
    <definedName name="SEISHO" localSheetId="9">#REF!</definedName>
    <definedName name="SEISHO" localSheetId="12">#REF!</definedName>
    <definedName name="SEISHO" localSheetId="11">#REF!</definedName>
    <definedName name="SEISHO">#REF!</definedName>
    <definedName name="SEWBデータ展開ボタン" localSheetId="3">#REF!</definedName>
    <definedName name="SEWBデータ展開ボタン" localSheetId="4">#REF!</definedName>
    <definedName name="SEWBデータ展開ボタン" localSheetId="2">#REF!</definedName>
    <definedName name="SEWBデータ展開ボタン" localSheetId="10">#REF!</definedName>
    <definedName name="SEWBデータ展開ボタン" localSheetId="8">#REF!</definedName>
    <definedName name="SEWBデータ展開ボタン" localSheetId="7">#REF!</definedName>
    <definedName name="SEWBデータ展開ボタン" localSheetId="9">#REF!</definedName>
    <definedName name="SEWBデータ展開ボタン" localSheetId="12">#REF!</definedName>
    <definedName name="SEWBデータ展開ボタン" localSheetId="11">#REF!</definedName>
    <definedName name="SEWBデータ展開ボタン">#REF!</definedName>
    <definedName name="sfadsfsdfsdf" localSheetId="3" hidden="1">{"'一覧'!$A$1:$M$28"}</definedName>
    <definedName name="sfadsfsdfsdf" localSheetId="5" hidden="1">{"'一覧'!$A$1:$M$28"}</definedName>
    <definedName name="sfadsfsdfsdf" localSheetId="4" hidden="1">{"'一覧'!$A$1:$M$28"}</definedName>
    <definedName name="sfadsfsdfsdf" localSheetId="2" hidden="1">{"'一覧'!$A$1:$M$28"}</definedName>
    <definedName name="sfadsfsdfsdf" localSheetId="10" hidden="1">{"'一覧'!$A$1:$M$28"}</definedName>
    <definedName name="sfadsfsdfsdf" localSheetId="8" hidden="1">{"'一覧'!$A$1:$M$28"}</definedName>
    <definedName name="sfadsfsdfsdf" localSheetId="7" hidden="1">{"'一覧'!$A$1:$M$28"}</definedName>
    <definedName name="sfadsfsdfsdf" localSheetId="9" hidden="1">{"'一覧'!$A$1:$M$28"}</definedName>
    <definedName name="sfadsfsdfsdf" localSheetId="12" hidden="1">{"'一覧'!$A$1:$M$28"}</definedName>
    <definedName name="sfadsfsdfsdf" localSheetId="11" hidden="1">{"'一覧'!$A$1:$M$28"}</definedName>
    <definedName name="sfadsfsdfsdf" localSheetId="0" hidden="1">{"'一覧'!$A$1:$M$28"}</definedName>
    <definedName name="sfadsfsdfsdf" hidden="1">{"'一覧'!$A$1:$M$28"}</definedName>
    <definedName name="sfadsfsdfsdf_1" localSheetId="3" hidden="1">{"'一覧'!$A$1:$M$28"}</definedName>
    <definedName name="sfadsfsdfsdf_1" localSheetId="5" hidden="1">{"'一覧'!$A$1:$M$28"}</definedName>
    <definedName name="sfadsfsdfsdf_1" localSheetId="4" hidden="1">{"'一覧'!$A$1:$M$28"}</definedName>
    <definedName name="sfadsfsdfsdf_1" localSheetId="2" hidden="1">{"'一覧'!$A$1:$M$28"}</definedName>
    <definedName name="sfadsfsdfsdf_1" localSheetId="10" hidden="1">{"'一覧'!$A$1:$M$28"}</definedName>
    <definedName name="sfadsfsdfsdf_1" localSheetId="8" hidden="1">{"'一覧'!$A$1:$M$28"}</definedName>
    <definedName name="sfadsfsdfsdf_1" localSheetId="7" hidden="1">{"'一覧'!$A$1:$M$28"}</definedName>
    <definedName name="sfadsfsdfsdf_1" localSheetId="9" hidden="1">{"'一覧'!$A$1:$M$28"}</definedName>
    <definedName name="sfadsfsdfsdf_1" localSheetId="12" hidden="1">{"'一覧'!$A$1:$M$28"}</definedName>
    <definedName name="sfadsfsdfsdf_1" localSheetId="11" hidden="1">{"'一覧'!$A$1:$M$28"}</definedName>
    <definedName name="sfadsfsdfsdf_1" localSheetId="0" hidden="1">{"'一覧'!$A$1:$M$28"}</definedName>
    <definedName name="sfadsfsdfsdf_1" hidden="1">{"'一覧'!$A$1:$M$28"}</definedName>
    <definedName name="SHHETA">#REF!</definedName>
    <definedName name="ｓｓｓ" localSheetId="3" hidden="1">{"'一覧'!$A$1:$M$28"}</definedName>
    <definedName name="ｓｓｓ" localSheetId="5" hidden="1">{"'一覧'!$A$1:$M$28"}</definedName>
    <definedName name="ｓｓｓ" localSheetId="4" hidden="1">{"'一覧'!$A$1:$M$28"}</definedName>
    <definedName name="ｓｓｓ" localSheetId="2" hidden="1">{"'一覧'!$A$1:$M$28"}</definedName>
    <definedName name="ｓｓｓ" localSheetId="10" hidden="1">{"'一覧'!$A$1:$M$28"}</definedName>
    <definedName name="ｓｓｓ" localSheetId="8" hidden="1">{"'一覧'!$A$1:$M$28"}</definedName>
    <definedName name="ｓｓｓ" localSheetId="7" hidden="1">{"'一覧'!$A$1:$M$28"}</definedName>
    <definedName name="ｓｓｓ" localSheetId="9" hidden="1">{"'一覧'!$A$1:$M$28"}</definedName>
    <definedName name="ｓｓｓ" localSheetId="12" hidden="1">{"'一覧'!$A$1:$M$28"}</definedName>
    <definedName name="ｓｓｓ" localSheetId="11" hidden="1">{"'一覧'!$A$1:$M$28"}</definedName>
    <definedName name="ｓｓｓ" localSheetId="0" hidden="1">{"'一覧'!$A$1:$M$28"}</definedName>
    <definedName name="ｓｓｓ" hidden="1">{"'一覧'!$A$1:$M$28"}</definedName>
    <definedName name="ｓｓｓ_1" localSheetId="3" hidden="1">{"'一覧'!$A$1:$M$28"}</definedName>
    <definedName name="ｓｓｓ_1" localSheetId="5" hidden="1">{"'一覧'!$A$1:$M$28"}</definedName>
    <definedName name="ｓｓｓ_1" localSheetId="4" hidden="1">{"'一覧'!$A$1:$M$28"}</definedName>
    <definedName name="ｓｓｓ_1" localSheetId="2" hidden="1">{"'一覧'!$A$1:$M$28"}</definedName>
    <definedName name="ｓｓｓ_1" localSheetId="10" hidden="1">{"'一覧'!$A$1:$M$28"}</definedName>
    <definedName name="ｓｓｓ_1" localSheetId="8" hidden="1">{"'一覧'!$A$1:$M$28"}</definedName>
    <definedName name="ｓｓｓ_1" localSheetId="7" hidden="1">{"'一覧'!$A$1:$M$28"}</definedName>
    <definedName name="ｓｓｓ_1" localSheetId="9" hidden="1">{"'一覧'!$A$1:$M$28"}</definedName>
    <definedName name="ｓｓｓ_1" localSheetId="12" hidden="1">{"'一覧'!$A$1:$M$28"}</definedName>
    <definedName name="ｓｓｓ_1" localSheetId="11" hidden="1">{"'一覧'!$A$1:$M$28"}</definedName>
    <definedName name="ｓｓｓ_1" localSheetId="0" hidden="1">{"'一覧'!$A$1:$M$28"}</definedName>
    <definedName name="ｓｓｓ_1" hidden="1">{"'一覧'!$A$1:$M$28"}</definedName>
    <definedName name="ｓｓｓｓ" localSheetId="3" hidden="1">{"'一覧'!$A$1:$M$28"}</definedName>
    <definedName name="ｓｓｓｓ" localSheetId="5" hidden="1">{"'一覧'!$A$1:$M$28"}</definedName>
    <definedName name="ｓｓｓｓ" localSheetId="4" hidden="1">{"'一覧'!$A$1:$M$28"}</definedName>
    <definedName name="ｓｓｓｓ" localSheetId="2" hidden="1">{"'一覧'!$A$1:$M$28"}</definedName>
    <definedName name="ｓｓｓｓ" localSheetId="10" hidden="1">{"'一覧'!$A$1:$M$28"}</definedName>
    <definedName name="ｓｓｓｓ" localSheetId="8" hidden="1">{"'一覧'!$A$1:$M$28"}</definedName>
    <definedName name="ｓｓｓｓ" localSheetId="7" hidden="1">{"'一覧'!$A$1:$M$28"}</definedName>
    <definedName name="ｓｓｓｓ" localSheetId="9" hidden="1">{"'一覧'!$A$1:$M$28"}</definedName>
    <definedName name="ｓｓｓｓ" localSheetId="12" hidden="1">{"'一覧'!$A$1:$M$28"}</definedName>
    <definedName name="ｓｓｓｓ" localSheetId="11" hidden="1">{"'一覧'!$A$1:$M$28"}</definedName>
    <definedName name="ｓｓｓｓ" localSheetId="0" hidden="1">{"'一覧'!$A$1:$M$28"}</definedName>
    <definedName name="ｓｓｓｓ" hidden="1">{"'一覧'!$A$1:$M$28"}</definedName>
    <definedName name="ｓｓｓｓ_1" localSheetId="3" hidden="1">{"'一覧'!$A$1:$M$28"}</definedName>
    <definedName name="ｓｓｓｓ_1" localSheetId="5" hidden="1">{"'一覧'!$A$1:$M$28"}</definedName>
    <definedName name="ｓｓｓｓ_1" localSheetId="4" hidden="1">{"'一覧'!$A$1:$M$28"}</definedName>
    <definedName name="ｓｓｓｓ_1" localSheetId="2" hidden="1">{"'一覧'!$A$1:$M$28"}</definedName>
    <definedName name="ｓｓｓｓ_1" localSheetId="10" hidden="1">{"'一覧'!$A$1:$M$28"}</definedName>
    <definedName name="ｓｓｓｓ_1" localSheetId="8" hidden="1">{"'一覧'!$A$1:$M$28"}</definedName>
    <definedName name="ｓｓｓｓ_1" localSheetId="7" hidden="1">{"'一覧'!$A$1:$M$28"}</definedName>
    <definedName name="ｓｓｓｓ_1" localSheetId="9" hidden="1">{"'一覧'!$A$1:$M$28"}</definedName>
    <definedName name="ｓｓｓｓ_1" localSheetId="12" hidden="1">{"'一覧'!$A$1:$M$28"}</definedName>
    <definedName name="ｓｓｓｓ_1" localSheetId="11" hidden="1">{"'一覧'!$A$1:$M$28"}</definedName>
    <definedName name="ｓｓｓｓ_1" localSheetId="0" hidden="1">{"'一覧'!$A$1:$M$28"}</definedName>
    <definedName name="ｓｓｓｓ_1" hidden="1">{"'一覧'!$A$1:$M$28"}</definedName>
    <definedName name="TANGAI">#REF!</definedName>
    <definedName name="TANGAI2" localSheetId="3">#REF!</definedName>
    <definedName name="TANGAI2" localSheetId="4">#REF!</definedName>
    <definedName name="TANGAI2" localSheetId="2">#REF!</definedName>
    <definedName name="TANGAI2" localSheetId="10">#REF!</definedName>
    <definedName name="TANGAI2" localSheetId="8">#REF!</definedName>
    <definedName name="TANGAI2" localSheetId="7">#REF!</definedName>
    <definedName name="TANGAI2" localSheetId="9">#REF!</definedName>
    <definedName name="TANGAI2" localSheetId="12">#REF!</definedName>
    <definedName name="TANGAI2" localSheetId="11">#REF!</definedName>
    <definedName name="TANGAI2">#REF!</definedName>
    <definedName name="TANKET" localSheetId="3">#REF!</definedName>
    <definedName name="TANKET" localSheetId="4">#REF!</definedName>
    <definedName name="TANKET" localSheetId="2">#REF!</definedName>
    <definedName name="TANKET" localSheetId="10">#REF!</definedName>
    <definedName name="TANKET" localSheetId="8">#REF!</definedName>
    <definedName name="TANKET" localSheetId="7">#REF!</definedName>
    <definedName name="TANKET" localSheetId="9">#REF!</definedName>
    <definedName name="TANKET" localSheetId="12">#REF!</definedName>
    <definedName name="TANKET" localSheetId="11">#REF!</definedName>
    <definedName name="TANKET">#REF!</definedName>
    <definedName name="TANKET2" localSheetId="3">#REF!</definedName>
    <definedName name="TANKET2" localSheetId="4">#REF!</definedName>
    <definedName name="TANKET2" localSheetId="2">#REF!</definedName>
    <definedName name="TANKET2" localSheetId="10">#REF!</definedName>
    <definedName name="TANKET2" localSheetId="8">#REF!</definedName>
    <definedName name="TANKET2" localSheetId="7">#REF!</definedName>
    <definedName name="TANKET2" localSheetId="9">#REF!</definedName>
    <definedName name="TANKET2" localSheetId="12">#REF!</definedName>
    <definedName name="TANKET2" localSheetId="11">#REF!</definedName>
    <definedName name="TANKET2">#REF!</definedName>
    <definedName name="TANSEI" localSheetId="3">#REF!</definedName>
    <definedName name="TANSEI" localSheetId="4">#REF!</definedName>
    <definedName name="TANSEI" localSheetId="2">#REF!</definedName>
    <definedName name="TANSEI" localSheetId="10">#REF!</definedName>
    <definedName name="TANSEI" localSheetId="8">#REF!</definedName>
    <definedName name="TANSEI" localSheetId="7">#REF!</definedName>
    <definedName name="TANSEI" localSheetId="9">#REF!</definedName>
    <definedName name="TANSEI" localSheetId="12">#REF!</definedName>
    <definedName name="TANSEI" localSheetId="11">#REF!</definedName>
    <definedName name="TANSEI">#REF!</definedName>
    <definedName name="TANSEI2" localSheetId="3">#REF!</definedName>
    <definedName name="TANSEI2" localSheetId="4">#REF!</definedName>
    <definedName name="TANSEI2" localSheetId="2">#REF!</definedName>
    <definedName name="TANSEI2" localSheetId="10">#REF!</definedName>
    <definedName name="TANSEI2" localSheetId="8">#REF!</definedName>
    <definedName name="TANSEI2" localSheetId="7">#REF!</definedName>
    <definedName name="TANSEI2" localSheetId="9">#REF!</definedName>
    <definedName name="TANSEI2" localSheetId="12">#REF!</definedName>
    <definedName name="TANSEI2" localSheetId="11">#REF!</definedName>
    <definedName name="TANSEI2">#REF!</definedName>
    <definedName name="TANSHO" localSheetId="3">#REF!</definedName>
    <definedName name="TANSHO" localSheetId="4">#REF!</definedName>
    <definedName name="TANSHO" localSheetId="2">#REF!</definedName>
    <definedName name="TANSHO" localSheetId="10">#REF!</definedName>
    <definedName name="TANSHO" localSheetId="8">#REF!</definedName>
    <definedName name="TANSHO" localSheetId="7">#REF!</definedName>
    <definedName name="TANSHO" localSheetId="9">#REF!</definedName>
    <definedName name="TANSHO" localSheetId="12">#REF!</definedName>
    <definedName name="TANSHO" localSheetId="11">#REF!</definedName>
    <definedName name="TANSHO">#REF!</definedName>
    <definedName name="TANSHO2" localSheetId="3">#REF!</definedName>
    <definedName name="TANSHO2" localSheetId="4">#REF!</definedName>
    <definedName name="TANSHO2" localSheetId="2">#REF!</definedName>
    <definedName name="TANSHO2" localSheetId="10">#REF!</definedName>
    <definedName name="TANSHO2" localSheetId="8">#REF!</definedName>
    <definedName name="TANSHO2" localSheetId="7">#REF!</definedName>
    <definedName name="TANSHO2" localSheetId="9">#REF!</definedName>
    <definedName name="TANSHO2" localSheetId="12">#REF!</definedName>
    <definedName name="TANSHO2" localSheetId="11">#REF!</definedName>
    <definedName name="TANSHO2">#REF!</definedName>
    <definedName name="TANSHO22" localSheetId="3">#REF!</definedName>
    <definedName name="TANSHO22" localSheetId="4">#REF!</definedName>
    <definedName name="TANSHO22" localSheetId="2">#REF!</definedName>
    <definedName name="TANSHO22" localSheetId="10">#REF!</definedName>
    <definedName name="TANSHO22" localSheetId="8">#REF!</definedName>
    <definedName name="TANSHO22" localSheetId="7">#REF!</definedName>
    <definedName name="TANSHO22" localSheetId="9">#REF!</definedName>
    <definedName name="TANSHO22" localSheetId="12">#REF!</definedName>
    <definedName name="TANSHO22" localSheetId="11">#REF!</definedName>
    <definedName name="TANSHO22">#REF!</definedName>
    <definedName name="TEIJI" localSheetId="3">#REF!</definedName>
    <definedName name="TEIJI" localSheetId="4">#REF!</definedName>
    <definedName name="TEIJI" localSheetId="2">#REF!</definedName>
    <definedName name="TEIJI" localSheetId="10">#REF!</definedName>
    <definedName name="TEIJI" localSheetId="8">#REF!</definedName>
    <definedName name="TEIJI" localSheetId="7">#REF!</definedName>
    <definedName name="TEIJI" localSheetId="9">#REF!</definedName>
    <definedName name="TEIJI" localSheetId="12">#REF!</definedName>
    <definedName name="TEIJI" localSheetId="11">#REF!</definedName>
    <definedName name="TEIJI">#REF!</definedName>
    <definedName name="test1_2" localSheetId="3">#REF!</definedName>
    <definedName name="test1_2" localSheetId="4">#REF!</definedName>
    <definedName name="test1_2" localSheetId="2">#REF!</definedName>
    <definedName name="test1_2" localSheetId="10">#REF!</definedName>
    <definedName name="test1_2" localSheetId="8">#REF!</definedName>
    <definedName name="test1_2" localSheetId="7">#REF!</definedName>
    <definedName name="test1_2" localSheetId="9">#REF!</definedName>
    <definedName name="test1_2" localSheetId="12">#REF!</definedName>
    <definedName name="test1_2" localSheetId="11">#REF!</definedName>
    <definedName name="test1_2">#REF!</definedName>
    <definedName name="TTTC9070_lgc" localSheetId="3">#REF!</definedName>
    <definedName name="TTTC9070_lgc" localSheetId="4">#REF!</definedName>
    <definedName name="TTTC9070_lgc" localSheetId="2">#REF!</definedName>
    <definedName name="TTTC9070_lgc" localSheetId="10">#REF!</definedName>
    <definedName name="TTTC9070_lgc" localSheetId="8">#REF!</definedName>
    <definedName name="TTTC9070_lgc" localSheetId="7">#REF!</definedName>
    <definedName name="TTTC9070_lgc" localSheetId="9">#REF!</definedName>
    <definedName name="TTTC9070_lgc" localSheetId="12">#REF!</definedName>
    <definedName name="TTTC9070_lgc" localSheetId="11">#REF!</definedName>
    <definedName name="TTTC9070_lgc">#REF!</definedName>
    <definedName name="TUKE" localSheetId="3">#REF!</definedName>
    <definedName name="TUKE" localSheetId="4">#REF!</definedName>
    <definedName name="TUKE" localSheetId="2">#REF!</definedName>
    <definedName name="TUKE" localSheetId="10">#REF!</definedName>
    <definedName name="TUKE" localSheetId="8">#REF!</definedName>
    <definedName name="TUKE" localSheetId="7">#REF!</definedName>
    <definedName name="TUKE" localSheetId="9">#REF!</definedName>
    <definedName name="TUKE" localSheetId="12">#REF!</definedName>
    <definedName name="TUKE" localSheetId="11">#REF!</definedName>
    <definedName name="TUKE">#REF!</definedName>
    <definedName name="WPデータ型">[1]リスト!$A$1:$A$8</definedName>
    <definedName name="WP画面タイプ">[2]リスト!#REF!</definedName>
    <definedName name="ｗｗｗ" localSheetId="3" hidden="1">{"'一覧'!$A$1:$M$28"}</definedName>
    <definedName name="ｗｗｗ" localSheetId="5" hidden="1">{"'一覧'!$A$1:$M$28"}</definedName>
    <definedName name="ｗｗｗ" localSheetId="4" hidden="1">{"'一覧'!$A$1:$M$28"}</definedName>
    <definedName name="ｗｗｗ" localSheetId="2" hidden="1">{"'一覧'!$A$1:$M$28"}</definedName>
    <definedName name="ｗｗｗ" localSheetId="10" hidden="1">{"'一覧'!$A$1:$M$28"}</definedName>
    <definedName name="ｗｗｗ" localSheetId="8" hidden="1">{"'一覧'!$A$1:$M$28"}</definedName>
    <definedName name="ｗｗｗ" localSheetId="7" hidden="1">{"'一覧'!$A$1:$M$28"}</definedName>
    <definedName name="ｗｗｗ" localSheetId="9" hidden="1">{"'一覧'!$A$1:$M$28"}</definedName>
    <definedName name="ｗｗｗ" localSheetId="12" hidden="1">{"'一覧'!$A$1:$M$28"}</definedName>
    <definedName name="ｗｗｗ" localSheetId="11" hidden="1">{"'一覧'!$A$1:$M$28"}</definedName>
    <definedName name="ｗｗｗ" localSheetId="0" hidden="1">{"'一覧'!$A$1:$M$28"}</definedName>
    <definedName name="ｗｗｗ" hidden="1">{"'一覧'!$A$1:$M$28"}</definedName>
    <definedName name="ｗｗｗ_1" localSheetId="3" hidden="1">{"'一覧'!$A$1:$M$28"}</definedName>
    <definedName name="ｗｗｗ_1" localSheetId="5" hidden="1">{"'一覧'!$A$1:$M$28"}</definedName>
    <definedName name="ｗｗｗ_1" localSheetId="4" hidden="1">{"'一覧'!$A$1:$M$28"}</definedName>
    <definedName name="ｗｗｗ_1" localSheetId="2" hidden="1">{"'一覧'!$A$1:$M$28"}</definedName>
    <definedName name="ｗｗｗ_1" localSheetId="10" hidden="1">{"'一覧'!$A$1:$M$28"}</definedName>
    <definedName name="ｗｗｗ_1" localSheetId="8" hidden="1">{"'一覧'!$A$1:$M$28"}</definedName>
    <definedName name="ｗｗｗ_1" localSheetId="7" hidden="1">{"'一覧'!$A$1:$M$28"}</definedName>
    <definedName name="ｗｗｗ_1" localSheetId="9" hidden="1">{"'一覧'!$A$1:$M$28"}</definedName>
    <definedName name="ｗｗｗ_1" localSheetId="12" hidden="1">{"'一覧'!$A$1:$M$28"}</definedName>
    <definedName name="ｗｗｗ_1" localSheetId="11" hidden="1">{"'一覧'!$A$1:$M$28"}</definedName>
    <definedName name="ｗｗｗ_1" localSheetId="0" hidden="1">{"'一覧'!$A$1:$M$28"}</definedName>
    <definedName name="ｗｗｗ_1" hidden="1">{"'一覧'!$A$1:$M$28"}</definedName>
    <definedName name="xc" localSheetId="3" hidden="1">{"'一覧'!$A$1:$M$28"}</definedName>
    <definedName name="xc" localSheetId="5" hidden="1">{"'一覧'!$A$1:$M$28"}</definedName>
    <definedName name="xc" localSheetId="4" hidden="1">{"'一覧'!$A$1:$M$28"}</definedName>
    <definedName name="xc" localSheetId="2" hidden="1">{"'一覧'!$A$1:$M$28"}</definedName>
    <definedName name="xc" localSheetId="10" hidden="1">{"'一覧'!$A$1:$M$28"}</definedName>
    <definedName name="xc" localSheetId="8" hidden="1">{"'一覧'!$A$1:$M$28"}</definedName>
    <definedName name="xc" localSheetId="7" hidden="1">{"'一覧'!$A$1:$M$28"}</definedName>
    <definedName name="xc" localSheetId="9" hidden="1">{"'一覧'!$A$1:$M$28"}</definedName>
    <definedName name="xc" localSheetId="12" hidden="1">{"'一覧'!$A$1:$M$28"}</definedName>
    <definedName name="xc" localSheetId="11" hidden="1">{"'一覧'!$A$1:$M$28"}</definedName>
    <definedName name="xc" localSheetId="0" hidden="1">{"'一覧'!$A$1:$M$28"}</definedName>
    <definedName name="xc" hidden="1">{"'一覧'!$A$1:$M$28"}</definedName>
    <definedName name="xc_1" localSheetId="3" hidden="1">{"'一覧'!$A$1:$M$28"}</definedName>
    <definedName name="xc_1" localSheetId="5" hidden="1">{"'一覧'!$A$1:$M$28"}</definedName>
    <definedName name="xc_1" localSheetId="4" hidden="1">{"'一覧'!$A$1:$M$28"}</definedName>
    <definedName name="xc_1" localSheetId="2" hidden="1">{"'一覧'!$A$1:$M$28"}</definedName>
    <definedName name="xc_1" localSheetId="10" hidden="1">{"'一覧'!$A$1:$M$28"}</definedName>
    <definedName name="xc_1" localSheetId="8" hidden="1">{"'一覧'!$A$1:$M$28"}</definedName>
    <definedName name="xc_1" localSheetId="7" hidden="1">{"'一覧'!$A$1:$M$28"}</definedName>
    <definedName name="xc_1" localSheetId="9" hidden="1">{"'一覧'!$A$1:$M$28"}</definedName>
    <definedName name="xc_1" localSheetId="12" hidden="1">{"'一覧'!$A$1:$M$28"}</definedName>
    <definedName name="xc_1" localSheetId="11" hidden="1">{"'一覧'!$A$1:$M$28"}</definedName>
    <definedName name="xc_1" localSheetId="0" hidden="1">{"'一覧'!$A$1:$M$28"}</definedName>
    <definedName name="xc_1" hidden="1">{"'一覧'!$A$1:$M$28"}</definedName>
    <definedName name="ｘｘ" localSheetId="3" hidden="1">{"'旅費精算ＤＴ２'!$A$1:$N$40"}</definedName>
    <definedName name="ｘｘ" localSheetId="5" hidden="1">{"'旅費精算ＤＴ２'!$A$1:$N$40"}</definedName>
    <definedName name="ｘｘ" localSheetId="4" hidden="1">{"'旅費精算ＤＴ２'!$A$1:$N$40"}</definedName>
    <definedName name="ｘｘ" localSheetId="2" hidden="1">{"'旅費精算ＤＴ２'!$A$1:$N$40"}</definedName>
    <definedName name="ｘｘ" localSheetId="10" hidden="1">{"'旅費精算ＤＴ２'!$A$1:$N$40"}</definedName>
    <definedName name="ｘｘ" localSheetId="8" hidden="1">{"'旅費精算ＤＴ２'!$A$1:$N$40"}</definedName>
    <definedName name="ｘｘ" localSheetId="7" hidden="1">{"'旅費精算ＤＴ２'!$A$1:$N$40"}</definedName>
    <definedName name="ｘｘ" localSheetId="9" hidden="1">{"'旅費精算ＤＴ２'!$A$1:$N$40"}</definedName>
    <definedName name="ｘｘ" localSheetId="12" hidden="1">{"'旅費精算ＤＴ２'!$A$1:$N$40"}</definedName>
    <definedName name="ｘｘ" localSheetId="11" hidden="1">{"'旅費精算ＤＴ２'!$A$1:$N$40"}</definedName>
    <definedName name="ｘｘ" localSheetId="0" hidden="1">{"'旅費精算ＤＴ２'!$A$1:$N$40"}</definedName>
    <definedName name="ｘｘ" hidden="1">{"'旅費精算ＤＴ２'!$A$1:$N$40"}</definedName>
    <definedName name="ｘｘ_1" localSheetId="3" hidden="1">{"'旅費精算ＤＴ２'!$A$1:$N$40"}</definedName>
    <definedName name="ｘｘ_1" localSheetId="5" hidden="1">{"'旅費精算ＤＴ２'!$A$1:$N$40"}</definedName>
    <definedName name="ｘｘ_1" localSheetId="4" hidden="1">{"'旅費精算ＤＴ２'!$A$1:$N$40"}</definedName>
    <definedName name="ｘｘ_1" localSheetId="2" hidden="1">{"'旅費精算ＤＴ２'!$A$1:$N$40"}</definedName>
    <definedName name="ｘｘ_1" localSheetId="10" hidden="1">{"'旅費精算ＤＴ２'!$A$1:$N$40"}</definedName>
    <definedName name="ｘｘ_1" localSheetId="8" hidden="1">{"'旅費精算ＤＴ２'!$A$1:$N$40"}</definedName>
    <definedName name="ｘｘ_1" localSheetId="7" hidden="1">{"'旅費精算ＤＴ２'!$A$1:$N$40"}</definedName>
    <definedName name="ｘｘ_1" localSheetId="9" hidden="1">{"'旅費精算ＤＴ２'!$A$1:$N$40"}</definedName>
    <definedName name="ｘｘ_1" localSheetId="12" hidden="1">{"'旅費精算ＤＴ２'!$A$1:$N$40"}</definedName>
    <definedName name="ｘｘ_1" localSheetId="11" hidden="1">{"'旅費精算ＤＴ２'!$A$1:$N$40"}</definedName>
    <definedName name="ｘｘ_1" localSheetId="0" hidden="1">{"'旅費精算ＤＴ２'!$A$1:$N$40"}</definedName>
    <definedName name="ｘｘ_1" hidden="1">{"'旅費精算ＤＴ２'!$A$1:$N$40"}</definedName>
    <definedName name="ｘｘｘ" localSheetId="3" hidden="1">{"'一覧'!$A$1:$M$28"}</definedName>
    <definedName name="ｘｘｘ" localSheetId="5" hidden="1">{"'一覧'!$A$1:$M$28"}</definedName>
    <definedName name="ｘｘｘ" localSheetId="4" hidden="1">{"'一覧'!$A$1:$M$28"}</definedName>
    <definedName name="ｘｘｘ" localSheetId="2" hidden="1">{"'一覧'!$A$1:$M$28"}</definedName>
    <definedName name="ｘｘｘ" localSheetId="10" hidden="1">{"'一覧'!$A$1:$M$28"}</definedName>
    <definedName name="ｘｘｘ" localSheetId="8" hidden="1">{"'一覧'!$A$1:$M$28"}</definedName>
    <definedName name="ｘｘｘ" localSheetId="7" hidden="1">{"'一覧'!$A$1:$M$28"}</definedName>
    <definedName name="ｘｘｘ" localSheetId="9" hidden="1">{"'一覧'!$A$1:$M$28"}</definedName>
    <definedName name="ｘｘｘ" localSheetId="12" hidden="1">{"'一覧'!$A$1:$M$28"}</definedName>
    <definedName name="ｘｘｘ" localSheetId="11" hidden="1">{"'一覧'!$A$1:$M$28"}</definedName>
    <definedName name="ｘｘｘ" localSheetId="0" hidden="1">{"'一覧'!$A$1:$M$28"}</definedName>
    <definedName name="ｘｘｘ" hidden="1">{"'一覧'!$A$1:$M$28"}</definedName>
    <definedName name="ｘｘｘ_1" localSheetId="3" hidden="1">{"'一覧'!$A$1:$M$28"}</definedName>
    <definedName name="ｘｘｘ_1" localSheetId="5" hidden="1">{"'一覧'!$A$1:$M$28"}</definedName>
    <definedName name="ｘｘｘ_1" localSheetId="4" hidden="1">{"'一覧'!$A$1:$M$28"}</definedName>
    <definedName name="ｘｘｘ_1" localSheetId="2" hidden="1">{"'一覧'!$A$1:$M$28"}</definedName>
    <definedName name="ｘｘｘ_1" localSheetId="10" hidden="1">{"'一覧'!$A$1:$M$28"}</definedName>
    <definedName name="ｘｘｘ_1" localSheetId="8" hidden="1">{"'一覧'!$A$1:$M$28"}</definedName>
    <definedName name="ｘｘｘ_1" localSheetId="7" hidden="1">{"'一覧'!$A$1:$M$28"}</definedName>
    <definedName name="ｘｘｘ_1" localSheetId="9" hidden="1">{"'一覧'!$A$1:$M$28"}</definedName>
    <definedName name="ｘｘｘ_1" localSheetId="12" hidden="1">{"'一覧'!$A$1:$M$28"}</definedName>
    <definedName name="ｘｘｘ_1" localSheetId="11" hidden="1">{"'一覧'!$A$1:$M$28"}</definedName>
    <definedName name="ｘｘｘ_1" localSheetId="0" hidden="1">{"'一覧'!$A$1:$M$28"}</definedName>
    <definedName name="ｘｘｘ_1" hidden="1">{"'一覧'!$A$1:$M$28"}</definedName>
    <definedName name="ｙ" localSheetId="3" hidden="1">{"'一覧'!$A$1:$M$28"}</definedName>
    <definedName name="ｙ" localSheetId="5" hidden="1">{"'一覧'!$A$1:$M$28"}</definedName>
    <definedName name="ｙ" localSheetId="4" hidden="1">{"'一覧'!$A$1:$M$28"}</definedName>
    <definedName name="ｙ" localSheetId="2" hidden="1">{"'一覧'!$A$1:$M$28"}</definedName>
    <definedName name="ｙ" localSheetId="10" hidden="1">{"'一覧'!$A$1:$M$28"}</definedName>
    <definedName name="ｙ" localSheetId="8" hidden="1">{"'一覧'!$A$1:$M$28"}</definedName>
    <definedName name="ｙ" localSheetId="7" hidden="1">{"'一覧'!$A$1:$M$28"}</definedName>
    <definedName name="ｙ" localSheetId="9" hidden="1">{"'一覧'!$A$1:$M$28"}</definedName>
    <definedName name="ｙ" localSheetId="12" hidden="1">{"'一覧'!$A$1:$M$28"}</definedName>
    <definedName name="ｙ" localSheetId="11" hidden="1">{"'一覧'!$A$1:$M$28"}</definedName>
    <definedName name="ｙ" localSheetId="0" hidden="1">{"'一覧'!$A$1:$M$28"}</definedName>
    <definedName name="ｙ" hidden="1">{"'一覧'!$A$1:$M$28"}</definedName>
    <definedName name="ｙ_1" localSheetId="3" hidden="1">{"'一覧'!$A$1:$M$28"}</definedName>
    <definedName name="ｙ_1" localSheetId="5" hidden="1">{"'一覧'!$A$1:$M$28"}</definedName>
    <definedName name="ｙ_1" localSheetId="4" hidden="1">{"'一覧'!$A$1:$M$28"}</definedName>
    <definedName name="ｙ_1" localSheetId="2" hidden="1">{"'一覧'!$A$1:$M$28"}</definedName>
    <definedName name="ｙ_1" localSheetId="10" hidden="1">{"'一覧'!$A$1:$M$28"}</definedName>
    <definedName name="ｙ_1" localSheetId="8" hidden="1">{"'一覧'!$A$1:$M$28"}</definedName>
    <definedName name="ｙ_1" localSheetId="7" hidden="1">{"'一覧'!$A$1:$M$28"}</definedName>
    <definedName name="ｙ_1" localSheetId="9" hidden="1">{"'一覧'!$A$1:$M$28"}</definedName>
    <definedName name="ｙ_1" localSheetId="12" hidden="1">{"'一覧'!$A$1:$M$28"}</definedName>
    <definedName name="ｙ_1" localSheetId="11" hidden="1">{"'一覧'!$A$1:$M$28"}</definedName>
    <definedName name="ｙ_1" localSheetId="0" hidden="1">{"'一覧'!$A$1:$M$28"}</definedName>
    <definedName name="ｙ_1" hidden="1">{"'一覧'!$A$1:$M$28"}</definedName>
    <definedName name="Z_13280533_4350_11D5_A867_000629D8585B_.wvu.Cols" hidden="1">#REF!</definedName>
    <definedName name="Z_13280533_4350_11D5_A867_000629D8585B_.wvu.PrintArea" localSheetId="3" hidden="1">#REF!</definedName>
    <definedName name="Z_13280533_4350_11D5_A867_000629D8585B_.wvu.PrintArea" localSheetId="4" hidden="1">#REF!</definedName>
    <definedName name="Z_13280533_4350_11D5_A867_000629D8585B_.wvu.PrintArea" localSheetId="2" hidden="1">#REF!</definedName>
    <definedName name="Z_13280533_4350_11D5_A867_000629D8585B_.wvu.PrintArea" localSheetId="10" hidden="1">#REF!</definedName>
    <definedName name="Z_13280533_4350_11D5_A867_000629D8585B_.wvu.PrintArea" localSheetId="8" hidden="1">#REF!</definedName>
    <definedName name="Z_13280533_4350_11D5_A867_000629D8585B_.wvu.PrintArea" localSheetId="7" hidden="1">#REF!</definedName>
    <definedName name="Z_13280533_4350_11D5_A867_000629D8585B_.wvu.PrintArea" localSheetId="9" hidden="1">#REF!</definedName>
    <definedName name="Z_13280533_4350_11D5_A867_000629D8585B_.wvu.PrintArea" localSheetId="12" hidden="1">#REF!</definedName>
    <definedName name="Z_13280533_4350_11D5_A867_000629D8585B_.wvu.PrintArea" localSheetId="11" hidden="1">#REF!</definedName>
    <definedName name="Z_13280533_4350_11D5_A867_000629D8585B_.wvu.PrintArea" localSheetId="0" hidden="1">#REF!</definedName>
    <definedName name="Z_13280533_4350_11D5_A867_000629D8585B_.wvu.PrintArea" hidden="1">#REF!</definedName>
    <definedName name="Z_13280533_4350_11D5_A867_000629D8585B_.wvu.PrintTitles" localSheetId="3" hidden="1">#REF!</definedName>
    <definedName name="Z_13280533_4350_11D5_A867_000629D8585B_.wvu.PrintTitles" localSheetId="4" hidden="1">#REF!</definedName>
    <definedName name="Z_13280533_4350_11D5_A867_000629D8585B_.wvu.PrintTitles" localSheetId="2" hidden="1">#REF!</definedName>
    <definedName name="Z_13280533_4350_11D5_A867_000629D8585B_.wvu.PrintTitles" localSheetId="10" hidden="1">#REF!</definedName>
    <definedName name="Z_13280533_4350_11D5_A867_000629D8585B_.wvu.PrintTitles" localSheetId="8" hidden="1">#REF!</definedName>
    <definedName name="Z_13280533_4350_11D5_A867_000629D8585B_.wvu.PrintTitles" localSheetId="7" hidden="1">#REF!</definedName>
    <definedName name="Z_13280533_4350_11D5_A867_000629D8585B_.wvu.PrintTitles" localSheetId="9" hidden="1">#REF!</definedName>
    <definedName name="Z_13280533_4350_11D5_A867_000629D8585B_.wvu.PrintTitles" localSheetId="12" hidden="1">#REF!</definedName>
    <definedName name="Z_13280533_4350_11D5_A867_000629D8585B_.wvu.PrintTitles" localSheetId="11" hidden="1">#REF!</definedName>
    <definedName name="Z_13280533_4350_11D5_A867_000629D8585B_.wvu.PrintTitles" localSheetId="0" hidden="1">#REF!</definedName>
    <definedName name="Z_13280533_4350_11D5_A867_000629D8585B_.wvu.PrintTitles" hidden="1">#REF!</definedName>
    <definedName name="Z_13280533_4350_11D5_A867_000629D8585B_.wvu.Rows" localSheetId="3" hidden="1">#REF!</definedName>
    <definedName name="Z_13280533_4350_11D5_A867_000629D8585B_.wvu.Rows" localSheetId="4" hidden="1">#REF!</definedName>
    <definedName name="Z_13280533_4350_11D5_A867_000629D8585B_.wvu.Rows" localSheetId="2" hidden="1">#REF!</definedName>
    <definedName name="Z_13280533_4350_11D5_A867_000629D8585B_.wvu.Rows" localSheetId="10" hidden="1">#REF!</definedName>
    <definedName name="Z_13280533_4350_11D5_A867_000629D8585B_.wvu.Rows" localSheetId="8" hidden="1">#REF!</definedName>
    <definedName name="Z_13280533_4350_11D5_A867_000629D8585B_.wvu.Rows" localSheetId="7" hidden="1">#REF!</definedName>
    <definedName name="Z_13280533_4350_11D5_A867_000629D8585B_.wvu.Rows" localSheetId="9" hidden="1">#REF!</definedName>
    <definedName name="Z_13280533_4350_11D5_A867_000629D8585B_.wvu.Rows" localSheetId="12" hidden="1">#REF!</definedName>
    <definedName name="Z_13280533_4350_11D5_A867_000629D8585B_.wvu.Rows" localSheetId="11" hidden="1">#REF!</definedName>
    <definedName name="Z_13280533_4350_11D5_A867_000629D8585B_.wvu.Rows" localSheetId="0" hidden="1">#REF!</definedName>
    <definedName name="Z_13280533_4350_11D5_A867_000629D8585B_.wvu.Rows" hidden="1">#REF!</definedName>
    <definedName name="Z_ECECA9E9_429F_11D5_96AC_0006291EBE14_.wvu.Cols" localSheetId="3" hidden="1">#REF!</definedName>
    <definedName name="Z_ECECA9E9_429F_11D5_96AC_0006291EBE14_.wvu.Cols" localSheetId="4" hidden="1">#REF!</definedName>
    <definedName name="Z_ECECA9E9_429F_11D5_96AC_0006291EBE14_.wvu.Cols" localSheetId="2" hidden="1">#REF!</definedName>
    <definedName name="Z_ECECA9E9_429F_11D5_96AC_0006291EBE14_.wvu.Cols" localSheetId="10" hidden="1">#REF!</definedName>
    <definedName name="Z_ECECA9E9_429F_11D5_96AC_0006291EBE14_.wvu.Cols" localSheetId="8" hidden="1">#REF!</definedName>
    <definedName name="Z_ECECA9E9_429F_11D5_96AC_0006291EBE14_.wvu.Cols" localSheetId="7" hidden="1">#REF!</definedName>
    <definedName name="Z_ECECA9E9_429F_11D5_96AC_0006291EBE14_.wvu.Cols" localSheetId="9" hidden="1">#REF!</definedName>
    <definedName name="Z_ECECA9E9_429F_11D5_96AC_0006291EBE14_.wvu.Cols" localSheetId="12" hidden="1">#REF!</definedName>
    <definedName name="Z_ECECA9E9_429F_11D5_96AC_0006291EBE14_.wvu.Cols" localSheetId="11" hidden="1">#REF!</definedName>
    <definedName name="Z_ECECA9E9_429F_11D5_96AC_0006291EBE14_.wvu.Cols" localSheetId="0" hidden="1">#REF!</definedName>
    <definedName name="Z_ECECA9E9_429F_11D5_96AC_0006291EBE14_.wvu.Cols" hidden="1">#REF!</definedName>
    <definedName name="Z_ECECA9E9_429F_11D5_96AC_0006291EBE14_.wvu.PrintArea" localSheetId="3" hidden="1">#REF!</definedName>
    <definedName name="Z_ECECA9E9_429F_11D5_96AC_0006291EBE14_.wvu.PrintArea" localSheetId="4" hidden="1">#REF!</definedName>
    <definedName name="Z_ECECA9E9_429F_11D5_96AC_0006291EBE14_.wvu.PrintArea" localSheetId="2" hidden="1">#REF!</definedName>
    <definedName name="Z_ECECA9E9_429F_11D5_96AC_0006291EBE14_.wvu.PrintArea" localSheetId="10" hidden="1">#REF!</definedName>
    <definedName name="Z_ECECA9E9_429F_11D5_96AC_0006291EBE14_.wvu.PrintArea" localSheetId="8" hidden="1">#REF!</definedName>
    <definedName name="Z_ECECA9E9_429F_11D5_96AC_0006291EBE14_.wvu.PrintArea" localSheetId="7" hidden="1">#REF!</definedName>
    <definedName name="Z_ECECA9E9_429F_11D5_96AC_0006291EBE14_.wvu.PrintArea" localSheetId="9" hidden="1">#REF!</definedName>
    <definedName name="Z_ECECA9E9_429F_11D5_96AC_0006291EBE14_.wvu.PrintArea" localSheetId="12" hidden="1">#REF!</definedName>
    <definedName name="Z_ECECA9E9_429F_11D5_96AC_0006291EBE14_.wvu.PrintArea" localSheetId="11" hidden="1">#REF!</definedName>
    <definedName name="Z_ECECA9E9_429F_11D5_96AC_0006291EBE14_.wvu.PrintArea" localSheetId="0" hidden="1">#REF!</definedName>
    <definedName name="Z_ECECA9E9_429F_11D5_96AC_0006291EBE14_.wvu.PrintArea" hidden="1">#REF!</definedName>
    <definedName name="Z_ECECA9E9_429F_11D5_96AC_0006291EBE14_.wvu.PrintTitles" localSheetId="3" hidden="1">#REF!</definedName>
    <definedName name="Z_ECECA9E9_429F_11D5_96AC_0006291EBE14_.wvu.PrintTitles" localSheetId="4" hidden="1">#REF!</definedName>
    <definedName name="Z_ECECA9E9_429F_11D5_96AC_0006291EBE14_.wvu.PrintTitles" localSheetId="2" hidden="1">#REF!</definedName>
    <definedName name="Z_ECECA9E9_429F_11D5_96AC_0006291EBE14_.wvu.PrintTitles" localSheetId="10" hidden="1">#REF!</definedName>
    <definedName name="Z_ECECA9E9_429F_11D5_96AC_0006291EBE14_.wvu.PrintTitles" localSheetId="8" hidden="1">#REF!</definedName>
    <definedName name="Z_ECECA9E9_429F_11D5_96AC_0006291EBE14_.wvu.PrintTitles" localSheetId="7" hidden="1">#REF!</definedName>
    <definedName name="Z_ECECA9E9_429F_11D5_96AC_0006291EBE14_.wvu.PrintTitles" localSheetId="9" hidden="1">#REF!</definedName>
    <definedName name="Z_ECECA9E9_429F_11D5_96AC_0006291EBE14_.wvu.PrintTitles" localSheetId="12" hidden="1">#REF!</definedName>
    <definedName name="Z_ECECA9E9_429F_11D5_96AC_0006291EBE14_.wvu.PrintTitles" localSheetId="11" hidden="1">#REF!</definedName>
    <definedName name="Z_ECECA9E9_429F_11D5_96AC_0006291EBE14_.wvu.PrintTitles" localSheetId="0" hidden="1">#REF!</definedName>
    <definedName name="Z_ECECA9E9_429F_11D5_96AC_0006291EBE14_.wvu.PrintTitles" hidden="1">#REF!</definedName>
    <definedName name="Z_ECECA9E9_429F_11D5_96AC_0006291EBE14_.wvu.Rows" localSheetId="3" hidden="1">#REF!</definedName>
    <definedName name="Z_ECECA9E9_429F_11D5_96AC_0006291EBE14_.wvu.Rows" localSheetId="4" hidden="1">#REF!</definedName>
    <definedName name="Z_ECECA9E9_429F_11D5_96AC_0006291EBE14_.wvu.Rows" localSheetId="2" hidden="1">#REF!</definedName>
    <definedName name="Z_ECECA9E9_429F_11D5_96AC_0006291EBE14_.wvu.Rows" localSheetId="10" hidden="1">#REF!</definedName>
    <definedName name="Z_ECECA9E9_429F_11D5_96AC_0006291EBE14_.wvu.Rows" localSheetId="8" hidden="1">#REF!</definedName>
    <definedName name="Z_ECECA9E9_429F_11D5_96AC_0006291EBE14_.wvu.Rows" localSheetId="7" hidden="1">#REF!</definedName>
    <definedName name="Z_ECECA9E9_429F_11D5_96AC_0006291EBE14_.wvu.Rows" localSheetId="9" hidden="1">#REF!</definedName>
    <definedName name="Z_ECECA9E9_429F_11D5_96AC_0006291EBE14_.wvu.Rows" localSheetId="12" hidden="1">#REF!</definedName>
    <definedName name="Z_ECECA9E9_429F_11D5_96AC_0006291EBE14_.wvu.Rows" localSheetId="11" hidden="1">#REF!</definedName>
    <definedName name="Z_ECECA9E9_429F_11D5_96AC_0006291EBE14_.wvu.Rows" localSheetId="0" hidden="1">#REF!</definedName>
    <definedName name="Z_ECECA9E9_429F_11D5_96AC_0006291EBE14_.wvu.Rows" hidden="1">#REF!</definedName>
    <definedName name="Z_ECECAA35_429F_11D5_96AC_0006291EBE14_.wvu.Cols" localSheetId="3" hidden="1">#REF!</definedName>
    <definedName name="Z_ECECAA35_429F_11D5_96AC_0006291EBE14_.wvu.Cols" localSheetId="4" hidden="1">#REF!</definedName>
    <definedName name="Z_ECECAA35_429F_11D5_96AC_0006291EBE14_.wvu.Cols" localSheetId="2" hidden="1">#REF!</definedName>
    <definedName name="Z_ECECAA35_429F_11D5_96AC_0006291EBE14_.wvu.Cols" localSheetId="10" hidden="1">#REF!</definedName>
    <definedName name="Z_ECECAA35_429F_11D5_96AC_0006291EBE14_.wvu.Cols" localSheetId="8" hidden="1">#REF!</definedName>
    <definedName name="Z_ECECAA35_429F_11D5_96AC_0006291EBE14_.wvu.Cols" localSheetId="7" hidden="1">#REF!</definedName>
    <definedName name="Z_ECECAA35_429F_11D5_96AC_0006291EBE14_.wvu.Cols" localSheetId="9" hidden="1">#REF!</definedName>
    <definedName name="Z_ECECAA35_429F_11D5_96AC_0006291EBE14_.wvu.Cols" localSheetId="12" hidden="1">#REF!</definedName>
    <definedName name="Z_ECECAA35_429F_11D5_96AC_0006291EBE14_.wvu.Cols" localSheetId="11" hidden="1">#REF!</definedName>
    <definedName name="Z_ECECAA35_429F_11D5_96AC_0006291EBE14_.wvu.Cols" localSheetId="0" hidden="1">#REF!</definedName>
    <definedName name="Z_ECECAA35_429F_11D5_96AC_0006291EBE14_.wvu.Cols" hidden="1">#REF!</definedName>
    <definedName name="Z_ECECAA35_429F_11D5_96AC_0006291EBE14_.wvu.PrintArea" localSheetId="3" hidden="1">#REF!</definedName>
    <definedName name="Z_ECECAA35_429F_11D5_96AC_0006291EBE14_.wvu.PrintArea" localSheetId="4" hidden="1">#REF!</definedName>
    <definedName name="Z_ECECAA35_429F_11D5_96AC_0006291EBE14_.wvu.PrintArea" localSheetId="2" hidden="1">#REF!</definedName>
    <definedName name="Z_ECECAA35_429F_11D5_96AC_0006291EBE14_.wvu.PrintArea" localSheetId="10" hidden="1">#REF!</definedName>
    <definedName name="Z_ECECAA35_429F_11D5_96AC_0006291EBE14_.wvu.PrintArea" localSheetId="8" hidden="1">#REF!</definedName>
    <definedName name="Z_ECECAA35_429F_11D5_96AC_0006291EBE14_.wvu.PrintArea" localSheetId="7" hidden="1">#REF!</definedName>
    <definedName name="Z_ECECAA35_429F_11D5_96AC_0006291EBE14_.wvu.PrintArea" localSheetId="9" hidden="1">#REF!</definedName>
    <definedName name="Z_ECECAA35_429F_11D5_96AC_0006291EBE14_.wvu.PrintArea" localSheetId="12" hidden="1">#REF!</definedName>
    <definedName name="Z_ECECAA35_429F_11D5_96AC_0006291EBE14_.wvu.PrintArea" localSheetId="11" hidden="1">#REF!</definedName>
    <definedName name="Z_ECECAA35_429F_11D5_96AC_0006291EBE14_.wvu.PrintArea" localSheetId="0" hidden="1">#REF!</definedName>
    <definedName name="Z_ECECAA35_429F_11D5_96AC_0006291EBE14_.wvu.PrintArea" hidden="1">#REF!</definedName>
    <definedName name="Z_ECECAA35_429F_11D5_96AC_0006291EBE14_.wvu.PrintTitles" localSheetId="3" hidden="1">#REF!</definedName>
    <definedName name="Z_ECECAA35_429F_11D5_96AC_0006291EBE14_.wvu.PrintTitles" localSheetId="4" hidden="1">#REF!</definedName>
    <definedName name="Z_ECECAA35_429F_11D5_96AC_0006291EBE14_.wvu.PrintTitles" localSheetId="2" hidden="1">#REF!</definedName>
    <definedName name="Z_ECECAA35_429F_11D5_96AC_0006291EBE14_.wvu.PrintTitles" localSheetId="10" hidden="1">#REF!</definedName>
    <definedName name="Z_ECECAA35_429F_11D5_96AC_0006291EBE14_.wvu.PrintTitles" localSheetId="8" hidden="1">#REF!</definedName>
    <definedName name="Z_ECECAA35_429F_11D5_96AC_0006291EBE14_.wvu.PrintTitles" localSheetId="7" hidden="1">#REF!</definedName>
    <definedName name="Z_ECECAA35_429F_11D5_96AC_0006291EBE14_.wvu.PrintTitles" localSheetId="9" hidden="1">#REF!</definedName>
    <definedName name="Z_ECECAA35_429F_11D5_96AC_0006291EBE14_.wvu.PrintTitles" localSheetId="12" hidden="1">#REF!</definedName>
    <definedName name="Z_ECECAA35_429F_11D5_96AC_0006291EBE14_.wvu.PrintTitles" localSheetId="11" hidden="1">#REF!</definedName>
    <definedName name="Z_ECECAA35_429F_11D5_96AC_0006291EBE14_.wvu.PrintTitles" localSheetId="0" hidden="1">#REF!</definedName>
    <definedName name="Z_ECECAA35_429F_11D5_96AC_0006291EBE14_.wvu.PrintTitles" hidden="1">#REF!</definedName>
    <definedName name="Z_ECECAA35_429F_11D5_96AC_0006291EBE14_.wvu.Rows" localSheetId="3" hidden="1">#REF!</definedName>
    <definedName name="Z_ECECAA35_429F_11D5_96AC_0006291EBE14_.wvu.Rows" localSheetId="4" hidden="1">#REF!</definedName>
    <definedName name="Z_ECECAA35_429F_11D5_96AC_0006291EBE14_.wvu.Rows" localSheetId="2" hidden="1">#REF!</definedName>
    <definedName name="Z_ECECAA35_429F_11D5_96AC_0006291EBE14_.wvu.Rows" localSheetId="10" hidden="1">#REF!</definedName>
    <definedName name="Z_ECECAA35_429F_11D5_96AC_0006291EBE14_.wvu.Rows" localSheetId="8" hidden="1">#REF!</definedName>
    <definedName name="Z_ECECAA35_429F_11D5_96AC_0006291EBE14_.wvu.Rows" localSheetId="7" hidden="1">#REF!</definedName>
    <definedName name="Z_ECECAA35_429F_11D5_96AC_0006291EBE14_.wvu.Rows" localSheetId="9" hidden="1">#REF!</definedName>
    <definedName name="Z_ECECAA35_429F_11D5_96AC_0006291EBE14_.wvu.Rows" localSheetId="12" hidden="1">#REF!</definedName>
    <definedName name="Z_ECECAA35_429F_11D5_96AC_0006291EBE14_.wvu.Rows" localSheetId="11" hidden="1">#REF!</definedName>
    <definedName name="Z_ECECAA35_429F_11D5_96AC_0006291EBE14_.wvu.Rows" localSheetId="0" hidden="1">#REF!</definedName>
    <definedName name="Z_ECECAA35_429F_11D5_96AC_0006291EBE14_.wvu.Rows" hidden="1">#REF!</definedName>
    <definedName name="zennenhi" localSheetId="3">#REF!</definedName>
    <definedName name="zennenhi" localSheetId="4">#REF!</definedName>
    <definedName name="zennenhi" localSheetId="2">#REF!</definedName>
    <definedName name="zennenhi" localSheetId="10">#REF!</definedName>
    <definedName name="zennenhi" localSheetId="8">#REF!</definedName>
    <definedName name="zennenhi" localSheetId="7">#REF!</definedName>
    <definedName name="zennenhi" localSheetId="9">#REF!</definedName>
    <definedName name="zennenhi" localSheetId="12">#REF!</definedName>
    <definedName name="zennenhi" localSheetId="11">#REF!</definedName>
    <definedName name="zennenhi">#REF!</definedName>
    <definedName name="あ" localSheetId="3" hidden="1">#REF!</definedName>
    <definedName name="あ" localSheetId="4" hidden="1">#REF!</definedName>
    <definedName name="あ" localSheetId="2" hidden="1">#REF!</definedName>
    <definedName name="あ" localSheetId="10" hidden="1">#REF!</definedName>
    <definedName name="あ" localSheetId="8" hidden="1">#REF!</definedName>
    <definedName name="あ" localSheetId="7" hidden="1">#REF!</definedName>
    <definedName name="あ" localSheetId="9" hidden="1">#REF!</definedName>
    <definedName name="あ" localSheetId="12" hidden="1">#REF!</definedName>
    <definedName name="あ" localSheetId="11" hidden="1">#REF!</definedName>
    <definedName name="あ" localSheetId="0" hidden="1">#REF!</definedName>
    <definedName name="あ" hidden="1">#REF!</definedName>
    <definedName name="ああ" localSheetId="3">#REF!</definedName>
    <definedName name="ああ" localSheetId="4">#REF!</definedName>
    <definedName name="ああ" localSheetId="2">#REF!</definedName>
    <definedName name="ああ" localSheetId="10">#REF!</definedName>
    <definedName name="ああ" localSheetId="8">#REF!</definedName>
    <definedName name="ああ" localSheetId="7">#REF!</definedName>
    <definedName name="ああ" localSheetId="9">#REF!</definedName>
    <definedName name="ああ" localSheetId="12">#REF!</definedName>
    <definedName name="ああ" localSheetId="11">#REF!</definedName>
    <definedName name="ああ">#REF!</definedName>
    <definedName name="ああaaa" localSheetId="3" hidden="1">{"'一覧'!$A$1:$M$28"}</definedName>
    <definedName name="ああaaa" localSheetId="5" hidden="1">{"'一覧'!$A$1:$M$28"}</definedName>
    <definedName name="ああaaa" localSheetId="4" hidden="1">{"'一覧'!$A$1:$M$28"}</definedName>
    <definedName name="ああaaa" localSheetId="2" hidden="1">{"'一覧'!$A$1:$M$28"}</definedName>
    <definedName name="ああaaa" localSheetId="10" hidden="1">{"'一覧'!$A$1:$M$28"}</definedName>
    <definedName name="ああaaa" localSheetId="8" hidden="1">{"'一覧'!$A$1:$M$28"}</definedName>
    <definedName name="ああaaa" localSheetId="7" hidden="1">{"'一覧'!$A$1:$M$28"}</definedName>
    <definedName name="ああaaa" localSheetId="9" hidden="1">{"'一覧'!$A$1:$M$28"}</definedName>
    <definedName name="ああaaa" localSheetId="12" hidden="1">{"'一覧'!$A$1:$M$28"}</definedName>
    <definedName name="ああaaa" localSheetId="11" hidden="1">{"'一覧'!$A$1:$M$28"}</definedName>
    <definedName name="ああaaa" localSheetId="0" hidden="1">{"'一覧'!$A$1:$M$28"}</definedName>
    <definedName name="ああaaa" hidden="1">{"'一覧'!$A$1:$M$28"}</definedName>
    <definedName name="ああaaa_1" localSheetId="3" hidden="1">{"'一覧'!$A$1:$M$28"}</definedName>
    <definedName name="ああaaa_1" localSheetId="5" hidden="1">{"'一覧'!$A$1:$M$28"}</definedName>
    <definedName name="ああaaa_1" localSheetId="4" hidden="1">{"'一覧'!$A$1:$M$28"}</definedName>
    <definedName name="ああaaa_1" localSheetId="2" hidden="1">{"'一覧'!$A$1:$M$28"}</definedName>
    <definedName name="ああaaa_1" localSheetId="10" hidden="1">{"'一覧'!$A$1:$M$28"}</definedName>
    <definedName name="ああaaa_1" localSheetId="8" hidden="1">{"'一覧'!$A$1:$M$28"}</definedName>
    <definedName name="ああaaa_1" localSheetId="7" hidden="1">{"'一覧'!$A$1:$M$28"}</definedName>
    <definedName name="ああaaa_1" localSheetId="9" hidden="1">{"'一覧'!$A$1:$M$28"}</definedName>
    <definedName name="ああaaa_1" localSheetId="12" hidden="1">{"'一覧'!$A$1:$M$28"}</definedName>
    <definedName name="ああaaa_1" localSheetId="11" hidden="1">{"'一覧'!$A$1:$M$28"}</definedName>
    <definedName name="ああaaa_1" localSheetId="0" hidden="1">{"'一覧'!$A$1:$M$28"}</definedName>
    <definedName name="ああaaa_1" hidden="1">{"'一覧'!$A$1:$M$28"}</definedName>
    <definedName name="あああ" hidden="1">#REF!</definedName>
    <definedName name="ああああ" localSheetId="3" hidden="1">{"'一覧'!$A$1:$M$28"}</definedName>
    <definedName name="ああああ" localSheetId="5" hidden="1">{"'一覧'!$A$1:$M$28"}</definedName>
    <definedName name="ああああ" localSheetId="4" hidden="1">{"'一覧'!$A$1:$M$28"}</definedName>
    <definedName name="ああああ" localSheetId="2" hidden="1">{"'一覧'!$A$1:$M$28"}</definedName>
    <definedName name="ああああ" localSheetId="10" hidden="1">{"'一覧'!$A$1:$M$28"}</definedName>
    <definedName name="ああああ" localSheetId="8" hidden="1">{"'一覧'!$A$1:$M$28"}</definedName>
    <definedName name="ああああ" localSheetId="7" hidden="1">{"'一覧'!$A$1:$M$28"}</definedName>
    <definedName name="ああああ" localSheetId="9" hidden="1">{"'一覧'!$A$1:$M$28"}</definedName>
    <definedName name="ああああ" localSheetId="12" hidden="1">{"'一覧'!$A$1:$M$28"}</definedName>
    <definedName name="ああああ" localSheetId="11" hidden="1">{"'一覧'!$A$1:$M$28"}</definedName>
    <definedName name="ああああ" localSheetId="0" hidden="1">{"'一覧'!$A$1:$M$28"}</definedName>
    <definedName name="ああああ" hidden="1">{"'一覧'!$A$1:$M$28"}</definedName>
    <definedName name="ああああ_1" localSheetId="3" hidden="1">{"'一覧'!$A$1:$M$28"}</definedName>
    <definedName name="ああああ_1" localSheetId="5" hidden="1">{"'一覧'!$A$1:$M$28"}</definedName>
    <definedName name="ああああ_1" localSheetId="4" hidden="1">{"'一覧'!$A$1:$M$28"}</definedName>
    <definedName name="ああああ_1" localSheetId="2" hidden="1">{"'一覧'!$A$1:$M$28"}</definedName>
    <definedName name="ああああ_1" localSheetId="10" hidden="1">{"'一覧'!$A$1:$M$28"}</definedName>
    <definedName name="ああああ_1" localSheetId="8" hidden="1">{"'一覧'!$A$1:$M$28"}</definedName>
    <definedName name="ああああ_1" localSheetId="7" hidden="1">{"'一覧'!$A$1:$M$28"}</definedName>
    <definedName name="ああああ_1" localSheetId="9" hidden="1">{"'一覧'!$A$1:$M$28"}</definedName>
    <definedName name="ああああ_1" localSheetId="12" hidden="1">{"'一覧'!$A$1:$M$28"}</definedName>
    <definedName name="ああああ_1" localSheetId="11" hidden="1">{"'一覧'!$A$1:$M$28"}</definedName>
    <definedName name="ああああ_1" localSheetId="0" hidden="1">{"'一覧'!$A$1:$M$28"}</definedName>
    <definedName name="ああああ_1" hidden="1">{"'一覧'!$A$1:$M$28"}</definedName>
    <definedName name="あああああ" localSheetId="3" hidden="1">{"'一覧'!$A$1:$M$28"}</definedName>
    <definedName name="あああああ" localSheetId="5" hidden="1">{"'一覧'!$A$1:$M$28"}</definedName>
    <definedName name="あああああ" localSheetId="4" hidden="1">{"'一覧'!$A$1:$M$28"}</definedName>
    <definedName name="あああああ" localSheetId="2" hidden="1">{"'一覧'!$A$1:$M$28"}</definedName>
    <definedName name="あああああ" localSheetId="10" hidden="1">{"'一覧'!$A$1:$M$28"}</definedName>
    <definedName name="あああああ" localSheetId="8" hidden="1">{"'一覧'!$A$1:$M$28"}</definedName>
    <definedName name="あああああ" localSheetId="7" hidden="1">{"'一覧'!$A$1:$M$28"}</definedName>
    <definedName name="あああああ" localSheetId="9" hidden="1">{"'一覧'!$A$1:$M$28"}</definedName>
    <definedName name="あああああ" localSheetId="12" hidden="1">{"'一覧'!$A$1:$M$28"}</definedName>
    <definedName name="あああああ" localSheetId="11" hidden="1">{"'一覧'!$A$1:$M$28"}</definedName>
    <definedName name="あああああ" localSheetId="0" hidden="1">{"'一覧'!$A$1:$M$28"}</definedName>
    <definedName name="あああああ" hidden="1">{"'一覧'!$A$1:$M$28"}</definedName>
    <definedName name="あああああ_1" localSheetId="3" hidden="1">{"'一覧'!$A$1:$M$28"}</definedName>
    <definedName name="あああああ_1" localSheetId="5" hidden="1">{"'一覧'!$A$1:$M$28"}</definedName>
    <definedName name="あああああ_1" localSheetId="4" hidden="1">{"'一覧'!$A$1:$M$28"}</definedName>
    <definedName name="あああああ_1" localSheetId="2" hidden="1">{"'一覧'!$A$1:$M$28"}</definedName>
    <definedName name="あああああ_1" localSheetId="10" hidden="1">{"'一覧'!$A$1:$M$28"}</definedName>
    <definedName name="あああああ_1" localSheetId="8" hidden="1">{"'一覧'!$A$1:$M$28"}</definedName>
    <definedName name="あああああ_1" localSheetId="7" hidden="1">{"'一覧'!$A$1:$M$28"}</definedName>
    <definedName name="あああああ_1" localSheetId="9" hidden="1">{"'一覧'!$A$1:$M$28"}</definedName>
    <definedName name="あああああ_1" localSheetId="12" hidden="1">{"'一覧'!$A$1:$M$28"}</definedName>
    <definedName name="あああああ_1" localSheetId="11" hidden="1">{"'一覧'!$A$1:$M$28"}</definedName>
    <definedName name="あああああ_1" localSheetId="0" hidden="1">{"'一覧'!$A$1:$M$28"}</definedName>
    <definedName name="あああああ_1" hidden="1">{"'一覧'!$A$1:$M$28"}</definedName>
    <definedName name="ああああああ" hidden="1">#REF!</definedName>
    <definedName name="い" localSheetId="3" hidden="1">#REF!</definedName>
    <definedName name="い" localSheetId="4" hidden="1">#REF!</definedName>
    <definedName name="い" localSheetId="2" hidden="1">#REF!</definedName>
    <definedName name="い" localSheetId="10" hidden="1">#REF!</definedName>
    <definedName name="い" localSheetId="8" hidden="1">#REF!</definedName>
    <definedName name="い" localSheetId="7" hidden="1">#REF!</definedName>
    <definedName name="い" localSheetId="9" hidden="1">#REF!</definedName>
    <definedName name="い" localSheetId="12" hidden="1">#REF!</definedName>
    <definedName name="い" localSheetId="11" hidden="1">#REF!</definedName>
    <definedName name="い" localSheetId="0" hidden="1">#REF!</definedName>
    <definedName name="い" hidden="1">#REF!</definedName>
    <definedName name="いい" localSheetId="3">#REF!</definedName>
    <definedName name="いい" localSheetId="4">#REF!</definedName>
    <definedName name="いい" localSheetId="2">#REF!</definedName>
    <definedName name="いい" localSheetId="10">#REF!</definedName>
    <definedName name="いい" localSheetId="8">#REF!</definedName>
    <definedName name="いい" localSheetId="7">#REF!</definedName>
    <definedName name="いい" localSheetId="9">#REF!</definedName>
    <definedName name="いい" localSheetId="12">#REF!</definedName>
    <definedName name="いい" localSheetId="11">#REF!</definedName>
    <definedName name="いい">#REF!</definedName>
    <definedName name="いいいい" localSheetId="3" hidden="1">{"'一覧'!$A$1:$M$28"}</definedName>
    <definedName name="いいいい" localSheetId="5" hidden="1">{"'一覧'!$A$1:$M$28"}</definedName>
    <definedName name="いいいい" localSheetId="4" hidden="1">{"'一覧'!$A$1:$M$28"}</definedName>
    <definedName name="いいいい" localSheetId="2" hidden="1">{"'一覧'!$A$1:$M$28"}</definedName>
    <definedName name="いいいい" localSheetId="10" hidden="1">{"'一覧'!$A$1:$M$28"}</definedName>
    <definedName name="いいいい" localSheetId="8" hidden="1">{"'一覧'!$A$1:$M$28"}</definedName>
    <definedName name="いいいい" localSheetId="7" hidden="1">{"'一覧'!$A$1:$M$28"}</definedName>
    <definedName name="いいいい" localSheetId="9" hidden="1">{"'一覧'!$A$1:$M$28"}</definedName>
    <definedName name="いいいい" localSheetId="12" hidden="1">{"'一覧'!$A$1:$M$28"}</definedName>
    <definedName name="いいいい" localSheetId="11" hidden="1">{"'一覧'!$A$1:$M$28"}</definedName>
    <definedName name="いいいい" localSheetId="0" hidden="1">{"'一覧'!$A$1:$M$28"}</definedName>
    <definedName name="いいいい" hidden="1">{"'一覧'!$A$1:$M$28"}</definedName>
    <definedName name="いいいい_1" localSheetId="3" hidden="1">{"'一覧'!$A$1:$M$28"}</definedName>
    <definedName name="いいいい_1" localSheetId="5" hidden="1">{"'一覧'!$A$1:$M$28"}</definedName>
    <definedName name="いいいい_1" localSheetId="4" hidden="1">{"'一覧'!$A$1:$M$28"}</definedName>
    <definedName name="いいいい_1" localSheetId="2" hidden="1">{"'一覧'!$A$1:$M$28"}</definedName>
    <definedName name="いいいい_1" localSheetId="10" hidden="1">{"'一覧'!$A$1:$M$28"}</definedName>
    <definedName name="いいいい_1" localSheetId="8" hidden="1">{"'一覧'!$A$1:$M$28"}</definedName>
    <definedName name="いいいい_1" localSheetId="7" hidden="1">{"'一覧'!$A$1:$M$28"}</definedName>
    <definedName name="いいいい_1" localSheetId="9" hidden="1">{"'一覧'!$A$1:$M$28"}</definedName>
    <definedName name="いいいい_1" localSheetId="12" hidden="1">{"'一覧'!$A$1:$M$28"}</definedName>
    <definedName name="いいいい_1" localSheetId="11" hidden="1">{"'一覧'!$A$1:$M$28"}</definedName>
    <definedName name="いいいい_1" localSheetId="0" hidden="1">{"'一覧'!$A$1:$M$28"}</definedName>
    <definedName name="いいいい_1" hidden="1">{"'一覧'!$A$1:$M$28"}</definedName>
    <definedName name="えええ" localSheetId="3" hidden="1">{"'一覧'!$A$1:$M$28"}</definedName>
    <definedName name="えええ" localSheetId="5" hidden="1">{"'一覧'!$A$1:$M$28"}</definedName>
    <definedName name="えええ" localSheetId="4" hidden="1">{"'一覧'!$A$1:$M$28"}</definedName>
    <definedName name="えええ" localSheetId="2" hidden="1">{"'一覧'!$A$1:$M$28"}</definedName>
    <definedName name="えええ" localSheetId="10" hidden="1">{"'一覧'!$A$1:$M$28"}</definedName>
    <definedName name="えええ" localSheetId="8" hidden="1">{"'一覧'!$A$1:$M$28"}</definedName>
    <definedName name="えええ" localSheetId="7" hidden="1">{"'一覧'!$A$1:$M$28"}</definedName>
    <definedName name="えええ" localSheetId="9" hidden="1">{"'一覧'!$A$1:$M$28"}</definedName>
    <definedName name="えええ" localSheetId="12" hidden="1">{"'一覧'!$A$1:$M$28"}</definedName>
    <definedName name="えええ" localSheetId="11" hidden="1">{"'一覧'!$A$1:$M$28"}</definedName>
    <definedName name="えええ" localSheetId="0" hidden="1">{"'一覧'!$A$1:$M$28"}</definedName>
    <definedName name="えええ" hidden="1">{"'一覧'!$A$1:$M$28"}</definedName>
    <definedName name="えええ_1" localSheetId="3" hidden="1">{"'一覧'!$A$1:$M$28"}</definedName>
    <definedName name="えええ_1" localSheetId="5" hidden="1">{"'一覧'!$A$1:$M$28"}</definedName>
    <definedName name="えええ_1" localSheetId="4" hidden="1">{"'一覧'!$A$1:$M$28"}</definedName>
    <definedName name="えええ_1" localSheetId="2" hidden="1">{"'一覧'!$A$1:$M$28"}</definedName>
    <definedName name="えええ_1" localSheetId="10" hidden="1">{"'一覧'!$A$1:$M$28"}</definedName>
    <definedName name="えええ_1" localSheetId="8" hidden="1">{"'一覧'!$A$1:$M$28"}</definedName>
    <definedName name="えええ_1" localSheetId="7" hidden="1">{"'一覧'!$A$1:$M$28"}</definedName>
    <definedName name="えええ_1" localSheetId="9" hidden="1">{"'一覧'!$A$1:$M$28"}</definedName>
    <definedName name="えええ_1" localSheetId="12" hidden="1">{"'一覧'!$A$1:$M$28"}</definedName>
    <definedName name="えええ_1" localSheetId="11" hidden="1">{"'一覧'!$A$1:$M$28"}</definedName>
    <definedName name="えええ_1" localSheetId="0" hidden="1">{"'一覧'!$A$1:$M$28"}</definedName>
    <definedName name="えええ_1" hidden="1">{"'一覧'!$A$1:$M$28"}</definedName>
    <definedName name="ｻﾌﾞｼｽﾃﾑ">#REF!</definedName>
    <definedName name="サブシステム名" localSheetId="3">#REF!</definedName>
    <definedName name="サブシステム名" localSheetId="4">#REF!</definedName>
    <definedName name="サブシステム名" localSheetId="2">#REF!</definedName>
    <definedName name="サブシステム名" localSheetId="10">#REF!</definedName>
    <definedName name="サブシステム名" localSheetId="8">#REF!</definedName>
    <definedName name="サブシステム名" localSheetId="7">#REF!</definedName>
    <definedName name="サブシステム名" localSheetId="9">#REF!</definedName>
    <definedName name="サブシステム名" localSheetId="12">#REF!</definedName>
    <definedName name="サブシステム名" localSheetId="11">#REF!</definedName>
    <definedName name="サブシステム名">#REF!</definedName>
    <definedName name="シート選択見だし">"ラベル 5"</definedName>
    <definedName name="すすす" localSheetId="3" hidden="1">{"'旅費精算ＤＴ２'!$A$1:$N$40"}</definedName>
    <definedName name="すすす" localSheetId="5" hidden="1">{"'旅費精算ＤＴ２'!$A$1:$N$40"}</definedName>
    <definedName name="すすす" localSheetId="4" hidden="1">{"'旅費精算ＤＴ２'!$A$1:$N$40"}</definedName>
    <definedName name="すすす" localSheetId="2" hidden="1">{"'旅費精算ＤＴ２'!$A$1:$N$40"}</definedName>
    <definedName name="すすす" localSheetId="10" hidden="1">{"'旅費精算ＤＴ２'!$A$1:$N$40"}</definedName>
    <definedName name="すすす" localSheetId="8" hidden="1">{"'旅費精算ＤＴ２'!$A$1:$N$40"}</definedName>
    <definedName name="すすす" localSheetId="7" hidden="1">{"'旅費精算ＤＴ２'!$A$1:$N$40"}</definedName>
    <definedName name="すすす" localSheetId="9" hidden="1">{"'旅費精算ＤＴ２'!$A$1:$N$40"}</definedName>
    <definedName name="すすす" localSheetId="12" hidden="1">{"'旅費精算ＤＴ２'!$A$1:$N$40"}</definedName>
    <definedName name="すすす" localSheetId="11" hidden="1">{"'旅費精算ＤＴ２'!$A$1:$N$40"}</definedName>
    <definedName name="すすす" localSheetId="0" hidden="1">{"'旅費精算ＤＴ２'!$A$1:$N$40"}</definedName>
    <definedName name="すすす" hidden="1">{"'旅費精算ＤＴ２'!$A$1:$N$40"}</definedName>
    <definedName name="すすす_1" localSheetId="3" hidden="1">{"'旅費精算ＤＴ２'!$A$1:$N$40"}</definedName>
    <definedName name="すすす_1" localSheetId="5" hidden="1">{"'旅費精算ＤＴ２'!$A$1:$N$40"}</definedName>
    <definedName name="すすす_1" localSheetId="4" hidden="1">{"'旅費精算ＤＴ２'!$A$1:$N$40"}</definedName>
    <definedName name="すすす_1" localSheetId="2" hidden="1">{"'旅費精算ＤＴ２'!$A$1:$N$40"}</definedName>
    <definedName name="すすす_1" localSheetId="10" hidden="1">{"'旅費精算ＤＴ２'!$A$1:$N$40"}</definedName>
    <definedName name="すすす_1" localSheetId="8" hidden="1">{"'旅費精算ＤＴ２'!$A$1:$N$40"}</definedName>
    <definedName name="すすす_1" localSheetId="7" hidden="1">{"'旅費精算ＤＴ２'!$A$1:$N$40"}</definedName>
    <definedName name="すすす_1" localSheetId="9" hidden="1">{"'旅費精算ＤＴ２'!$A$1:$N$40"}</definedName>
    <definedName name="すすす_1" localSheetId="12" hidden="1">{"'旅費精算ＤＴ２'!$A$1:$N$40"}</definedName>
    <definedName name="すすす_1" localSheetId="11" hidden="1">{"'旅費精算ＤＴ２'!$A$1:$N$40"}</definedName>
    <definedName name="すすす_1" localSheetId="0" hidden="1">{"'旅費精算ＤＴ２'!$A$1:$N$40"}</definedName>
    <definedName name="すすす_1" hidden="1">{"'旅費精算ＤＴ２'!$A$1:$N$40"}</definedName>
    <definedName name="ち" localSheetId="3" hidden="1">{"'旅費精算ＤＴ２'!$A$1:$N$40"}</definedName>
    <definedName name="ち" localSheetId="5" hidden="1">{"'旅費精算ＤＴ２'!$A$1:$N$40"}</definedName>
    <definedName name="ち" localSheetId="4" hidden="1">{"'旅費精算ＤＴ２'!$A$1:$N$40"}</definedName>
    <definedName name="ち" localSheetId="2" hidden="1">{"'旅費精算ＤＴ２'!$A$1:$N$40"}</definedName>
    <definedName name="ち" localSheetId="10" hidden="1">{"'旅費精算ＤＴ２'!$A$1:$N$40"}</definedName>
    <definedName name="ち" localSheetId="8" hidden="1">{"'旅費精算ＤＴ２'!$A$1:$N$40"}</definedName>
    <definedName name="ち" localSheetId="7" hidden="1">{"'旅費精算ＤＴ２'!$A$1:$N$40"}</definedName>
    <definedName name="ち" localSheetId="9" hidden="1">{"'旅費精算ＤＴ２'!$A$1:$N$40"}</definedName>
    <definedName name="ち" localSheetId="12" hidden="1">{"'旅費精算ＤＴ２'!$A$1:$N$40"}</definedName>
    <definedName name="ち" localSheetId="11" hidden="1">{"'旅費精算ＤＴ２'!$A$1:$N$40"}</definedName>
    <definedName name="ち" localSheetId="0" hidden="1">{"'旅費精算ＤＴ２'!$A$1:$N$40"}</definedName>
    <definedName name="ち" hidden="1">{"'旅費精算ＤＴ２'!$A$1:$N$40"}</definedName>
    <definedName name="ち_1" localSheetId="3" hidden="1">{"'旅費精算ＤＴ２'!$A$1:$N$40"}</definedName>
    <definedName name="ち_1" localSheetId="5" hidden="1">{"'旅費精算ＤＴ２'!$A$1:$N$40"}</definedName>
    <definedName name="ち_1" localSheetId="4" hidden="1">{"'旅費精算ＤＴ２'!$A$1:$N$40"}</definedName>
    <definedName name="ち_1" localSheetId="2" hidden="1">{"'旅費精算ＤＴ２'!$A$1:$N$40"}</definedName>
    <definedName name="ち_1" localSheetId="10" hidden="1">{"'旅費精算ＤＴ２'!$A$1:$N$40"}</definedName>
    <definedName name="ち_1" localSheetId="8" hidden="1">{"'旅費精算ＤＴ２'!$A$1:$N$40"}</definedName>
    <definedName name="ち_1" localSheetId="7" hidden="1">{"'旅費精算ＤＴ２'!$A$1:$N$40"}</definedName>
    <definedName name="ち_1" localSheetId="9" hidden="1">{"'旅費精算ＤＴ２'!$A$1:$N$40"}</definedName>
    <definedName name="ち_1" localSheetId="12" hidden="1">{"'旅費精算ＤＴ２'!$A$1:$N$40"}</definedName>
    <definedName name="ち_1" localSheetId="11" hidden="1">{"'旅費精算ＤＴ２'!$A$1:$N$40"}</definedName>
    <definedName name="ち_1" localSheetId="0" hidden="1">{"'旅費精算ＤＴ２'!$A$1:$N$40"}</definedName>
    <definedName name="ち_1" hidden="1">{"'旅費精算ＤＴ２'!$A$1:$N$40"}</definedName>
    <definedName name="ちち" localSheetId="3" hidden="1">{"'旅費精算ＤＴ２'!$A$1:$N$40"}</definedName>
    <definedName name="ちち" localSheetId="5" hidden="1">{"'旅費精算ＤＴ２'!$A$1:$N$40"}</definedName>
    <definedName name="ちち" localSheetId="4" hidden="1">{"'旅費精算ＤＴ２'!$A$1:$N$40"}</definedName>
    <definedName name="ちち" localSheetId="2" hidden="1">{"'旅費精算ＤＴ２'!$A$1:$N$40"}</definedName>
    <definedName name="ちち" localSheetId="10" hidden="1">{"'旅費精算ＤＴ２'!$A$1:$N$40"}</definedName>
    <definedName name="ちち" localSheetId="8" hidden="1">{"'旅費精算ＤＴ２'!$A$1:$N$40"}</definedName>
    <definedName name="ちち" localSheetId="7" hidden="1">{"'旅費精算ＤＴ２'!$A$1:$N$40"}</definedName>
    <definedName name="ちち" localSheetId="9" hidden="1">{"'旅費精算ＤＴ２'!$A$1:$N$40"}</definedName>
    <definedName name="ちち" localSheetId="12" hidden="1">{"'旅費精算ＤＴ２'!$A$1:$N$40"}</definedName>
    <definedName name="ちち" localSheetId="11" hidden="1">{"'旅費精算ＤＴ２'!$A$1:$N$40"}</definedName>
    <definedName name="ちち" localSheetId="0" hidden="1">{"'旅費精算ＤＴ２'!$A$1:$N$40"}</definedName>
    <definedName name="ちち" hidden="1">{"'旅費精算ＤＴ２'!$A$1:$N$40"}</definedName>
    <definedName name="ちち_1" localSheetId="3" hidden="1">{"'旅費精算ＤＴ２'!$A$1:$N$40"}</definedName>
    <definedName name="ちち_1" localSheetId="5" hidden="1">{"'旅費精算ＤＴ２'!$A$1:$N$40"}</definedName>
    <definedName name="ちち_1" localSheetId="4" hidden="1">{"'旅費精算ＤＴ２'!$A$1:$N$40"}</definedName>
    <definedName name="ちち_1" localSheetId="2" hidden="1">{"'旅費精算ＤＴ２'!$A$1:$N$40"}</definedName>
    <definedName name="ちち_1" localSheetId="10" hidden="1">{"'旅費精算ＤＴ２'!$A$1:$N$40"}</definedName>
    <definedName name="ちち_1" localSheetId="8" hidden="1">{"'旅費精算ＤＴ２'!$A$1:$N$40"}</definedName>
    <definedName name="ちち_1" localSheetId="7" hidden="1">{"'旅費精算ＤＴ２'!$A$1:$N$40"}</definedName>
    <definedName name="ちち_1" localSheetId="9" hidden="1">{"'旅費精算ＤＴ２'!$A$1:$N$40"}</definedName>
    <definedName name="ちち_1" localSheetId="12" hidden="1">{"'旅費精算ＤＴ２'!$A$1:$N$40"}</definedName>
    <definedName name="ちち_1" localSheetId="11" hidden="1">{"'旅費精算ＤＴ２'!$A$1:$N$40"}</definedName>
    <definedName name="ちち_1" localSheetId="0" hidden="1">{"'旅費精算ＤＴ２'!$A$1:$N$40"}</definedName>
    <definedName name="ちち_1" hidden="1">{"'旅費精算ＤＴ２'!$A$1:$N$40"}</definedName>
    <definedName name="ちちち" localSheetId="3" hidden="1">{"'旅費精算ＤＴ２'!$A$1:$N$40"}</definedName>
    <definedName name="ちちち" localSheetId="5" hidden="1">{"'旅費精算ＤＴ２'!$A$1:$N$40"}</definedName>
    <definedName name="ちちち" localSheetId="4" hidden="1">{"'旅費精算ＤＴ２'!$A$1:$N$40"}</definedName>
    <definedName name="ちちち" localSheetId="2" hidden="1">{"'旅費精算ＤＴ２'!$A$1:$N$40"}</definedName>
    <definedName name="ちちち" localSheetId="10" hidden="1">{"'旅費精算ＤＴ２'!$A$1:$N$40"}</definedName>
    <definedName name="ちちち" localSheetId="8" hidden="1">{"'旅費精算ＤＴ２'!$A$1:$N$40"}</definedName>
    <definedName name="ちちち" localSheetId="7" hidden="1">{"'旅費精算ＤＴ２'!$A$1:$N$40"}</definedName>
    <definedName name="ちちち" localSheetId="9" hidden="1">{"'旅費精算ＤＴ２'!$A$1:$N$40"}</definedName>
    <definedName name="ちちち" localSheetId="12" hidden="1">{"'旅費精算ＤＴ２'!$A$1:$N$40"}</definedName>
    <definedName name="ちちち" localSheetId="11" hidden="1">{"'旅費精算ＤＴ２'!$A$1:$N$40"}</definedName>
    <definedName name="ちちち" localSheetId="0" hidden="1">{"'旅費精算ＤＴ２'!$A$1:$N$40"}</definedName>
    <definedName name="ちちち" hidden="1">{"'旅費精算ＤＴ２'!$A$1:$N$40"}</definedName>
    <definedName name="ちちち_1" localSheetId="3" hidden="1">{"'旅費精算ＤＴ２'!$A$1:$N$40"}</definedName>
    <definedName name="ちちち_1" localSheetId="5" hidden="1">{"'旅費精算ＤＴ２'!$A$1:$N$40"}</definedName>
    <definedName name="ちちち_1" localSheetId="4" hidden="1">{"'旅費精算ＤＴ２'!$A$1:$N$40"}</definedName>
    <definedName name="ちちち_1" localSheetId="2" hidden="1">{"'旅費精算ＤＴ２'!$A$1:$N$40"}</definedName>
    <definedName name="ちちち_1" localSheetId="10" hidden="1">{"'旅費精算ＤＴ２'!$A$1:$N$40"}</definedName>
    <definedName name="ちちち_1" localSheetId="8" hidden="1">{"'旅費精算ＤＴ２'!$A$1:$N$40"}</definedName>
    <definedName name="ちちち_1" localSheetId="7" hidden="1">{"'旅費精算ＤＴ２'!$A$1:$N$40"}</definedName>
    <definedName name="ちちち_1" localSheetId="9" hidden="1">{"'旅費精算ＤＴ２'!$A$1:$N$40"}</definedName>
    <definedName name="ちちち_1" localSheetId="12" hidden="1">{"'旅費精算ＤＴ２'!$A$1:$N$40"}</definedName>
    <definedName name="ちちち_1" localSheetId="11" hidden="1">{"'旅費精算ＤＴ２'!$A$1:$N$40"}</definedName>
    <definedName name="ちちち_1" localSheetId="0" hidden="1">{"'旅費精算ＤＴ２'!$A$1:$N$40"}</definedName>
    <definedName name="ちちち_1" hidden="1">{"'旅費精算ＤＴ２'!$A$1:$N$40"}</definedName>
    <definedName name="っっっっｇ" localSheetId="3" hidden="1">{"'一覧'!$A$1:$M$28"}</definedName>
    <definedName name="っっっっｇ" localSheetId="5" hidden="1">{"'一覧'!$A$1:$M$28"}</definedName>
    <definedName name="っっっっｇ" localSheetId="4" hidden="1">{"'一覧'!$A$1:$M$28"}</definedName>
    <definedName name="っっっっｇ" localSheetId="2" hidden="1">{"'一覧'!$A$1:$M$28"}</definedName>
    <definedName name="っっっっｇ" localSheetId="10" hidden="1">{"'一覧'!$A$1:$M$28"}</definedName>
    <definedName name="っっっっｇ" localSheetId="8" hidden="1">{"'一覧'!$A$1:$M$28"}</definedName>
    <definedName name="っっっっｇ" localSheetId="7" hidden="1">{"'一覧'!$A$1:$M$28"}</definedName>
    <definedName name="っっっっｇ" localSheetId="9" hidden="1">{"'一覧'!$A$1:$M$28"}</definedName>
    <definedName name="っっっっｇ" localSheetId="12" hidden="1">{"'一覧'!$A$1:$M$28"}</definedName>
    <definedName name="っっっっｇ" localSheetId="11" hidden="1">{"'一覧'!$A$1:$M$28"}</definedName>
    <definedName name="っっっっｇ" localSheetId="0" hidden="1">{"'一覧'!$A$1:$M$28"}</definedName>
    <definedName name="っっっっｇ" hidden="1">{"'一覧'!$A$1:$M$28"}</definedName>
    <definedName name="っっっっｇ_1" localSheetId="3" hidden="1">{"'一覧'!$A$1:$M$28"}</definedName>
    <definedName name="っっっっｇ_1" localSheetId="5" hidden="1">{"'一覧'!$A$1:$M$28"}</definedName>
    <definedName name="っっっっｇ_1" localSheetId="4" hidden="1">{"'一覧'!$A$1:$M$28"}</definedName>
    <definedName name="っっっっｇ_1" localSheetId="2" hidden="1">{"'一覧'!$A$1:$M$28"}</definedName>
    <definedName name="っっっっｇ_1" localSheetId="10" hidden="1">{"'一覧'!$A$1:$M$28"}</definedName>
    <definedName name="っっっっｇ_1" localSheetId="8" hidden="1">{"'一覧'!$A$1:$M$28"}</definedName>
    <definedName name="っっっっｇ_1" localSheetId="7" hidden="1">{"'一覧'!$A$1:$M$28"}</definedName>
    <definedName name="っっっっｇ_1" localSheetId="9" hidden="1">{"'一覧'!$A$1:$M$28"}</definedName>
    <definedName name="っっっっｇ_1" localSheetId="12" hidden="1">{"'一覧'!$A$1:$M$28"}</definedName>
    <definedName name="っっっっｇ_1" localSheetId="11" hidden="1">{"'一覧'!$A$1:$M$28"}</definedName>
    <definedName name="っっっっｇ_1" localSheetId="0" hidden="1">{"'一覧'!$A$1:$M$28"}</definedName>
    <definedName name="っっっっｇ_1" hidden="1">{"'一覧'!$A$1:$M$28"}</definedName>
    <definedName name="な" localSheetId="3" hidden="1">{"'旅費精算ＤＴ２'!$A$1:$N$40"}</definedName>
    <definedName name="な" localSheetId="5" hidden="1">{"'旅費精算ＤＴ２'!$A$1:$N$40"}</definedName>
    <definedName name="な" localSheetId="4" hidden="1">{"'旅費精算ＤＴ２'!$A$1:$N$40"}</definedName>
    <definedName name="な" localSheetId="2" hidden="1">{"'旅費精算ＤＴ２'!$A$1:$N$40"}</definedName>
    <definedName name="な" localSheetId="10" hidden="1">{"'旅費精算ＤＴ２'!$A$1:$N$40"}</definedName>
    <definedName name="な" localSheetId="8" hidden="1">{"'旅費精算ＤＴ２'!$A$1:$N$40"}</definedName>
    <definedName name="な" localSheetId="7" hidden="1">{"'旅費精算ＤＴ２'!$A$1:$N$40"}</definedName>
    <definedName name="な" localSheetId="9" hidden="1">{"'旅費精算ＤＴ２'!$A$1:$N$40"}</definedName>
    <definedName name="な" localSheetId="12" hidden="1">{"'旅費精算ＤＴ２'!$A$1:$N$40"}</definedName>
    <definedName name="な" localSheetId="11" hidden="1">{"'旅費精算ＤＴ２'!$A$1:$N$40"}</definedName>
    <definedName name="な" localSheetId="0" hidden="1">{"'旅費精算ＤＴ２'!$A$1:$N$40"}</definedName>
    <definedName name="な" hidden="1">{"'旅費精算ＤＴ２'!$A$1:$N$40"}</definedName>
    <definedName name="な_1" localSheetId="3" hidden="1">{"'旅費精算ＤＴ２'!$A$1:$N$40"}</definedName>
    <definedName name="な_1" localSheetId="5" hidden="1">{"'旅費精算ＤＴ２'!$A$1:$N$40"}</definedName>
    <definedName name="な_1" localSheetId="4" hidden="1">{"'旅費精算ＤＴ２'!$A$1:$N$40"}</definedName>
    <definedName name="な_1" localSheetId="2" hidden="1">{"'旅費精算ＤＴ２'!$A$1:$N$40"}</definedName>
    <definedName name="な_1" localSheetId="10" hidden="1">{"'旅費精算ＤＴ２'!$A$1:$N$40"}</definedName>
    <definedName name="な_1" localSheetId="8" hidden="1">{"'旅費精算ＤＴ２'!$A$1:$N$40"}</definedName>
    <definedName name="な_1" localSheetId="7" hidden="1">{"'旅費精算ＤＴ２'!$A$1:$N$40"}</definedName>
    <definedName name="な_1" localSheetId="9" hidden="1">{"'旅費精算ＤＴ２'!$A$1:$N$40"}</definedName>
    <definedName name="な_1" localSheetId="12" hidden="1">{"'旅費精算ＤＴ２'!$A$1:$N$40"}</definedName>
    <definedName name="な_1" localSheetId="11" hidden="1">{"'旅費精算ＤＴ２'!$A$1:$N$40"}</definedName>
    <definedName name="な_1" localSheetId="0" hidden="1">{"'旅費精算ＤＴ２'!$A$1:$N$40"}</definedName>
    <definedName name="な_1" hidden="1">{"'旅費精算ＤＴ２'!$A$1:$N$40"}</definedName>
    <definedName name="プロジェクトコスト計画" localSheetId="3" hidden="1">{"'一覧'!$A$1:$M$28"}</definedName>
    <definedName name="プロジェクトコスト計画" localSheetId="5" hidden="1">{"'一覧'!$A$1:$M$28"}</definedName>
    <definedName name="プロジェクトコスト計画" localSheetId="4" hidden="1">{"'一覧'!$A$1:$M$28"}</definedName>
    <definedName name="プロジェクトコスト計画" localSheetId="2" hidden="1">{"'一覧'!$A$1:$M$28"}</definedName>
    <definedName name="プロジェクトコスト計画" localSheetId="10" hidden="1">{"'一覧'!$A$1:$M$28"}</definedName>
    <definedName name="プロジェクトコスト計画" localSheetId="8" hidden="1">{"'一覧'!$A$1:$M$28"}</definedName>
    <definedName name="プロジェクトコスト計画" localSheetId="7" hidden="1">{"'一覧'!$A$1:$M$28"}</definedName>
    <definedName name="プロジェクトコスト計画" localSheetId="9" hidden="1">{"'一覧'!$A$1:$M$28"}</definedName>
    <definedName name="プロジェクトコスト計画" localSheetId="12" hidden="1">{"'一覧'!$A$1:$M$28"}</definedName>
    <definedName name="プロジェクトコスト計画" localSheetId="11" hidden="1">{"'一覧'!$A$1:$M$28"}</definedName>
    <definedName name="プロジェクトコスト計画" localSheetId="0" hidden="1">{"'一覧'!$A$1:$M$28"}</definedName>
    <definedName name="プロジェクトコスト計画" hidden="1">{"'一覧'!$A$1:$M$28"}</definedName>
    <definedName name="プロジェクトコスト計画_1" localSheetId="3" hidden="1">{"'一覧'!$A$1:$M$28"}</definedName>
    <definedName name="プロジェクトコスト計画_1" localSheetId="5" hidden="1">{"'一覧'!$A$1:$M$28"}</definedName>
    <definedName name="プロジェクトコスト計画_1" localSheetId="4" hidden="1">{"'一覧'!$A$1:$M$28"}</definedName>
    <definedName name="プロジェクトコスト計画_1" localSheetId="2" hidden="1">{"'一覧'!$A$1:$M$28"}</definedName>
    <definedName name="プロジェクトコスト計画_1" localSheetId="10" hidden="1">{"'一覧'!$A$1:$M$28"}</definedName>
    <definedName name="プロジェクトコスト計画_1" localSheetId="8" hidden="1">{"'一覧'!$A$1:$M$28"}</definedName>
    <definedName name="プロジェクトコスト計画_1" localSheetId="7" hidden="1">{"'一覧'!$A$1:$M$28"}</definedName>
    <definedName name="プロジェクトコスト計画_1" localSheetId="9" hidden="1">{"'一覧'!$A$1:$M$28"}</definedName>
    <definedName name="プロジェクトコスト計画_1" localSheetId="12" hidden="1">{"'一覧'!$A$1:$M$28"}</definedName>
    <definedName name="プロジェクトコスト計画_1" localSheetId="11" hidden="1">{"'一覧'!$A$1:$M$28"}</definedName>
    <definedName name="プロジェクトコスト計画_1" localSheetId="0" hidden="1">{"'一覧'!$A$1:$M$28"}</definedName>
    <definedName name="プロジェクトコスト計画_1" hidden="1">{"'一覧'!$A$1:$M$28"}</definedName>
    <definedName name="プロジェクトコスト計画ｂ" localSheetId="3" hidden="1">{"'一覧'!$A$1:$M$28"}</definedName>
    <definedName name="プロジェクトコスト計画ｂ" localSheetId="5" hidden="1">{"'一覧'!$A$1:$M$28"}</definedName>
    <definedName name="プロジェクトコスト計画ｂ" localSheetId="4" hidden="1">{"'一覧'!$A$1:$M$28"}</definedName>
    <definedName name="プロジェクトコスト計画ｂ" localSheetId="2" hidden="1">{"'一覧'!$A$1:$M$28"}</definedName>
    <definedName name="プロジェクトコスト計画ｂ" localSheetId="10" hidden="1">{"'一覧'!$A$1:$M$28"}</definedName>
    <definedName name="プロジェクトコスト計画ｂ" localSheetId="8" hidden="1">{"'一覧'!$A$1:$M$28"}</definedName>
    <definedName name="プロジェクトコスト計画ｂ" localSheetId="7" hidden="1">{"'一覧'!$A$1:$M$28"}</definedName>
    <definedName name="プロジェクトコスト計画ｂ" localSheetId="9" hidden="1">{"'一覧'!$A$1:$M$28"}</definedName>
    <definedName name="プロジェクトコスト計画ｂ" localSheetId="12" hidden="1">{"'一覧'!$A$1:$M$28"}</definedName>
    <definedName name="プロジェクトコスト計画ｂ" localSheetId="11" hidden="1">{"'一覧'!$A$1:$M$28"}</definedName>
    <definedName name="プロジェクトコスト計画ｂ" localSheetId="0" hidden="1">{"'一覧'!$A$1:$M$28"}</definedName>
    <definedName name="プロジェクトコスト計画ｂ" hidden="1">{"'一覧'!$A$1:$M$28"}</definedName>
    <definedName name="プロジェクトコスト計画ｂ_1" localSheetId="3" hidden="1">{"'一覧'!$A$1:$M$28"}</definedName>
    <definedName name="プロジェクトコスト計画ｂ_1" localSheetId="5" hidden="1">{"'一覧'!$A$1:$M$28"}</definedName>
    <definedName name="プロジェクトコスト計画ｂ_1" localSheetId="4" hidden="1">{"'一覧'!$A$1:$M$28"}</definedName>
    <definedName name="プロジェクトコスト計画ｂ_1" localSheetId="2" hidden="1">{"'一覧'!$A$1:$M$28"}</definedName>
    <definedName name="プロジェクトコスト計画ｂ_1" localSheetId="10" hidden="1">{"'一覧'!$A$1:$M$28"}</definedName>
    <definedName name="プロジェクトコスト計画ｂ_1" localSheetId="8" hidden="1">{"'一覧'!$A$1:$M$28"}</definedName>
    <definedName name="プロジェクトコスト計画ｂ_1" localSheetId="7" hidden="1">{"'一覧'!$A$1:$M$28"}</definedName>
    <definedName name="プロジェクトコスト計画ｂ_1" localSheetId="9" hidden="1">{"'一覧'!$A$1:$M$28"}</definedName>
    <definedName name="プロジェクトコスト計画ｂ_1" localSheetId="12" hidden="1">{"'一覧'!$A$1:$M$28"}</definedName>
    <definedName name="プロジェクトコスト計画ｂ_1" localSheetId="11" hidden="1">{"'一覧'!$A$1:$M$28"}</definedName>
    <definedName name="プロジェクトコスト計画ｂ_1" localSheetId="0" hidden="1">{"'一覧'!$A$1:$M$28"}</definedName>
    <definedName name="プロジェクトコスト計画ｂ_1" hidden="1">{"'一覧'!$A$1:$M$28"}</definedName>
    <definedName name="ポータル開放">[2]リスト!#REF!</definedName>
    <definedName name="レイアウト検討要" localSheetId="3">#REF!</definedName>
    <definedName name="レイアウト検討要" localSheetId="4">#REF!</definedName>
    <definedName name="レイアウト検討要" localSheetId="2">#REF!</definedName>
    <definedName name="レイアウト検討要" localSheetId="10">#REF!</definedName>
    <definedName name="レイアウト検討要" localSheetId="8">#REF!</definedName>
    <definedName name="レイアウト検討要" localSheetId="7">#REF!</definedName>
    <definedName name="レイアウト検討要" localSheetId="9">#REF!</definedName>
    <definedName name="レイアウト検討要" localSheetId="12">#REF!</definedName>
    <definedName name="レイアウト検討要" localSheetId="11">#REF!</definedName>
    <definedName name="レイアウト検討要">#REF!</definedName>
    <definedName name="レイアウト対象" localSheetId="3">#REF!</definedName>
    <definedName name="レイアウト対象" localSheetId="4">#REF!</definedName>
    <definedName name="レイアウト対象" localSheetId="2">#REF!</definedName>
    <definedName name="レイアウト対象" localSheetId="10">#REF!</definedName>
    <definedName name="レイアウト対象" localSheetId="8">#REF!</definedName>
    <definedName name="レイアウト対象" localSheetId="7">#REF!</definedName>
    <definedName name="レイアウト対象" localSheetId="9">#REF!</definedName>
    <definedName name="レイアウト対象" localSheetId="12">#REF!</definedName>
    <definedName name="レイアウト対象" localSheetId="11">#REF!</definedName>
    <definedName name="レイアウト対象" localSheetId="0">[2]リスト!#REF!</definedName>
    <definedName name="レイアウト対象">#REF!</definedName>
    <definedName name="安藤" localSheetId="3" hidden="1">#REF!</definedName>
    <definedName name="安藤" localSheetId="4" hidden="1">#REF!</definedName>
    <definedName name="安藤" localSheetId="2" hidden="1">#REF!</definedName>
    <definedName name="安藤" localSheetId="10" hidden="1">#REF!</definedName>
    <definedName name="安藤" localSheetId="8" hidden="1">#REF!</definedName>
    <definedName name="安藤" localSheetId="7" hidden="1">#REF!</definedName>
    <definedName name="安藤" localSheetId="9" hidden="1">#REF!</definedName>
    <definedName name="安藤" localSheetId="12" hidden="1">#REF!</definedName>
    <definedName name="安藤" localSheetId="11" hidden="1">#REF!</definedName>
    <definedName name="安藤" localSheetId="0" hidden="1">#REF!</definedName>
    <definedName name="安藤" hidden="1">#REF!</definedName>
    <definedName name="画像位置" localSheetId="3">#REF!</definedName>
    <definedName name="画像位置" localSheetId="4">#REF!</definedName>
    <definedName name="画像位置" localSheetId="2">#REF!</definedName>
    <definedName name="画像位置" localSheetId="10">#REF!</definedName>
    <definedName name="画像位置" localSheetId="8">#REF!</definedName>
    <definedName name="画像位置" localSheetId="7">#REF!</definedName>
    <definedName name="画像位置" localSheetId="9">#REF!</definedName>
    <definedName name="画像位置" localSheetId="12">#REF!</definedName>
    <definedName name="画像位置" localSheetId="11">#REF!</definedName>
    <definedName name="画像位置">#REF!</definedName>
    <definedName name="画面パターン" localSheetId="3">#REF!</definedName>
    <definedName name="画面パターン" localSheetId="4">#REF!</definedName>
    <definedName name="画面パターン" localSheetId="2">#REF!</definedName>
    <definedName name="画面パターン" localSheetId="10">#REF!</definedName>
    <definedName name="画面パターン" localSheetId="8">#REF!</definedName>
    <definedName name="画面パターン" localSheetId="7">#REF!</definedName>
    <definedName name="画面パターン" localSheetId="9">#REF!</definedName>
    <definedName name="画面パターン" localSheetId="12">#REF!</definedName>
    <definedName name="画面パターン" localSheetId="11">#REF!</definedName>
    <definedName name="画面パターン">#REF!</definedName>
    <definedName name="画面項目数">[3]!画面項目数TBL[画面項目数]</definedName>
    <definedName name="画面項目定義_型" localSheetId="3">#REF!</definedName>
    <definedName name="画面項目定義_型" localSheetId="4">#REF!</definedName>
    <definedName name="画面項目定義_型" localSheetId="2">#REF!</definedName>
    <definedName name="画面項目定義_型" localSheetId="10">#REF!</definedName>
    <definedName name="画面項目定義_型" localSheetId="8">#REF!</definedName>
    <definedName name="画面項目定義_型" localSheetId="7">#REF!</definedName>
    <definedName name="画面項目定義_型" localSheetId="9">#REF!</definedName>
    <definedName name="画面項目定義_型" localSheetId="12">#REF!</definedName>
    <definedName name="画面項目定義_型" localSheetId="11">#REF!</definedName>
    <definedName name="画面項目定義_型">#REF!</definedName>
    <definedName name="画面項目定義_種類" localSheetId="3">#REF!</definedName>
    <definedName name="画面項目定義_種類" localSheetId="4">#REF!</definedName>
    <definedName name="画面項目定義_種類" localSheetId="2">#REF!</definedName>
    <definedName name="画面項目定義_種類" localSheetId="10">#REF!</definedName>
    <definedName name="画面項目定義_種類" localSheetId="8">#REF!</definedName>
    <definedName name="画面項目定義_種類" localSheetId="7">#REF!</definedName>
    <definedName name="画面項目定義_種類" localSheetId="9">#REF!</definedName>
    <definedName name="画面項目定義_種類" localSheetId="12">#REF!</definedName>
    <definedName name="画面項目定義_種類" localSheetId="11">#REF!</definedName>
    <definedName name="画面項目定義_種類">#REF!</definedName>
    <definedName name="画面分割案ステータス" localSheetId="3">[2]リスト!#REF!</definedName>
    <definedName name="画面分割案ステータス" localSheetId="4">[2]リスト!#REF!</definedName>
    <definedName name="画面分割案ステータス" localSheetId="2">[2]リスト!#REF!</definedName>
    <definedName name="画面分割案ステータス" localSheetId="10">[2]リスト!#REF!</definedName>
    <definedName name="画面分割案ステータス" localSheetId="8">[2]リスト!#REF!</definedName>
    <definedName name="画面分割案ステータス" localSheetId="7">[2]リスト!#REF!</definedName>
    <definedName name="画面分割案ステータス" localSheetId="9">[2]リスト!#REF!</definedName>
    <definedName name="画面分割案ステータス" localSheetId="12">[2]リスト!#REF!</definedName>
    <definedName name="画面分割案ステータス" localSheetId="11">[2]リスト!#REF!</definedName>
    <definedName name="画面分割案ステータス">[2]リスト!#REF!</definedName>
    <definedName name="開始位置振り付け" localSheetId="3">#REF!</definedName>
    <definedName name="開始位置振り付け" localSheetId="4">#REF!</definedName>
    <definedName name="開始位置振り付け" localSheetId="2">#REF!</definedName>
    <definedName name="開始位置振り付け" localSheetId="10">#REF!</definedName>
    <definedName name="開始位置振り付け" localSheetId="8">#REF!</definedName>
    <definedName name="開始位置振り付け" localSheetId="7">#REF!</definedName>
    <definedName name="開始位置振り付け" localSheetId="9">#REF!</definedName>
    <definedName name="開始位置振り付け" localSheetId="12">#REF!</definedName>
    <definedName name="開始位置振り付け" localSheetId="11">#REF!</definedName>
    <definedName name="開始位置振り付け">#REF!</definedName>
    <definedName name="開発手段" localSheetId="3">[2]リスト!#REF!</definedName>
    <definedName name="開発手段" localSheetId="4">[2]リスト!#REF!</definedName>
    <definedName name="開発手段" localSheetId="2">[2]リスト!#REF!</definedName>
    <definedName name="開発手段" localSheetId="10">[2]リスト!#REF!</definedName>
    <definedName name="開発手段" localSheetId="8">[2]リスト!#REF!</definedName>
    <definedName name="開発手段" localSheetId="7">[2]リスト!#REF!</definedName>
    <definedName name="開発手段" localSheetId="9">[2]リスト!#REF!</definedName>
    <definedName name="開発手段" localSheetId="12">[2]リスト!#REF!</definedName>
    <definedName name="開発手段" localSheetId="11">[2]リスト!#REF!</definedName>
    <definedName name="開発手段">[2]リスト!#REF!</definedName>
    <definedName name="割増" localSheetId="3">#REF!</definedName>
    <definedName name="割増" localSheetId="4">#REF!</definedName>
    <definedName name="割増" localSheetId="2">#REF!</definedName>
    <definedName name="割増" localSheetId="10">#REF!</definedName>
    <definedName name="割増" localSheetId="8">#REF!</definedName>
    <definedName name="割増" localSheetId="7">#REF!</definedName>
    <definedName name="割増" localSheetId="9">#REF!</definedName>
    <definedName name="割増" localSheetId="12">#REF!</definedName>
    <definedName name="割増" localSheetId="11">#REF!</definedName>
    <definedName name="割増">#REF!</definedName>
    <definedName name="関連表" localSheetId="3" hidden="1">#REF!</definedName>
    <definedName name="関連表" localSheetId="4" hidden="1">#REF!</definedName>
    <definedName name="関連表" localSheetId="2" hidden="1">#REF!</definedName>
    <definedName name="関連表" localSheetId="10" hidden="1">#REF!</definedName>
    <definedName name="関連表" localSheetId="8" hidden="1">#REF!</definedName>
    <definedName name="関連表" localSheetId="7" hidden="1">#REF!</definedName>
    <definedName name="関連表" localSheetId="9" hidden="1">#REF!</definedName>
    <definedName name="関連表" localSheetId="12" hidden="1">#REF!</definedName>
    <definedName name="関連表" localSheetId="11" hidden="1">#REF!</definedName>
    <definedName name="関連表" localSheetId="0" hidden="1">#REF!</definedName>
    <definedName name="関連表" hidden="1">#REF!</definedName>
    <definedName name="機能" localSheetId="3">#REF!</definedName>
    <definedName name="機能" localSheetId="4">#REF!</definedName>
    <definedName name="機能" localSheetId="2">#REF!</definedName>
    <definedName name="機能" localSheetId="10">#REF!</definedName>
    <definedName name="機能" localSheetId="8">#REF!</definedName>
    <definedName name="機能" localSheetId="7">#REF!</definedName>
    <definedName name="機能" localSheetId="9">#REF!</definedName>
    <definedName name="機能" localSheetId="12">#REF!</definedName>
    <definedName name="機能" localSheetId="11">#REF!</definedName>
    <definedName name="機能">#REF!</definedName>
    <definedName name="機能種別" localSheetId="3">[2]リスト!#REF!</definedName>
    <definedName name="機能種別" localSheetId="4">[2]リスト!#REF!</definedName>
    <definedName name="機能種別" localSheetId="2">[2]リスト!#REF!</definedName>
    <definedName name="機能種別" localSheetId="10">[2]リスト!#REF!</definedName>
    <definedName name="機能種別" localSheetId="8">[2]リスト!#REF!</definedName>
    <definedName name="機能種別" localSheetId="7">[2]リスト!#REF!</definedName>
    <definedName name="機能種別" localSheetId="9">[2]リスト!#REF!</definedName>
    <definedName name="機能種別" localSheetId="12">[2]リスト!#REF!</definedName>
    <definedName name="機能種別" localSheetId="11">[2]リスト!#REF!</definedName>
    <definedName name="機能種別">[2]リスト!#REF!</definedName>
    <definedName name="共通" localSheetId="3">'【サンプル】UNION ALLを使用したパターン'!共通</definedName>
    <definedName name="共通" localSheetId="5">【サンプル】カード受注ヘッダ_受注_一覧表示用_old!共通</definedName>
    <definedName name="共通" localSheetId="4">【サンプル】カード受注ヘッダ_受注_個別CSV用!共通</definedName>
    <definedName name="共通" localSheetId="2">【サンプル】備考欄に結合条件を記載パターン!共通</definedName>
    <definedName name="共通" localSheetId="10">カード受注ヘッダ_CKU010S01B02_チェック用!共通</definedName>
    <definedName name="共通" localSheetId="8">カード受注ヘッダ_CKU010S01B02_ヘッダ表示用!共通</definedName>
    <definedName name="共通" localSheetId="7">カード受注ヘッダ_受注_個別CSV用!共通</definedName>
    <definedName name="共通" localSheetId="9">カード受注明細_CKU010S01B02_明細表示用!共通</definedName>
    <definedName name="共通" localSheetId="12">フォーマット!共通</definedName>
    <definedName name="共通" localSheetId="11">ホールマスタ_CKU010D02B01_一覧表示用!共通</definedName>
    <definedName name="共通">[0]!共通</definedName>
    <definedName name="項目一覧NEW" localSheetId="3">#REF!</definedName>
    <definedName name="項目一覧NEW" localSheetId="4">#REF!</definedName>
    <definedName name="項目一覧NEW" localSheetId="2">#REF!</definedName>
    <definedName name="項目一覧NEW" localSheetId="10">#REF!</definedName>
    <definedName name="項目一覧NEW" localSheetId="8">#REF!</definedName>
    <definedName name="項目一覧NEW" localSheetId="7">#REF!</definedName>
    <definedName name="項目一覧NEW" localSheetId="9">#REF!</definedName>
    <definedName name="項目一覧NEW" localSheetId="12">#REF!</definedName>
    <definedName name="項目一覧NEW" localSheetId="11">#REF!</definedName>
    <definedName name="項目一覧NEW">#REF!</definedName>
    <definedName name="項目内容１">"テキスト 15"</definedName>
    <definedName name="項目内容２">"テキスト 17"</definedName>
    <definedName name="項目内容３">"テキスト 19"</definedName>
    <definedName name="項目内容４">"テキスト 21"</definedName>
    <definedName name="項目内容５">"テキスト 29"</definedName>
    <definedName name="項目内容６">"テキスト 30"</definedName>
    <definedName name="項目内容７">"テキスト 25"</definedName>
    <definedName name="項目内容８">"テキスト 27"</definedName>
    <definedName name="項目名１">"テキスト 1"</definedName>
    <definedName name="項目名２">"テキスト 14"</definedName>
    <definedName name="項目名３">"テキスト 16"</definedName>
    <definedName name="項目名４">"テキスト 18"</definedName>
    <definedName name="項目名５">"テキスト 20"</definedName>
    <definedName name="項目名６">"テキスト 22"</definedName>
    <definedName name="項目名７">"テキスト 24"</definedName>
    <definedName name="項目名８">"テキスト 26"</definedName>
    <definedName name="種別1" localSheetId="3">#REF!</definedName>
    <definedName name="種別1" localSheetId="4">#REF!</definedName>
    <definedName name="種別1" localSheetId="2">#REF!</definedName>
    <definedName name="種別1" localSheetId="10">#REF!</definedName>
    <definedName name="種別1" localSheetId="8">#REF!</definedName>
    <definedName name="種別1" localSheetId="7">#REF!</definedName>
    <definedName name="種別1" localSheetId="9">#REF!</definedName>
    <definedName name="種別1" localSheetId="12">#REF!</definedName>
    <definedName name="種別1" localSheetId="11">#REF!</definedName>
    <definedName name="種別1" localSheetId="0">#REF!</definedName>
    <definedName name="種別1">#REF!</definedName>
    <definedName name="種別2" localSheetId="3">#REF!</definedName>
    <definedName name="種別2" localSheetId="4">#REF!</definedName>
    <definedName name="種別2" localSheetId="2">#REF!</definedName>
    <definedName name="種別2" localSheetId="10">#REF!</definedName>
    <definedName name="種別2" localSheetId="8">#REF!</definedName>
    <definedName name="種別2" localSheetId="7">#REF!</definedName>
    <definedName name="種別2" localSheetId="9">#REF!</definedName>
    <definedName name="種別2" localSheetId="12">#REF!</definedName>
    <definedName name="種別2" localSheetId="11">#REF!</definedName>
    <definedName name="種別2" localSheetId="0">#REF!</definedName>
    <definedName name="種別2">#REF!</definedName>
    <definedName name="種類">[3]!種類TBL[種類]</definedName>
    <definedName name="受注残１" localSheetId="3">#REF!</definedName>
    <definedName name="受注残１" localSheetId="4">#REF!</definedName>
    <definedName name="受注残１" localSheetId="2">#REF!</definedName>
    <definedName name="受注残１" localSheetId="10">#REF!</definedName>
    <definedName name="受注残１" localSheetId="8">#REF!</definedName>
    <definedName name="受注残１" localSheetId="7">#REF!</definedName>
    <definedName name="受注残１" localSheetId="9">#REF!</definedName>
    <definedName name="受注残１" localSheetId="12">#REF!</definedName>
    <definedName name="受注残１" localSheetId="11">#REF!</definedName>
    <definedName name="受注残１">#REF!</definedName>
    <definedName name="処理区分" localSheetId="3">[2]リスト!#REF!</definedName>
    <definedName name="処理区分" localSheetId="4">[2]リスト!#REF!</definedName>
    <definedName name="処理区分" localSheetId="2">[2]リスト!#REF!</definedName>
    <definedName name="処理区分" localSheetId="10">[2]リスト!#REF!</definedName>
    <definedName name="処理区分" localSheetId="8">[2]リスト!#REF!</definedName>
    <definedName name="処理区分" localSheetId="7">[2]リスト!#REF!</definedName>
    <definedName name="処理区分" localSheetId="9">[2]リスト!#REF!</definedName>
    <definedName name="処理区分" localSheetId="12">[2]リスト!#REF!</definedName>
    <definedName name="処理区分" localSheetId="11">[2]リスト!#REF!</definedName>
    <definedName name="処理区分">[2]リスト!#REF!</definedName>
    <definedName name="処理仕様_レイヤ" localSheetId="3">#REF!</definedName>
    <definedName name="処理仕様_レイヤ" localSheetId="4">#REF!</definedName>
    <definedName name="処理仕様_レイヤ" localSheetId="2">#REF!</definedName>
    <definedName name="処理仕様_レイヤ" localSheetId="10">#REF!</definedName>
    <definedName name="処理仕様_レイヤ" localSheetId="8">#REF!</definedName>
    <definedName name="処理仕様_レイヤ" localSheetId="7">#REF!</definedName>
    <definedName name="処理仕様_レイヤ" localSheetId="9">#REF!</definedName>
    <definedName name="処理仕様_レイヤ" localSheetId="12">#REF!</definedName>
    <definedName name="処理仕様_レイヤ" localSheetId="11">#REF!</definedName>
    <definedName name="処理仕様_レイヤ">#REF!</definedName>
    <definedName name="新規分類" localSheetId="3">[2]リスト!#REF!</definedName>
    <definedName name="新規分類" localSheetId="4">[2]リスト!#REF!</definedName>
    <definedName name="新規分類" localSheetId="2">[2]リスト!#REF!</definedName>
    <definedName name="新規分類" localSheetId="10">[2]リスト!#REF!</definedName>
    <definedName name="新規分類" localSheetId="8">[2]リスト!#REF!</definedName>
    <definedName name="新規分類" localSheetId="7">[2]リスト!#REF!</definedName>
    <definedName name="新規分類" localSheetId="9">[2]リスト!#REF!</definedName>
    <definedName name="新規分類" localSheetId="12">[2]リスト!#REF!</definedName>
    <definedName name="新規分類" localSheetId="11">[2]リスト!#REF!</definedName>
    <definedName name="新規分類">[2]リスト!#REF!</definedName>
    <definedName name="新業務4" localSheetId="3" hidden="1">{"'旅費精算ＤＴ２'!$A$1:$N$40"}</definedName>
    <definedName name="新業務4" localSheetId="5" hidden="1">{"'旅費精算ＤＴ２'!$A$1:$N$40"}</definedName>
    <definedName name="新業務4" localSheetId="4" hidden="1">{"'旅費精算ＤＴ２'!$A$1:$N$40"}</definedName>
    <definedName name="新業務4" localSheetId="2" hidden="1">{"'旅費精算ＤＴ２'!$A$1:$N$40"}</definedName>
    <definedName name="新業務4" localSheetId="10" hidden="1">{"'旅費精算ＤＴ２'!$A$1:$N$40"}</definedName>
    <definedName name="新業務4" localSheetId="8" hidden="1">{"'旅費精算ＤＴ２'!$A$1:$N$40"}</definedName>
    <definedName name="新業務4" localSheetId="7" hidden="1">{"'旅費精算ＤＴ２'!$A$1:$N$40"}</definedName>
    <definedName name="新業務4" localSheetId="9" hidden="1">{"'旅費精算ＤＴ２'!$A$1:$N$40"}</definedName>
    <definedName name="新業務4" localSheetId="12" hidden="1">{"'旅費精算ＤＴ２'!$A$1:$N$40"}</definedName>
    <definedName name="新業務4" localSheetId="11" hidden="1">{"'旅費精算ＤＴ２'!$A$1:$N$40"}</definedName>
    <definedName name="新業務4" localSheetId="0" hidden="1">{"'旅費精算ＤＴ２'!$A$1:$N$40"}</definedName>
    <definedName name="新業務4" hidden="1">{"'旅費精算ＤＴ２'!$A$1:$N$40"}</definedName>
    <definedName name="新業務4_1" localSheetId="3" hidden="1">{"'旅費精算ＤＴ２'!$A$1:$N$40"}</definedName>
    <definedName name="新業務4_1" localSheetId="5" hidden="1">{"'旅費精算ＤＴ２'!$A$1:$N$40"}</definedName>
    <definedName name="新業務4_1" localSheetId="4" hidden="1">{"'旅費精算ＤＴ２'!$A$1:$N$40"}</definedName>
    <definedName name="新業務4_1" localSheetId="2" hidden="1">{"'旅費精算ＤＴ２'!$A$1:$N$40"}</definedName>
    <definedName name="新業務4_1" localSheetId="10" hidden="1">{"'旅費精算ＤＴ２'!$A$1:$N$40"}</definedName>
    <definedName name="新業務4_1" localSheetId="8" hidden="1">{"'旅費精算ＤＴ２'!$A$1:$N$40"}</definedName>
    <definedName name="新業務4_1" localSheetId="7" hidden="1">{"'旅費精算ＤＴ２'!$A$1:$N$40"}</definedName>
    <definedName name="新業務4_1" localSheetId="9" hidden="1">{"'旅費精算ＤＴ２'!$A$1:$N$40"}</definedName>
    <definedName name="新業務4_1" localSheetId="12" hidden="1">{"'旅費精算ＤＴ２'!$A$1:$N$40"}</definedName>
    <definedName name="新業務4_1" localSheetId="11" hidden="1">{"'旅費精算ＤＴ２'!$A$1:$N$40"}</definedName>
    <definedName name="新業務4_1" localSheetId="0" hidden="1">{"'旅費精算ＤＴ２'!$A$1:$N$40"}</definedName>
    <definedName name="新業務4_1" hidden="1">{"'旅費精算ＤＴ２'!$A$1:$N$40"}</definedName>
    <definedName name="束原" hidden="1">#REF!</definedName>
    <definedName name="属性" localSheetId="3">#REF!</definedName>
    <definedName name="属性" localSheetId="4">#REF!</definedName>
    <definedName name="属性" localSheetId="2">#REF!</definedName>
    <definedName name="属性" localSheetId="10">#REF!</definedName>
    <definedName name="属性" localSheetId="8">#REF!</definedName>
    <definedName name="属性" localSheetId="7">#REF!</definedName>
    <definedName name="属性" localSheetId="9">#REF!</definedName>
    <definedName name="属性" localSheetId="12">#REF!</definedName>
    <definedName name="属性" localSheetId="11">#REF!</definedName>
    <definedName name="属性" localSheetId="0">#REF!</definedName>
    <definedName name="属性">#REF!</definedName>
    <definedName name="帳票種別" localSheetId="3">#REF!</definedName>
    <definedName name="帳票種別" localSheetId="4">#REF!</definedName>
    <definedName name="帳票種別" localSheetId="2">#REF!</definedName>
    <definedName name="帳票種別" localSheetId="10">#REF!</definedName>
    <definedName name="帳票種別" localSheetId="8">#REF!</definedName>
    <definedName name="帳票種別" localSheetId="7">#REF!</definedName>
    <definedName name="帳票種別" localSheetId="9">#REF!</definedName>
    <definedName name="帳票種別" localSheetId="12">#REF!</definedName>
    <definedName name="帳票種別" localSheetId="11">#REF!</definedName>
    <definedName name="帳票種別">#REF!</definedName>
    <definedName name="追加見込み" localSheetId="3">#REF!</definedName>
    <definedName name="追加見込み" localSheetId="4">#REF!</definedName>
    <definedName name="追加見込み" localSheetId="2">#REF!</definedName>
    <definedName name="追加見込み" localSheetId="10">#REF!</definedName>
    <definedName name="追加見込み" localSheetId="8">#REF!</definedName>
    <definedName name="追加見込み" localSheetId="7">#REF!</definedName>
    <definedName name="追加見込み" localSheetId="9">#REF!</definedName>
    <definedName name="追加見込み" localSheetId="12">#REF!</definedName>
    <definedName name="追加見込み" localSheetId="11">#REF!</definedName>
    <definedName name="追加見込み">#REF!</definedName>
    <definedName name="_xlnm.Extract" localSheetId="3">#REF!</definedName>
    <definedName name="_xlnm.Extract" localSheetId="4">#REF!</definedName>
    <definedName name="_xlnm.Extract" localSheetId="2">#REF!</definedName>
    <definedName name="_xlnm.Extract" localSheetId="10">#REF!</definedName>
    <definedName name="_xlnm.Extract" localSheetId="8">#REF!</definedName>
    <definedName name="_xlnm.Extract" localSheetId="7">#REF!</definedName>
    <definedName name="_xlnm.Extract" localSheetId="9">#REF!</definedName>
    <definedName name="_xlnm.Extract" localSheetId="12">#REF!</definedName>
    <definedName name="_xlnm.Extract" localSheetId="11">#REF!</definedName>
    <definedName name="_xlnm.Extract">#REF!</definedName>
    <definedName name="難易度" localSheetId="3">#REF!</definedName>
    <definedName name="難易度" localSheetId="4">#REF!</definedName>
    <definedName name="難易度" localSheetId="2">#REF!</definedName>
    <definedName name="難易度" localSheetId="10">#REF!</definedName>
    <definedName name="難易度" localSheetId="8">#REF!</definedName>
    <definedName name="難易度" localSheetId="7">#REF!</definedName>
    <definedName name="難易度" localSheetId="9">#REF!</definedName>
    <definedName name="難易度" localSheetId="12">#REF!</definedName>
    <definedName name="難易度" localSheetId="11">#REF!</definedName>
    <definedName name="難易度" localSheetId="0">#REF!</definedName>
    <definedName name="難易度">#REF!</definedName>
    <definedName name="比率" localSheetId="3">#REF!</definedName>
    <definedName name="比率" localSheetId="4">#REF!</definedName>
    <definedName name="比率" localSheetId="2">#REF!</definedName>
    <definedName name="比率" localSheetId="10">#REF!</definedName>
    <definedName name="比率" localSheetId="8">#REF!</definedName>
    <definedName name="比率" localSheetId="7">#REF!</definedName>
    <definedName name="比率" localSheetId="9">#REF!</definedName>
    <definedName name="比率" localSheetId="12">#REF!</definedName>
    <definedName name="比率" localSheetId="11">#REF!</definedName>
    <definedName name="比率">#REF!</definedName>
    <definedName name="必須" localSheetId="3">#REF!</definedName>
    <definedName name="必須" localSheetId="4">#REF!</definedName>
    <definedName name="必須" localSheetId="2">#REF!</definedName>
    <definedName name="必須" localSheetId="10">#REF!</definedName>
    <definedName name="必須" localSheetId="8">#REF!</definedName>
    <definedName name="必須" localSheetId="7">#REF!</definedName>
    <definedName name="必須" localSheetId="9">#REF!</definedName>
    <definedName name="必須" localSheetId="12">#REF!</definedName>
    <definedName name="必須" localSheetId="11">#REF!</definedName>
    <definedName name="必須">#REF!</definedName>
    <definedName name="目次１" localSheetId="3" hidden="1">{"'一覧'!$A$1:$M$28"}</definedName>
    <definedName name="目次１" localSheetId="5" hidden="1">{"'一覧'!$A$1:$M$28"}</definedName>
    <definedName name="目次１" localSheetId="4" hidden="1">{"'一覧'!$A$1:$M$28"}</definedName>
    <definedName name="目次１" localSheetId="2" hidden="1">{"'一覧'!$A$1:$M$28"}</definedName>
    <definedName name="目次１" localSheetId="10" hidden="1">{"'一覧'!$A$1:$M$28"}</definedName>
    <definedName name="目次１" localSheetId="8" hidden="1">{"'一覧'!$A$1:$M$28"}</definedName>
    <definedName name="目次１" localSheetId="7" hidden="1">{"'一覧'!$A$1:$M$28"}</definedName>
    <definedName name="目次１" localSheetId="9" hidden="1">{"'一覧'!$A$1:$M$28"}</definedName>
    <definedName name="目次１" localSheetId="12" hidden="1">{"'一覧'!$A$1:$M$28"}</definedName>
    <definedName name="目次１" localSheetId="11" hidden="1">{"'一覧'!$A$1:$M$28"}</definedName>
    <definedName name="目次１" localSheetId="0" hidden="1">{"'一覧'!$A$1:$M$28"}</definedName>
    <definedName name="目次１" hidden="1">{"'一覧'!$A$1:$M$28"}</definedName>
    <definedName name="目次１_1" localSheetId="3" hidden="1">{"'一覧'!$A$1:$M$28"}</definedName>
    <definedName name="目次１_1" localSheetId="5" hidden="1">{"'一覧'!$A$1:$M$28"}</definedName>
    <definedName name="目次１_1" localSheetId="4" hidden="1">{"'一覧'!$A$1:$M$28"}</definedName>
    <definedName name="目次１_1" localSheetId="2" hidden="1">{"'一覧'!$A$1:$M$28"}</definedName>
    <definedName name="目次１_1" localSheetId="10" hidden="1">{"'一覧'!$A$1:$M$28"}</definedName>
    <definedName name="目次１_1" localSheetId="8" hidden="1">{"'一覧'!$A$1:$M$28"}</definedName>
    <definedName name="目次１_1" localSheetId="7" hidden="1">{"'一覧'!$A$1:$M$28"}</definedName>
    <definedName name="目次１_1" localSheetId="9" hidden="1">{"'一覧'!$A$1:$M$28"}</definedName>
    <definedName name="目次１_1" localSheetId="12" hidden="1">{"'一覧'!$A$1:$M$28"}</definedName>
    <definedName name="目次１_1" localSheetId="11" hidden="1">{"'一覧'!$A$1:$M$28"}</definedName>
    <definedName name="目次１_1" localSheetId="0" hidden="1">{"'一覧'!$A$1:$M$28"}</definedName>
    <definedName name="目次１_1" hidden="1">{"'一覧'!$A$1:$M$28"}</definedName>
    <definedName name="目次１１" localSheetId="3" hidden="1">{"'一覧'!$A$1:$M$28"}</definedName>
    <definedName name="目次１１" localSheetId="5" hidden="1">{"'一覧'!$A$1:$M$28"}</definedName>
    <definedName name="目次１１" localSheetId="4" hidden="1">{"'一覧'!$A$1:$M$28"}</definedName>
    <definedName name="目次１１" localSheetId="2" hidden="1">{"'一覧'!$A$1:$M$28"}</definedName>
    <definedName name="目次１１" localSheetId="10" hidden="1">{"'一覧'!$A$1:$M$28"}</definedName>
    <definedName name="目次１１" localSheetId="8" hidden="1">{"'一覧'!$A$1:$M$28"}</definedName>
    <definedName name="目次１１" localSheetId="7" hidden="1">{"'一覧'!$A$1:$M$28"}</definedName>
    <definedName name="目次１１" localSheetId="9" hidden="1">{"'一覧'!$A$1:$M$28"}</definedName>
    <definedName name="目次１１" localSheetId="12" hidden="1">{"'一覧'!$A$1:$M$28"}</definedName>
    <definedName name="目次１１" localSheetId="11" hidden="1">{"'一覧'!$A$1:$M$28"}</definedName>
    <definedName name="目次１１" localSheetId="0" hidden="1">{"'一覧'!$A$1:$M$28"}</definedName>
    <definedName name="目次１１" hidden="1">{"'一覧'!$A$1:$M$28"}</definedName>
    <definedName name="目次１１_1" localSheetId="3" hidden="1">{"'一覧'!$A$1:$M$28"}</definedName>
    <definedName name="目次１１_1" localSheetId="5" hidden="1">{"'一覧'!$A$1:$M$28"}</definedName>
    <definedName name="目次１１_1" localSheetId="4" hidden="1">{"'一覧'!$A$1:$M$28"}</definedName>
    <definedName name="目次１１_1" localSheetId="2" hidden="1">{"'一覧'!$A$1:$M$28"}</definedName>
    <definedName name="目次１１_1" localSheetId="10" hidden="1">{"'一覧'!$A$1:$M$28"}</definedName>
    <definedName name="目次１１_1" localSheetId="8" hidden="1">{"'一覧'!$A$1:$M$28"}</definedName>
    <definedName name="目次１１_1" localSheetId="7" hidden="1">{"'一覧'!$A$1:$M$28"}</definedName>
    <definedName name="目次１１_1" localSheetId="9" hidden="1">{"'一覧'!$A$1:$M$28"}</definedName>
    <definedName name="目次１１_1" localSheetId="12" hidden="1">{"'一覧'!$A$1:$M$28"}</definedName>
    <definedName name="目次１１_1" localSheetId="11" hidden="1">{"'一覧'!$A$1:$M$28"}</definedName>
    <definedName name="目次１１_1" localSheetId="0" hidden="1">{"'一覧'!$A$1:$M$28"}</definedName>
    <definedName name="目次１１_1" hidden="1">{"'一覧'!$A$1:$M$28"}</definedName>
    <definedName name="_xlnm.Record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74" i="133" l="1"/>
  <c r="M74" i="133"/>
  <c r="A15" i="133"/>
  <c r="A14" i="133"/>
  <c r="A13" i="133"/>
  <c r="A12" i="133"/>
  <c r="A11" i="133"/>
  <c r="A10" i="133"/>
  <c r="P213" i="132"/>
  <c r="M213" i="132"/>
  <c r="P211" i="132"/>
  <c r="M211" i="132"/>
  <c r="P209" i="132"/>
  <c r="M209" i="132"/>
  <c r="P207" i="132"/>
  <c r="M207" i="132"/>
  <c r="P205" i="132"/>
  <c r="M205" i="132"/>
  <c r="P203" i="132"/>
  <c r="M203" i="132"/>
  <c r="P201" i="132"/>
  <c r="M201" i="132"/>
  <c r="P199" i="132"/>
  <c r="M199" i="132"/>
  <c r="P197" i="132"/>
  <c r="M197" i="132"/>
  <c r="P195" i="132"/>
  <c r="M195" i="132"/>
  <c r="P193" i="132"/>
  <c r="M193" i="132"/>
  <c r="P191" i="132"/>
  <c r="M191" i="132"/>
  <c r="P189" i="132"/>
  <c r="M189" i="132"/>
  <c r="P187" i="132"/>
  <c r="M187" i="132"/>
  <c r="A94" i="132"/>
  <c r="A93" i="132"/>
  <c r="A92" i="132"/>
  <c r="A91" i="132"/>
  <c r="A90" i="132"/>
  <c r="A89" i="132"/>
  <c r="A88" i="132"/>
  <c r="A87" i="132"/>
  <c r="A86" i="132"/>
  <c r="A85" i="132"/>
  <c r="A84" i="132"/>
  <c r="A83" i="132"/>
  <c r="A82" i="132"/>
  <c r="A81" i="132"/>
  <c r="A80" i="132"/>
  <c r="A79" i="132"/>
  <c r="A78" i="132"/>
  <c r="A77" i="132"/>
  <c r="A76" i="132"/>
  <c r="A75" i="132"/>
  <c r="A74" i="132"/>
  <c r="A73" i="132"/>
  <c r="A72" i="132"/>
  <c r="A71" i="132"/>
  <c r="A70" i="132"/>
  <c r="A69" i="132"/>
  <c r="A68" i="132"/>
  <c r="A67" i="132"/>
  <c r="A66" i="132"/>
  <c r="A65" i="132"/>
  <c r="A64" i="132"/>
  <c r="A63" i="132"/>
  <c r="A62" i="132"/>
  <c r="A61" i="132"/>
  <c r="A60" i="132"/>
  <c r="A59" i="132"/>
  <c r="A58" i="132"/>
  <c r="A57" i="132"/>
  <c r="A56" i="132"/>
  <c r="A55" i="132"/>
  <c r="A54" i="132"/>
  <c r="A53" i="132"/>
  <c r="A52" i="132"/>
  <c r="A51" i="132"/>
  <c r="A50" i="132"/>
  <c r="A49" i="132"/>
  <c r="A48" i="132"/>
  <c r="A47" i="132"/>
  <c r="A46" i="132"/>
  <c r="A45" i="132"/>
  <c r="A44" i="132"/>
  <c r="A43" i="132"/>
  <c r="A42" i="132"/>
  <c r="A41" i="132"/>
  <c r="A40" i="132"/>
  <c r="A39" i="132"/>
  <c r="A38" i="132"/>
  <c r="A37" i="132"/>
  <c r="A36" i="132"/>
  <c r="A35" i="132"/>
  <c r="A34" i="132"/>
  <c r="A33" i="132"/>
  <c r="A32" i="132"/>
  <c r="A31" i="132"/>
  <c r="A30" i="132"/>
  <c r="A29" i="132"/>
  <c r="A28" i="132"/>
  <c r="A27" i="132"/>
  <c r="A26" i="132"/>
  <c r="A25" i="132"/>
  <c r="A24" i="132"/>
  <c r="A23" i="132"/>
  <c r="A22" i="132"/>
  <c r="A21" i="132"/>
  <c r="A20" i="132"/>
  <c r="A19" i="132"/>
  <c r="A18" i="132"/>
  <c r="A17" i="132"/>
  <c r="A16" i="132"/>
  <c r="A15" i="132"/>
  <c r="A14" i="132"/>
  <c r="A13" i="132"/>
  <c r="A12" i="132"/>
  <c r="A11" i="132"/>
  <c r="A10" i="132"/>
  <c r="H31" i="131"/>
  <c r="A31" i="131"/>
  <c r="H30" i="131"/>
  <c r="A30" i="131"/>
  <c r="H29" i="131"/>
  <c r="A29" i="131"/>
  <c r="H28" i="131"/>
  <c r="A28" i="131"/>
  <c r="H27" i="131"/>
  <c r="A27" i="131"/>
  <c r="H26" i="131"/>
  <c r="A26" i="131"/>
  <c r="H25" i="131"/>
  <c r="A25" i="131"/>
  <c r="H24" i="131"/>
  <c r="A24" i="131"/>
  <c r="H23" i="131"/>
  <c r="A23" i="131"/>
  <c r="H22" i="131"/>
  <c r="A22" i="131"/>
  <c r="H21" i="131"/>
  <c r="A21" i="131"/>
  <c r="H20" i="131"/>
  <c r="A20" i="131"/>
  <c r="H19" i="131"/>
  <c r="A19" i="131"/>
  <c r="H18" i="131"/>
  <c r="A18" i="131"/>
  <c r="H17" i="131"/>
  <c r="A17" i="131"/>
  <c r="H16" i="131"/>
  <c r="A16" i="131"/>
  <c r="H15" i="131"/>
  <c r="A15" i="131"/>
  <c r="H14" i="131"/>
  <c r="A14" i="131"/>
  <c r="H13" i="131"/>
  <c r="A13" i="131"/>
  <c r="H12" i="131"/>
  <c r="A12" i="131"/>
  <c r="H11" i="131"/>
  <c r="A11" i="131"/>
  <c r="A10" i="131"/>
  <c r="A13" i="127" l="1"/>
  <c r="H46" i="130" l="1"/>
  <c r="A46" i="130"/>
  <c r="H45" i="130"/>
  <c r="A45" i="130"/>
  <c r="H44" i="130"/>
  <c r="A44" i="130"/>
  <c r="H43" i="130"/>
  <c r="A43" i="130"/>
  <c r="H42" i="130"/>
  <c r="A42" i="130"/>
  <c r="H41" i="130"/>
  <c r="A41" i="130"/>
  <c r="H40" i="130"/>
  <c r="A40" i="130"/>
  <c r="H39" i="130"/>
  <c r="A39" i="130"/>
  <c r="H38" i="130"/>
  <c r="A38" i="130"/>
  <c r="H37" i="130"/>
  <c r="A37" i="130"/>
  <c r="H36" i="130"/>
  <c r="A36" i="130"/>
  <c r="H35" i="130"/>
  <c r="A35" i="130"/>
  <c r="H34" i="130"/>
  <c r="A34" i="130"/>
  <c r="H33" i="130"/>
  <c r="A33" i="130"/>
  <c r="H32" i="130"/>
  <c r="A32" i="130"/>
  <c r="H31" i="130"/>
  <c r="A31" i="130"/>
  <c r="H30" i="130"/>
  <c r="A30" i="130"/>
  <c r="H29" i="130"/>
  <c r="A29" i="130"/>
  <c r="H28" i="130"/>
  <c r="A28" i="130"/>
  <c r="H27" i="130"/>
  <c r="A27" i="130"/>
  <c r="H26" i="130"/>
  <c r="A26" i="130"/>
  <c r="H25" i="130"/>
  <c r="A25" i="130"/>
  <c r="H24" i="130"/>
  <c r="A24" i="130"/>
  <c r="H23" i="130"/>
  <c r="A23" i="130"/>
  <c r="H22" i="130"/>
  <c r="A22" i="130"/>
  <c r="H21" i="130"/>
  <c r="A21" i="130"/>
  <c r="H20" i="130"/>
  <c r="A20" i="130"/>
  <c r="H19" i="130"/>
  <c r="A19" i="130"/>
  <c r="H18" i="130"/>
  <c r="A18" i="130"/>
  <c r="H17" i="130"/>
  <c r="A17" i="130"/>
  <c r="H16" i="130"/>
  <c r="A16" i="130"/>
  <c r="H15" i="130"/>
  <c r="A15" i="130"/>
  <c r="H14" i="130"/>
  <c r="A14" i="130"/>
  <c r="H13" i="130"/>
  <c r="A13" i="130"/>
  <c r="H12" i="130"/>
  <c r="A12" i="130"/>
  <c r="H11" i="130"/>
  <c r="A11" i="130"/>
  <c r="A10" i="130"/>
  <c r="H32" i="129"/>
  <c r="A32" i="129"/>
  <c r="H31" i="129"/>
  <c r="A31" i="129"/>
  <c r="H30" i="129"/>
  <c r="A30" i="129"/>
  <c r="H29" i="129"/>
  <c r="A29" i="129"/>
  <c r="H28" i="129"/>
  <c r="A28" i="129"/>
  <c r="H27" i="129"/>
  <c r="A27" i="129"/>
  <c r="H26" i="129"/>
  <c r="A26" i="129"/>
  <c r="H25" i="129"/>
  <c r="A25" i="129"/>
  <c r="H24" i="129"/>
  <c r="A24" i="129"/>
  <c r="H23" i="129"/>
  <c r="A23" i="129"/>
  <c r="H22" i="129"/>
  <c r="A22" i="129"/>
  <c r="H21" i="129"/>
  <c r="A21" i="129"/>
  <c r="H20" i="129"/>
  <c r="A20" i="129"/>
  <c r="H19" i="129"/>
  <c r="A19" i="129"/>
  <c r="H18" i="129"/>
  <c r="A18" i="129"/>
  <c r="H17" i="129"/>
  <c r="A17" i="129"/>
  <c r="H16" i="129"/>
  <c r="A16" i="129"/>
  <c r="H15" i="129"/>
  <c r="A15" i="129"/>
  <c r="H14" i="129"/>
  <c r="A14" i="129"/>
  <c r="H13" i="129"/>
  <c r="A13" i="129"/>
  <c r="H12" i="129"/>
  <c r="A12" i="129"/>
  <c r="H11" i="129"/>
  <c r="A11" i="129"/>
  <c r="A10" i="129"/>
  <c r="A14" i="128"/>
  <c r="A13" i="128"/>
  <c r="A12" i="128"/>
  <c r="A11" i="128"/>
  <c r="A10" i="128"/>
  <c r="A26" i="127"/>
  <c r="A25" i="127"/>
  <c r="A24" i="127"/>
  <c r="A23" i="127"/>
  <c r="A22" i="127"/>
  <c r="A21" i="127"/>
  <c r="A20" i="127"/>
  <c r="A19" i="127"/>
  <c r="A18" i="127"/>
  <c r="A17" i="127"/>
  <c r="A16" i="127"/>
  <c r="A15" i="127"/>
  <c r="A14" i="127"/>
  <c r="A12" i="127"/>
  <c r="A11" i="127"/>
  <c r="A10" i="127"/>
  <c r="P213" i="126"/>
  <c r="M213" i="126"/>
  <c r="P211" i="126"/>
  <c r="M211" i="126"/>
  <c r="P209" i="126"/>
  <c r="M209" i="126"/>
  <c r="P207" i="126"/>
  <c r="M207" i="126"/>
  <c r="P205" i="126"/>
  <c r="M205" i="126"/>
  <c r="P203" i="126"/>
  <c r="M203" i="126"/>
  <c r="P201" i="126"/>
  <c r="M201" i="126"/>
  <c r="P199" i="126"/>
  <c r="M199" i="126"/>
  <c r="P197" i="126"/>
  <c r="M197" i="126"/>
  <c r="P195" i="126"/>
  <c r="M195" i="126"/>
  <c r="P193" i="126"/>
  <c r="M193" i="126"/>
  <c r="P191" i="126"/>
  <c r="M191" i="126"/>
  <c r="P189" i="126"/>
  <c r="M189" i="126"/>
  <c r="P187" i="126"/>
  <c r="M187" i="126"/>
  <c r="A94" i="126"/>
  <c r="A93" i="126"/>
  <c r="A92" i="126"/>
  <c r="A91" i="126"/>
  <c r="A90" i="126"/>
  <c r="A89" i="126"/>
  <c r="A88" i="126"/>
  <c r="A87" i="126"/>
  <c r="A86" i="126"/>
  <c r="A85" i="126"/>
  <c r="A84" i="126"/>
  <c r="A83" i="126"/>
  <c r="A82" i="126"/>
  <c r="A81" i="126"/>
  <c r="A80" i="126"/>
  <c r="A79" i="126"/>
  <c r="A78" i="126"/>
  <c r="A77" i="126"/>
  <c r="A76" i="126"/>
  <c r="A75" i="126"/>
  <c r="A74" i="126"/>
  <c r="A73" i="126"/>
  <c r="A72" i="126"/>
  <c r="A71" i="126"/>
  <c r="A70" i="126"/>
  <c r="A69" i="126"/>
  <c r="A68" i="126"/>
  <c r="A67" i="126"/>
  <c r="A66" i="126"/>
  <c r="A65" i="126"/>
  <c r="A64" i="126"/>
  <c r="A63" i="126"/>
  <c r="A62" i="126"/>
  <c r="A61" i="126"/>
  <c r="A60" i="126"/>
  <c r="A59" i="126"/>
  <c r="A58" i="126"/>
  <c r="A57" i="126"/>
  <c r="A56" i="126"/>
  <c r="A55" i="126"/>
  <c r="A54" i="126"/>
  <c r="A53" i="126"/>
  <c r="A52" i="126"/>
  <c r="A51" i="126"/>
  <c r="A50" i="126"/>
  <c r="A49" i="126"/>
  <c r="A48" i="126"/>
  <c r="A47" i="126"/>
  <c r="A46" i="126"/>
  <c r="A45" i="126"/>
  <c r="A44" i="126"/>
  <c r="A43" i="126"/>
  <c r="A42" i="126"/>
  <c r="A41" i="126"/>
  <c r="A40" i="126"/>
  <c r="A39" i="126"/>
  <c r="A38" i="126"/>
  <c r="A37" i="126"/>
  <c r="A36" i="126"/>
  <c r="A35" i="126"/>
  <c r="A34" i="126"/>
  <c r="A33" i="126"/>
  <c r="A32" i="126"/>
  <c r="A31" i="126"/>
  <c r="A30" i="126"/>
  <c r="A29" i="126"/>
  <c r="A28" i="126"/>
  <c r="A27" i="126"/>
  <c r="A26" i="126"/>
  <c r="A25" i="126"/>
  <c r="A24" i="126"/>
  <c r="A23" i="126"/>
  <c r="A22" i="126"/>
  <c r="A21" i="126"/>
  <c r="A20" i="126"/>
  <c r="A19" i="126"/>
  <c r="A18" i="126"/>
  <c r="A17" i="126"/>
  <c r="A16" i="126"/>
  <c r="A15" i="126"/>
  <c r="A14" i="126"/>
  <c r="A13" i="126"/>
  <c r="A12" i="126"/>
  <c r="A11" i="126"/>
  <c r="A10" i="126"/>
  <c r="A13" i="125"/>
  <c r="A12" i="125"/>
  <c r="H11" i="125"/>
  <c r="A11" i="125"/>
  <c r="A10" i="125"/>
  <c r="A21" i="121" l="1"/>
  <c r="A20" i="121"/>
  <c r="A19" i="121"/>
  <c r="A18" i="121"/>
  <c r="A17" i="121"/>
  <c r="A16" i="121"/>
  <c r="A15" i="121"/>
  <c r="A14" i="121"/>
  <c r="A13" i="121"/>
  <c r="A12" i="121"/>
  <c r="A11" i="121"/>
  <c r="A29" i="121"/>
  <c r="A28" i="121"/>
  <c r="A27" i="121"/>
  <c r="A26" i="121"/>
  <c r="A25" i="121"/>
  <c r="A24" i="121"/>
  <c r="A23" i="121"/>
  <c r="A22" i="121"/>
  <c r="A36" i="121"/>
  <c r="A35" i="121"/>
  <c r="A34" i="121"/>
  <c r="A33" i="121"/>
  <c r="A32" i="121"/>
  <c r="A31" i="121"/>
  <c r="A30" i="121"/>
  <c r="A39" i="121"/>
  <c r="A38" i="121"/>
  <c r="A37" i="121"/>
  <c r="A42" i="121"/>
  <c r="A41" i="121"/>
  <c r="A40" i="121"/>
  <c r="A45" i="121"/>
  <c r="A44" i="121"/>
  <c r="A43" i="121"/>
  <c r="A47" i="121"/>
  <c r="A46" i="121"/>
  <c r="A10" i="121"/>
  <c r="H29" i="119" l="1"/>
  <c r="A29" i="119"/>
  <c r="H28" i="119"/>
  <c r="A28" i="119"/>
  <c r="H27" i="119"/>
  <c r="A27" i="119"/>
  <c r="H26" i="119"/>
  <c r="A26" i="119"/>
  <c r="H25" i="119"/>
  <c r="A25" i="119"/>
  <c r="H24" i="119"/>
  <c r="A24" i="119"/>
  <c r="H23" i="119"/>
  <c r="A23" i="119"/>
  <c r="H22" i="119"/>
  <c r="A22" i="119"/>
  <c r="H21" i="119"/>
  <c r="A21" i="119"/>
  <c r="H20" i="119"/>
  <c r="A20" i="119"/>
  <c r="H31" i="119"/>
  <c r="A31" i="119"/>
  <c r="H30" i="119"/>
  <c r="A30" i="119"/>
  <c r="H13" i="119" l="1"/>
  <c r="A13" i="119"/>
  <c r="H12" i="119"/>
  <c r="A12" i="119"/>
  <c r="H11" i="119"/>
  <c r="A11" i="119"/>
  <c r="H16" i="119"/>
  <c r="A16" i="119"/>
  <c r="H15" i="119"/>
  <c r="A15" i="119"/>
  <c r="H14" i="119"/>
  <c r="A14" i="119"/>
  <c r="H19" i="119"/>
  <c r="A19" i="119"/>
  <c r="H18" i="119"/>
  <c r="A18" i="119"/>
  <c r="H17" i="119"/>
  <c r="A17" i="119"/>
  <c r="A14" i="120"/>
  <c r="A13" i="120"/>
  <c r="A12" i="120"/>
  <c r="A11" i="120"/>
  <c r="A10" i="120"/>
  <c r="A10" i="119"/>
  <c r="BY2" i="118" l="1"/>
  <c r="BY1" i="118"/>
  <c r="BY3" i="118"/>
  <c r="CC3" i="118"/>
  <c r="BY4" i="118"/>
</calcChain>
</file>

<file path=xl/sharedStrings.xml><?xml version="1.0" encoding="utf-8"?>
<sst xmlns="http://schemas.openxmlformats.org/spreadsheetml/2006/main" count="5162" uniqueCount="1452">
  <si>
    <t>システム</t>
    <phoneticPr fontId="15"/>
  </si>
  <si>
    <t>サブシステム</t>
    <phoneticPr fontId="15"/>
  </si>
  <si>
    <t>フェーズ</t>
    <phoneticPr fontId="15"/>
  </si>
  <si>
    <t>ドキュメント名</t>
    <rPh sb="6" eb="7">
      <t>メイ</t>
    </rPh>
    <phoneticPr fontId="15"/>
  </si>
  <si>
    <t>業務分類</t>
    <phoneticPr fontId="15"/>
  </si>
  <si>
    <t>作成者</t>
    <rPh sb="0" eb="3">
      <t>サクセイシャ</t>
    </rPh>
    <phoneticPr fontId="15"/>
  </si>
  <si>
    <t>版</t>
    <rPh sb="0" eb="1">
      <t>ハン</t>
    </rPh>
    <phoneticPr fontId="15"/>
  </si>
  <si>
    <t>作成日</t>
    <rPh sb="0" eb="2">
      <t>サクセイ</t>
    </rPh>
    <phoneticPr fontId="15"/>
  </si>
  <si>
    <t>NICCS</t>
    <phoneticPr fontId="15"/>
  </si>
  <si>
    <t>内部設計</t>
    <rPh sb="0" eb="2">
      <t>ナイブ</t>
    </rPh>
    <rPh sb="2" eb="4">
      <t>セッケイ</t>
    </rPh>
    <phoneticPr fontId="15"/>
  </si>
  <si>
    <t>dbQuery定義書</t>
    <rPh sb="7" eb="10">
      <t>テイギショ</t>
    </rPh>
    <phoneticPr fontId="151"/>
  </si>
  <si>
    <t>更新者</t>
    <rPh sb="0" eb="3">
      <t>コウシンシャ</t>
    </rPh>
    <phoneticPr fontId="15"/>
  </si>
  <si>
    <t>更新日</t>
    <rPh sb="0" eb="3">
      <t>コウシンビ</t>
    </rPh>
    <phoneticPr fontId="15"/>
  </si>
  <si>
    <t>■改版履歴一覧</t>
    <phoneticPr fontId="15"/>
  </si>
  <si>
    <t>版数</t>
    <rPh sb="0" eb="2">
      <t>ハンスウ</t>
    </rPh>
    <phoneticPr fontId="15"/>
  </si>
  <si>
    <t>作成日</t>
    <rPh sb="0" eb="3">
      <t>サクセイビ</t>
    </rPh>
    <phoneticPr fontId="15"/>
  </si>
  <si>
    <t>変更シート</t>
    <rPh sb="0" eb="2">
      <t>ヘンコウ</t>
    </rPh>
    <phoneticPr fontId="15"/>
  </si>
  <si>
    <t>変更内容</t>
    <rPh sb="0" eb="2">
      <t>ヘンコウ</t>
    </rPh>
    <rPh sb="2" eb="4">
      <t>ナイヨウ</t>
    </rPh>
    <phoneticPr fontId="15"/>
  </si>
  <si>
    <t>全体</t>
    <rPh sb="0" eb="2">
      <t>ゼンタイ</t>
    </rPh>
    <phoneticPr fontId="15"/>
  </si>
  <si>
    <t>新規作成</t>
    <rPh sb="0" eb="4">
      <t>シンキサクセイ</t>
    </rPh>
    <phoneticPr fontId="15"/>
  </si>
  <si>
    <t>テーブル名称</t>
    <rPh sb="4" eb="6">
      <t>メイショウ</t>
    </rPh>
    <phoneticPr fontId="17"/>
  </si>
  <si>
    <t>テーブルID</t>
    <phoneticPr fontId="17"/>
  </si>
  <si>
    <t>項番</t>
    <rPh sb="0" eb="1">
      <t>ウナジ</t>
    </rPh>
    <rPh sb="1" eb="2">
      <t>バン</t>
    </rPh>
    <phoneticPr fontId="17"/>
  </si>
  <si>
    <t>カラム名</t>
    <rPh sb="3" eb="4">
      <t>メイ</t>
    </rPh>
    <phoneticPr fontId="17"/>
  </si>
  <si>
    <t>NULL可</t>
    <rPh sb="4" eb="5">
      <t>カ</t>
    </rPh>
    <phoneticPr fontId="17"/>
  </si>
  <si>
    <t>キー
グループ</t>
    <phoneticPr fontId="17"/>
  </si>
  <si>
    <t>長さ</t>
    <rPh sb="0" eb="1">
      <t>ナガ</t>
    </rPh>
    <phoneticPr fontId="17"/>
  </si>
  <si>
    <t>データ型(WP)</t>
    <rPh sb="3" eb="4">
      <t>カタ</t>
    </rPh>
    <phoneticPr fontId="17"/>
  </si>
  <si>
    <t>DB定義</t>
    <rPh sb="2" eb="4">
      <t>テイギ</t>
    </rPh>
    <phoneticPr fontId="17"/>
  </si>
  <si>
    <t>備考</t>
    <rPh sb="0" eb="2">
      <t>ビコウ</t>
    </rPh>
    <phoneticPr fontId="17"/>
  </si>
  <si>
    <t>使用文字種</t>
    <rPh sb="0" eb="2">
      <t>シヨウ</t>
    </rPh>
    <rPh sb="2" eb="5">
      <t>モジシュ</t>
    </rPh>
    <phoneticPr fontId="17"/>
  </si>
  <si>
    <t>PRE</t>
    <phoneticPr fontId="17"/>
  </si>
  <si>
    <t>S</t>
    <phoneticPr fontId="17"/>
  </si>
  <si>
    <t>B</t>
    <phoneticPr fontId="17"/>
  </si>
  <si>
    <t>型</t>
    <rPh sb="0" eb="1">
      <t>カタ</t>
    </rPh>
    <phoneticPr fontId="17"/>
  </si>
  <si>
    <t>桁数</t>
    <rPh sb="0" eb="2">
      <t>ケタスウ</t>
    </rPh>
    <phoneticPr fontId="17"/>
  </si>
  <si>
    <t>小数桁</t>
    <rPh sb="0" eb="2">
      <t>ショウスウ</t>
    </rPh>
    <rPh sb="2" eb="3">
      <t>ケタ</t>
    </rPh>
    <phoneticPr fontId="17"/>
  </si>
  <si>
    <t>概要</t>
    <rPh sb="0" eb="2">
      <t>ガイヨウ</t>
    </rPh>
    <phoneticPr fontId="15"/>
  </si>
  <si>
    <t>１．対象テーブル</t>
    <rPh sb="2" eb="4">
      <t>タイショウ</t>
    </rPh>
    <phoneticPr fontId="15"/>
  </si>
  <si>
    <t>２．結合条件</t>
    <rPh sb="2" eb="4">
      <t>ケツゴウ</t>
    </rPh>
    <rPh sb="4" eb="6">
      <t>ジョウケン</t>
    </rPh>
    <phoneticPr fontId="15"/>
  </si>
  <si>
    <t>＝</t>
    <phoneticPr fontId="15"/>
  </si>
  <si>
    <t>３．補足</t>
    <rPh sb="2" eb="4">
      <t>ホソク</t>
    </rPh>
    <phoneticPr fontId="15"/>
  </si>
  <si>
    <t>dbQuery：検索条件</t>
    <rPh sb="8" eb="12">
      <t>ケンサクジョウケン</t>
    </rPh>
    <phoneticPr fontId="15"/>
  </si>
  <si>
    <t>dbQueryAggregate：集計関数の検索条件</t>
    <rPh sb="17" eb="21">
      <t>シュウケイカンスウ</t>
    </rPh>
    <rPh sb="22" eb="26">
      <t>ケンサクジョウケン</t>
    </rPh>
    <phoneticPr fontId="15"/>
  </si>
  <si>
    <t>なし</t>
    <phoneticPr fontId="15"/>
  </si>
  <si>
    <t>カード受注ヘッダ_受注_一覧表示用</t>
    <rPh sb="3" eb="5">
      <t>ジュチュウ</t>
    </rPh>
    <rPh sb="9" eb="11">
      <t>ジュチュウ</t>
    </rPh>
    <rPh sb="12" eb="14">
      <t>イチラン</t>
    </rPh>
    <rPh sb="14" eb="16">
      <t>ヒョウジ</t>
    </rPh>
    <rPh sb="16" eb="17">
      <t>ヨウ</t>
    </rPh>
    <phoneticPr fontId="15"/>
  </si>
  <si>
    <t>Q_CKT0301_0010</t>
    <phoneticPr fontId="15"/>
  </si>
  <si>
    <t>　カード受注ヘッダ</t>
    <rPh sb="4" eb="6">
      <t>ジュチュウ</t>
    </rPh>
    <phoneticPr fontId="15"/>
  </si>
  <si>
    <t>　カード受注明細</t>
    <rPh sb="4" eb="6">
      <t>ジュチュウ</t>
    </rPh>
    <rPh sb="6" eb="8">
      <t>メイサイ</t>
    </rPh>
    <phoneticPr fontId="15"/>
  </si>
  <si>
    <t>　ホールマスタ</t>
  </si>
  <si>
    <t>　法人マスタ</t>
  </si>
  <si>
    <t>　店舗マスタ</t>
  </si>
  <si>
    <t>　組織マスタ</t>
  </si>
  <si>
    <t>　社員所属マスタ</t>
  </si>
  <si>
    <t>　社員マスタ</t>
  </si>
  <si>
    <t>　汎用マスタ</t>
  </si>
  <si>
    <t>　住所マスタ</t>
  </si>
  <si>
    <t>　取引先マスタ</t>
  </si>
  <si>
    <t>　ホール自社担当者マスタ</t>
  </si>
  <si>
    <t>　カード定価マスタ</t>
  </si>
  <si>
    <t>　カード案件ヘッダ</t>
    <rPh sb="4" eb="6">
      <t>アンケン</t>
    </rPh>
    <phoneticPr fontId="15"/>
  </si>
  <si>
    <t>　・結合1(内部結合)</t>
    <rPh sb="2" eb="4">
      <t>ケツゴウ</t>
    </rPh>
    <rPh sb="6" eb="8">
      <t>ナイブ</t>
    </rPh>
    <rPh sb="8" eb="10">
      <t>ケツゴウ</t>
    </rPh>
    <phoneticPr fontId="15"/>
  </si>
  <si>
    <t>カード受注ヘッダ.カード案件No</t>
    <phoneticPr fontId="15"/>
  </si>
  <si>
    <t>　カード案件ヘッダ.カード案件No</t>
    <phoneticPr fontId="15"/>
  </si>
  <si>
    <t>カード受注ヘッダ.カード受注No</t>
    <rPh sb="3" eb="5">
      <t>ジュチュウ</t>
    </rPh>
    <rPh sb="12" eb="14">
      <t>ジュチュウ</t>
    </rPh>
    <phoneticPr fontId="15"/>
  </si>
  <si>
    <t>　カード出荷指示ヘッダ.カード受注No</t>
    <rPh sb="4" eb="6">
      <t>シュッカ</t>
    </rPh>
    <rPh sb="6" eb="8">
      <t>シジ</t>
    </rPh>
    <rPh sb="15" eb="17">
      <t>ジュチュウ</t>
    </rPh>
    <phoneticPr fontId="15"/>
  </si>
  <si>
    <t>　・結合3(外部結合)</t>
    <rPh sb="2" eb="4">
      <t>ケツゴウ</t>
    </rPh>
    <rPh sb="6" eb="8">
      <t>ガイブ</t>
    </rPh>
    <rPh sb="8" eb="10">
      <t>ケツゴウ</t>
    </rPh>
    <phoneticPr fontId="15"/>
  </si>
  <si>
    <t>カード受注ヘッダ.ホールCD</t>
    <rPh sb="3" eb="5">
      <t>ジュチュウ</t>
    </rPh>
    <phoneticPr fontId="15"/>
  </si>
  <si>
    <t>　ホールマスタ.ホールCD</t>
    <phoneticPr fontId="15"/>
  </si>
  <si>
    <t>　取引先マスタ.取引先CD</t>
    <rPh sb="1" eb="4">
      <t>トリヒキサキ</t>
    </rPh>
    <phoneticPr fontId="15"/>
  </si>
  <si>
    <t>カード受注ヘッダ.会員管理会社取引先CD</t>
    <rPh sb="3" eb="5">
      <t>ジュチュウ</t>
    </rPh>
    <phoneticPr fontId="15"/>
  </si>
  <si>
    <t>　・結合4(外部結合)</t>
    <rPh sb="2" eb="4">
      <t>ケツゴウ</t>
    </rPh>
    <rPh sb="6" eb="8">
      <t>ガイブ</t>
    </rPh>
    <rPh sb="8" eb="10">
      <t>ケツゴウ</t>
    </rPh>
    <phoneticPr fontId="15"/>
  </si>
  <si>
    <t>　・結合5(外部結合)</t>
    <rPh sb="2" eb="4">
      <t>ケツゴウ</t>
    </rPh>
    <rPh sb="6" eb="8">
      <t>ガイブ</t>
    </rPh>
    <rPh sb="8" eb="10">
      <t>ケツゴウ</t>
    </rPh>
    <phoneticPr fontId="15"/>
  </si>
  <si>
    <t>　AND ホールマスタ.削除フラグ</t>
    <phoneticPr fontId="15"/>
  </si>
  <si>
    <t>　ホール契約マスタ.ホールCD</t>
    <rPh sb="4" eb="6">
      <t>ケイヤク</t>
    </rPh>
    <phoneticPr fontId="15"/>
  </si>
  <si>
    <t>ホールマスタ.ホールCD</t>
    <phoneticPr fontId="15"/>
  </si>
  <si>
    <t>"0"</t>
    <phoneticPr fontId="15"/>
  </si>
  <si>
    <t>　AND ホール管理マスタ.適用開始日</t>
    <phoneticPr fontId="15"/>
  </si>
  <si>
    <t>&lt;＝</t>
    <phoneticPr fontId="15"/>
  </si>
  <si>
    <t>：業務日付</t>
    <phoneticPr fontId="15"/>
  </si>
  <si>
    <t>　AND ホール管理マスタ.適用終了日</t>
    <rPh sb="16" eb="18">
      <t>シュウリョウ</t>
    </rPh>
    <phoneticPr fontId="15"/>
  </si>
  <si>
    <t>&gt;＝</t>
    <phoneticPr fontId="15"/>
  </si>
  <si>
    <t>　ホール管理マスタ.ホールCD</t>
    <rPh sb="4" eb="6">
      <t>カンリ</t>
    </rPh>
    <phoneticPr fontId="15"/>
  </si>
  <si>
    <t>　AND ホール契約マスタ.適用開始日</t>
    <rPh sb="8" eb="10">
      <t>ケイヤク</t>
    </rPh>
    <phoneticPr fontId="15"/>
  </si>
  <si>
    <t>　AND ホール契約マスタ.適用終了日</t>
    <rPh sb="8" eb="10">
      <t>ケイヤク</t>
    </rPh>
    <rPh sb="16" eb="18">
      <t>シュウリョウ</t>
    </rPh>
    <phoneticPr fontId="15"/>
  </si>
  <si>
    <t>　ホール・店舗紐付マスタ.ホールCD</t>
    <phoneticPr fontId="15"/>
  </si>
  <si>
    <t>　店舗マスタ.店舗CD</t>
    <rPh sb="7" eb="9">
      <t>テンポ</t>
    </rPh>
    <phoneticPr fontId="15"/>
  </si>
  <si>
    <t>ホール・店舗紐付マスタ.店舗CD</t>
    <phoneticPr fontId="15"/>
  </si>
  <si>
    <t>　ホール・法人・決済相手先紐付マスタ.ホールCD</t>
    <phoneticPr fontId="15"/>
  </si>
  <si>
    <t>　法人マスタ.法人CD</t>
    <rPh sb="1" eb="3">
      <t>ホウジン</t>
    </rPh>
    <rPh sb="7" eb="9">
      <t>ホウジン</t>
    </rPh>
    <phoneticPr fontId="15"/>
  </si>
  <si>
    <t>　ホール・法人・決済相手先紐付マスタ.法人CD</t>
    <rPh sb="19" eb="21">
      <t>ホウジン</t>
    </rPh>
    <phoneticPr fontId="15"/>
  </si>
  <si>
    <t>　ホール自社担当者マスタ.ホールCD</t>
    <phoneticPr fontId="15"/>
  </si>
  <si>
    <t>　AND ホール自社担当者マスタ.適用終了日</t>
    <rPh sb="19" eb="21">
      <t>シュウリョウ</t>
    </rPh>
    <phoneticPr fontId="15"/>
  </si>
  <si>
    <t>　AND ホール自社担当者マスタ.適用開始日</t>
    <phoneticPr fontId="15"/>
  </si>
  <si>
    <t>　AND ホール・法人・決済相手先紐付マスタ.適用開始日</t>
    <phoneticPr fontId="15"/>
  </si>
  <si>
    <t>　AND ホール・法人・決済相手先紐付マスタ.適用終了日</t>
    <rPh sb="25" eb="27">
      <t>シュウリョウ</t>
    </rPh>
    <phoneticPr fontId="15"/>
  </si>
  <si>
    <t>　AND ホール・店舗紐付マスタ.適用終了日</t>
    <rPh sb="19" eb="21">
      <t>シュウリョウ</t>
    </rPh>
    <phoneticPr fontId="15"/>
  </si>
  <si>
    <t>　AND ホール・店舗紐付マスタ.適用開始日</t>
    <phoneticPr fontId="15"/>
  </si>
  <si>
    <t>　組織マスタ.組織CD</t>
    <rPh sb="1" eb="3">
      <t>ソシキ</t>
    </rPh>
    <rPh sb="7" eb="9">
      <t>ソシキ</t>
    </rPh>
    <phoneticPr fontId="15"/>
  </si>
  <si>
    <t>ホール自社担当者マスタ.主管部CD</t>
    <rPh sb="12" eb="15">
      <t>シュカンブ</t>
    </rPh>
    <phoneticPr fontId="15"/>
  </si>
  <si>
    <t>　AND 組織マスタ.削除フラグ</t>
    <rPh sb="5" eb="7">
      <t>ソシキ</t>
    </rPh>
    <rPh sb="11" eb="13">
      <t>サクジョ</t>
    </rPh>
    <phoneticPr fontId="15"/>
  </si>
  <si>
    <t>　社員マスタ.社員CD</t>
    <rPh sb="1" eb="3">
      <t>シャイン</t>
    </rPh>
    <rPh sb="7" eb="9">
      <t>シャイン</t>
    </rPh>
    <phoneticPr fontId="15"/>
  </si>
  <si>
    <t>ホール自社担当者マスタ.主管社員CD</t>
    <rPh sb="12" eb="14">
      <t>シュカン</t>
    </rPh>
    <rPh sb="14" eb="16">
      <t>シャイン</t>
    </rPh>
    <phoneticPr fontId="15"/>
  </si>
  <si>
    <t>　AND 社員マスタ.削除フラグ</t>
    <rPh sb="5" eb="7">
      <t>シャイン</t>
    </rPh>
    <rPh sb="11" eb="13">
      <t>サクジョ</t>
    </rPh>
    <phoneticPr fontId="15"/>
  </si>
  <si>
    <t>　AND 取引先マスタ.削除フラグ</t>
    <rPh sb="5" eb="8">
      <t>トリヒキサキ</t>
    </rPh>
    <rPh sb="12" eb="14">
      <t>サクジョ</t>
    </rPh>
    <phoneticPr fontId="15"/>
  </si>
  <si>
    <t>CITS角田</t>
    <rPh sb="4" eb="6">
      <t>ツノダ</t>
    </rPh>
    <phoneticPr fontId="151"/>
  </si>
  <si>
    <t>カード</t>
    <phoneticPr fontId="151"/>
  </si>
  <si>
    <t>カード受注</t>
    <rPh sb="3" eb="5">
      <t>ジュチュウ</t>
    </rPh>
    <phoneticPr fontId="15"/>
  </si>
  <si>
    <t>カード注文No</t>
    <rPh sb="3" eb="5">
      <t>チュウモン</t>
    </rPh>
    <phoneticPr fontId="15"/>
  </si>
  <si>
    <t>ステータス名</t>
    <rPh sb="5" eb="6">
      <t>メイ</t>
    </rPh>
    <phoneticPr fontId="15"/>
  </si>
  <si>
    <t>ホールCD</t>
    <phoneticPr fontId="15"/>
  </si>
  <si>
    <t>ホール名</t>
    <rPh sb="3" eb="4">
      <t>メイ</t>
    </rPh>
    <phoneticPr fontId="15"/>
  </si>
  <si>
    <t>導入システム区分名</t>
    <rPh sb="0" eb="2">
      <t>ドウニュウ</t>
    </rPh>
    <rPh sb="6" eb="8">
      <t>クブン</t>
    </rPh>
    <rPh sb="8" eb="9">
      <t>メイ</t>
    </rPh>
    <phoneticPr fontId="15"/>
  </si>
  <si>
    <t>注文区分名</t>
    <rPh sb="0" eb="2">
      <t>チュウモン</t>
    </rPh>
    <rPh sb="2" eb="4">
      <t>クブン</t>
    </rPh>
    <rPh sb="4" eb="5">
      <t>メイ</t>
    </rPh>
    <phoneticPr fontId="15"/>
  </si>
  <si>
    <t>一般／会員区分名</t>
    <rPh sb="7" eb="8">
      <t>メイ</t>
    </rPh>
    <phoneticPr fontId="15"/>
  </si>
  <si>
    <t>商品名</t>
    <rPh sb="0" eb="3">
      <t>ショウヒンメイ</t>
    </rPh>
    <phoneticPr fontId="15"/>
  </si>
  <si>
    <t>商品種類名</t>
    <phoneticPr fontId="15"/>
  </si>
  <si>
    <t>カード販売単価</t>
    <phoneticPr fontId="15"/>
  </si>
  <si>
    <t>カード販売数</t>
    <phoneticPr fontId="15"/>
  </si>
  <si>
    <t>カード配送日</t>
    <phoneticPr fontId="15"/>
  </si>
  <si>
    <t>注文日</t>
    <rPh sb="0" eb="3">
      <t>チュウモンビ</t>
    </rPh>
    <phoneticPr fontId="15"/>
  </si>
  <si>
    <t>受注日</t>
    <rPh sb="0" eb="3">
      <t>ジュチュウビ</t>
    </rPh>
    <phoneticPr fontId="15"/>
  </si>
  <si>
    <t>受注受付日</t>
    <rPh sb="0" eb="2">
      <t>ジュチュウ</t>
    </rPh>
    <rPh sb="2" eb="5">
      <t>ウケツケビ</t>
    </rPh>
    <phoneticPr fontId="15"/>
  </si>
  <si>
    <t>会員番号枠依頼状態区分名</t>
    <rPh sb="11" eb="12">
      <t>メイ</t>
    </rPh>
    <phoneticPr fontId="15"/>
  </si>
  <si>
    <t>会員番号枠回答状態区分名</t>
    <rPh sb="11" eb="12">
      <t>メイ</t>
    </rPh>
    <phoneticPr fontId="15"/>
  </si>
  <si>
    <t>会員管理会社名</t>
    <rPh sb="0" eb="2">
      <t>カイイン</t>
    </rPh>
    <rPh sb="2" eb="7">
      <t>カンリカイシャメイ</t>
    </rPh>
    <phoneticPr fontId="15"/>
  </si>
  <si>
    <t>営業部門名</t>
    <rPh sb="0" eb="4">
      <t>エイギョウブモン</t>
    </rPh>
    <rPh sb="4" eb="5">
      <t>メイ</t>
    </rPh>
    <phoneticPr fontId="15"/>
  </si>
  <si>
    <t>営業担当者名</t>
    <rPh sb="0" eb="6">
      <t>エイギョウタントウシャメイ</t>
    </rPh>
    <phoneticPr fontId="15"/>
  </si>
  <si>
    <t>差戻理由</t>
    <rPh sb="0" eb="2">
      <t>サシモドシ</t>
    </rPh>
    <rPh sb="2" eb="4">
      <t>リユウ</t>
    </rPh>
    <phoneticPr fontId="15"/>
  </si>
  <si>
    <t>NUM</t>
  </si>
  <si>
    <t>NUM</t>
    <phoneticPr fontId="15"/>
  </si>
  <si>
    <t>TEXT</t>
  </si>
  <si>
    <t>TEXT</t>
    <phoneticPr fontId="15"/>
  </si>
  <si>
    <t>DATE</t>
  </si>
  <si>
    <t>DATE</t>
    <phoneticPr fontId="15"/>
  </si>
  <si>
    <t>カード受注ヘッダ.カード管理種別CD = "01"～"08"の場合（01:会員汎用カード 02:会員オリジナルカード 03:一般汎用カード 04:一般オリジナルカード 05:一般汎用コイン 06:一般オリジナルコイン 07:フリューションカード 08:オーダーカード）</t>
    <rPh sb="3" eb="5">
      <t>ジュチュウ</t>
    </rPh>
    <rPh sb="12" eb="14">
      <t>カンリ</t>
    </rPh>
    <rPh sb="14" eb="16">
      <t>シュベツ</t>
    </rPh>
    <rPh sb="31" eb="33">
      <t>バアイ</t>
    </rPh>
    <phoneticPr fontId="15"/>
  </si>
  <si>
    <t>　取得項目</t>
    <rPh sb="1" eb="3">
      <t>シュトク</t>
    </rPh>
    <rPh sb="3" eb="5">
      <t>コウモク</t>
    </rPh>
    <phoneticPr fontId="15"/>
  </si>
  <si>
    <t>　　件数</t>
    <rPh sb="2" eb="4">
      <t>ケンスウ</t>
    </rPh>
    <phoneticPr fontId="15"/>
  </si>
  <si>
    <t>　取得テーブル</t>
    <rPh sb="1" eb="3">
      <t>シュトク</t>
    </rPh>
    <phoneticPr fontId="15"/>
  </si>
  <si>
    <t>　　カード受注ヘッダ</t>
    <rPh sb="5" eb="7">
      <t>ジュチュウ</t>
    </rPh>
    <phoneticPr fontId="15"/>
  </si>
  <si>
    <t>　結合条件</t>
    <rPh sb="1" eb="5">
      <t>ケツゴウジョウケン</t>
    </rPh>
    <phoneticPr fontId="15"/>
  </si>
  <si>
    <t>　　カード受注明細</t>
    <rPh sb="5" eb="7">
      <t>ジュチュウ</t>
    </rPh>
    <rPh sb="7" eb="9">
      <t>メイサイ</t>
    </rPh>
    <phoneticPr fontId="15"/>
  </si>
  <si>
    <t>　結合テーブル</t>
    <rPh sb="1" eb="3">
      <t>ケツゴウ</t>
    </rPh>
    <phoneticPr fontId="15"/>
  </si>
  <si>
    <t>　　カード受注ヘッダ.カード受注No = カード受注明細.カード受注No</t>
    <rPh sb="14" eb="16">
      <t>ジュチュウ</t>
    </rPh>
    <rPh sb="24" eb="26">
      <t>ジュチュウ</t>
    </rPh>
    <rPh sb="26" eb="28">
      <t>メイサイ</t>
    </rPh>
    <rPh sb="32" eb="34">
      <t>ジュチュウ</t>
    </rPh>
    <phoneticPr fontId="15"/>
  </si>
  <si>
    <t>（</t>
    <phoneticPr fontId="15"/>
  </si>
  <si>
    <t>）カード定価マスタ件数取得用テーブル</t>
    <phoneticPr fontId="15"/>
  </si>
  <si>
    <t>　カード受注ヘッダ.カード受注No</t>
    <rPh sb="4" eb="6">
      <t>ジュチュウ</t>
    </rPh>
    <rPh sb="13" eb="15">
      <t>ジュチュウ</t>
    </rPh>
    <phoneticPr fontId="15"/>
  </si>
  <si>
    <t>カード定価マスタ件数取得用テーブル.カード受注No</t>
    <rPh sb="21" eb="23">
      <t>ジュチュウ</t>
    </rPh>
    <phoneticPr fontId="15"/>
  </si>
  <si>
    <t>　　NULL</t>
    <phoneticPr fontId="15"/>
  </si>
  <si>
    <t>　カード定価マスタ件数取得用テーブル.件数が0件、または、NULLの場合</t>
    <rPh sb="19" eb="21">
      <t>ケンスウ</t>
    </rPh>
    <rPh sb="23" eb="24">
      <t>ケン</t>
    </rPh>
    <rPh sb="34" eb="36">
      <t>バアイ</t>
    </rPh>
    <phoneticPr fontId="15"/>
  </si>
  <si>
    <t>　　取得項目</t>
  </si>
  <si>
    <t>　　取得項目</t>
    <rPh sb="2" eb="6">
      <t>シュトクコウモク</t>
    </rPh>
    <phoneticPr fontId="15"/>
  </si>
  <si>
    <t>　　　カード定価マスタ.カード受注商品名</t>
    <rPh sb="6" eb="8">
      <t>テイカ</t>
    </rPh>
    <rPh sb="15" eb="17">
      <t>ジュチュウ</t>
    </rPh>
    <rPh sb="17" eb="20">
      <t>ショウヒンメイ</t>
    </rPh>
    <phoneticPr fontId="15"/>
  </si>
  <si>
    <t>　　取得テーブル</t>
  </si>
  <si>
    <t>　　取得テーブル</t>
    <rPh sb="2" eb="4">
      <t>シュトク</t>
    </rPh>
    <phoneticPr fontId="15"/>
  </si>
  <si>
    <t>　　　カード受注明細</t>
    <rPh sb="6" eb="8">
      <t>ジュチュウ</t>
    </rPh>
    <rPh sb="8" eb="10">
      <t>メイサイ</t>
    </rPh>
    <phoneticPr fontId="15"/>
  </si>
  <si>
    <t>　　結合テーブル（内部結合）</t>
    <rPh sb="2" eb="4">
      <t>ケツゴウ</t>
    </rPh>
    <rPh sb="9" eb="11">
      <t>ナイブ</t>
    </rPh>
    <rPh sb="11" eb="13">
      <t>ケツゴウ</t>
    </rPh>
    <phoneticPr fontId="15"/>
  </si>
  <si>
    <t>　　　カード定価マスタ</t>
    <rPh sb="6" eb="8">
      <t>テイカ</t>
    </rPh>
    <phoneticPr fontId="15"/>
  </si>
  <si>
    <t>　　結合条件</t>
    <rPh sb="2" eb="6">
      <t>ケツゴウジョウケン</t>
    </rPh>
    <phoneticPr fontId="15"/>
  </si>
  <si>
    <t>　　　カード受注明細.商品CD(営業) = カード定価マスタ.カード定価管理CD</t>
    <rPh sb="6" eb="8">
      <t>ジュチュウ</t>
    </rPh>
    <rPh sb="8" eb="10">
      <t>メイサイ</t>
    </rPh>
    <phoneticPr fontId="15"/>
  </si>
  <si>
    <t>　　取得条件</t>
  </si>
  <si>
    <t>　　取得条件</t>
    <rPh sb="2" eb="6">
      <t>シュトクジョウケン</t>
    </rPh>
    <phoneticPr fontId="15"/>
  </si>
  <si>
    <t>　　　カード受注明細.カード受注No = カード受注ヘッダ.カード受注No</t>
    <rPh sb="14" eb="16">
      <t>ジュチュウ</t>
    </rPh>
    <rPh sb="24" eb="26">
      <t>ジュチュウ</t>
    </rPh>
    <rPh sb="33" eb="35">
      <t>ジュチュウ</t>
    </rPh>
    <phoneticPr fontId="15"/>
  </si>
  <si>
    <t xml:space="preserve">  カード定価マスタ件数取得用テーブル.件数が1件の場合</t>
    <rPh sb="20" eb="22">
      <t>ケンスウ</t>
    </rPh>
    <rPh sb="24" eb="25">
      <t>ケン</t>
    </rPh>
    <rPh sb="26" eb="28">
      <t>バアイ</t>
    </rPh>
    <phoneticPr fontId="15"/>
  </si>
  <si>
    <t>　上記以外の場合</t>
    <rPh sb="1" eb="3">
      <t>ジョウキ</t>
    </rPh>
    <rPh sb="3" eb="5">
      <t>イガイ</t>
    </rPh>
    <rPh sb="6" eb="8">
      <t>バアイ</t>
    </rPh>
    <phoneticPr fontId="15"/>
  </si>
  <si>
    <t>　　　カード受注商品名  || '(複)'</t>
  </si>
  <si>
    <t>　　　（</t>
  </si>
  <si>
    <t>　　　取得項目</t>
  </si>
  <si>
    <t>　　　取得テーブル</t>
  </si>
  <si>
    <t>　　　　カード受注明細</t>
  </si>
  <si>
    <t>　　　結合テーブル（内部結合）</t>
  </si>
  <si>
    <t>　　　　カード定価マスタ</t>
  </si>
  <si>
    <t>　　　結合条件</t>
  </si>
  <si>
    <t>　　　取得条件</t>
  </si>
  <si>
    <t>　　　　カード受注明細.カード受注No = カード受注ヘッダ.カード受注No</t>
  </si>
  <si>
    <t>　　　ソート順</t>
  </si>
  <si>
    <t>　　　　カード受注明細No ASC</t>
  </si>
  <si>
    <t>　　　）</t>
  </si>
  <si>
    <t>　　　ROWNUM = 1</t>
  </si>
  <si>
    <t>上記以外の場合</t>
    <rPh sb="0" eb="2">
      <t>ジョウキ</t>
    </rPh>
    <rPh sb="2" eb="4">
      <t>イガイ</t>
    </rPh>
    <rPh sb="5" eb="7">
      <t>バアイ</t>
    </rPh>
    <phoneticPr fontId="15"/>
  </si>
  <si>
    <t>　商品マスタの商品名を取得</t>
    <rPh sb="1" eb="3">
      <t>ショウヒン</t>
    </rPh>
    <rPh sb="7" eb="10">
      <t>ショウヒンメイ</t>
    </rPh>
    <rPh sb="11" eb="13">
      <t>シュトク</t>
    </rPh>
    <phoneticPr fontId="15"/>
  </si>
  <si>
    <t>　※カード受注ヘッダ.カード管理種別CD = "01"～"08"の場合と同様に、0件、1件、2件以上で分岐</t>
    <rPh sb="36" eb="38">
      <t>ドウヨウ</t>
    </rPh>
    <rPh sb="41" eb="42">
      <t>ケン</t>
    </rPh>
    <rPh sb="44" eb="45">
      <t>ケン</t>
    </rPh>
    <rPh sb="47" eb="48">
      <t>ケン</t>
    </rPh>
    <rPh sb="48" eb="50">
      <t>イジョウ</t>
    </rPh>
    <rPh sb="51" eb="53">
      <t>ブンキ</t>
    </rPh>
    <phoneticPr fontId="15"/>
  </si>
  <si>
    <t>　　　　カード受注明細.商品CD(営業) = カード定価マスタ.カード定価管理CD</t>
    <phoneticPr fontId="15"/>
  </si>
  <si>
    <t>　　結合条件を　「カード受注明細.商品CD(営業) = カード定価マスタ.カード定価管理CD」　⇒　「カード受注明細.商品CD(商品) = 商品マスタ.商品CD」　に読み替え</t>
    <rPh sb="64" eb="66">
      <t>ショウヒン</t>
    </rPh>
    <rPh sb="70" eb="72">
      <t>ショウヒン</t>
    </rPh>
    <rPh sb="76" eb="78">
      <t>ショウヒン</t>
    </rPh>
    <rPh sb="83" eb="84">
      <t>ヨ</t>
    </rPh>
    <rPh sb="85" eb="86">
      <t>カ</t>
    </rPh>
    <phoneticPr fontId="15"/>
  </si>
  <si>
    <t>　　結合テーブルを「カード定価マスタ」　⇒　「商品マスタ」　に読み替え</t>
    <rPh sb="2" eb="4">
      <t>ケツゴウ</t>
    </rPh>
    <rPh sb="13" eb="15">
      <t>テイカ</t>
    </rPh>
    <rPh sb="23" eb="25">
      <t>ショウヒン</t>
    </rPh>
    <rPh sb="31" eb="32">
      <t>ヨ</t>
    </rPh>
    <rPh sb="33" eb="34">
      <t>カ</t>
    </rPh>
    <phoneticPr fontId="15"/>
  </si>
  <si>
    <t>　各受注に含まれるすべての受注明細のカード販売数量を合計した値</t>
    <rPh sb="1" eb="2">
      <t>カク</t>
    </rPh>
    <phoneticPr fontId="15"/>
  </si>
  <si>
    <t>　各受注に対する受注明細のうち、一番小さい明細番号の明細の「商品種類名」を代表値として1件取得する</t>
    <rPh sb="1" eb="2">
      <t>カク</t>
    </rPh>
    <rPh sb="5" eb="6">
      <t>タイ</t>
    </rPh>
    <phoneticPr fontId="15"/>
  </si>
  <si>
    <t>　各受注に対する受注明細のうち、一番小さい明細番号の明細の「カード販売単価」を代表値として1件取得する</t>
    <rPh sb="1" eb="2">
      <t>カク</t>
    </rPh>
    <rPh sb="5" eb="6">
      <t>タイ</t>
    </rPh>
    <rPh sb="33" eb="35">
      <t>ハンバイ</t>
    </rPh>
    <rPh sb="35" eb="37">
      <t>タンカ</t>
    </rPh>
    <phoneticPr fontId="15"/>
  </si>
  <si>
    <t>　各受注に対する受注明細について、全ての明細の会員番号枠依頼状態区分CDが"0","9","2"（未依頼）の場合は"未"を表示、全ての明細の会員番号枠依頼状態区分CDが"1"（依頼済）の場合は"依頼済"を表示、混在する場合は"一部済"を表示する。</t>
    <rPh sb="1" eb="2">
      <t>カク</t>
    </rPh>
    <rPh sb="2" eb="4">
      <t>ジュチュウ</t>
    </rPh>
    <rPh sb="5" eb="6">
      <t>タイ</t>
    </rPh>
    <rPh sb="8" eb="12">
      <t>ジュチュウメイサイ</t>
    </rPh>
    <phoneticPr fontId="15"/>
  </si>
  <si>
    <t>　各受注に対する受注明細について、全ての明細の会員番号枠回答状態区分CDが"0","9"（未回答）の場合は"未"を表示、全ての明細の会員番号枠依頼状態区分CDが"1","2"（回答済）の場合は"依頼済"を表示、混在する場合は"一部済"を表示する。</t>
    <rPh sb="1" eb="2">
      <t>カク</t>
    </rPh>
    <rPh sb="2" eb="4">
      <t>ジュチュウ</t>
    </rPh>
    <rPh sb="5" eb="6">
      <t>タイ</t>
    </rPh>
    <rPh sb="8" eb="12">
      <t>ジュチュウメイサイ</t>
    </rPh>
    <rPh sb="28" eb="30">
      <t>カイトウ</t>
    </rPh>
    <rPh sb="45" eb="48">
      <t>ミカイトウ</t>
    </rPh>
    <rPh sb="88" eb="90">
      <t>カイトウ</t>
    </rPh>
    <phoneticPr fontId="15"/>
  </si>
  <si>
    <t>受注No</t>
    <rPh sb="0" eb="2">
      <t>ジュチュウ</t>
    </rPh>
    <phoneticPr fontId="15"/>
  </si>
  <si>
    <t>注文No</t>
    <rPh sb="0" eb="2">
      <t>チュウモン</t>
    </rPh>
    <phoneticPr fontId="15"/>
  </si>
  <si>
    <t>ステータス</t>
    <phoneticPr fontId="15"/>
  </si>
  <si>
    <t>配送日(FROM)</t>
    <rPh sb="0" eb="3">
      <t>ハイソウビ</t>
    </rPh>
    <phoneticPr fontId="15"/>
  </si>
  <si>
    <t>配送日(TO)</t>
    <rPh sb="0" eb="3">
      <t>ハイソウビ</t>
    </rPh>
    <phoneticPr fontId="15"/>
  </si>
  <si>
    <t>注文日(FROM)</t>
    <rPh sb="0" eb="3">
      <t>チュウモンビ</t>
    </rPh>
    <phoneticPr fontId="15"/>
  </si>
  <si>
    <t>注文日(TO)</t>
    <rPh sb="0" eb="3">
      <t>チュウモンビ</t>
    </rPh>
    <phoneticPr fontId="15"/>
  </si>
  <si>
    <t>受注日(FROM)</t>
    <rPh sb="0" eb="2">
      <t>ジュチュウ</t>
    </rPh>
    <rPh sb="2" eb="3">
      <t>ビ</t>
    </rPh>
    <phoneticPr fontId="15"/>
  </si>
  <si>
    <t>受注日(TO)</t>
    <rPh sb="0" eb="2">
      <t>ジュチュウ</t>
    </rPh>
    <rPh sb="2" eb="3">
      <t>ビ</t>
    </rPh>
    <phoneticPr fontId="15"/>
  </si>
  <si>
    <t>受注受付日(FROM)</t>
    <rPh sb="0" eb="2">
      <t>ジュチュウ</t>
    </rPh>
    <rPh sb="2" eb="4">
      <t>ウケツケ</t>
    </rPh>
    <rPh sb="4" eb="5">
      <t>ビ</t>
    </rPh>
    <phoneticPr fontId="15"/>
  </si>
  <si>
    <t>受注受付日(TO)</t>
    <rPh sb="0" eb="2">
      <t>ジュチュウ</t>
    </rPh>
    <rPh sb="2" eb="4">
      <t>ウケツケ</t>
    </rPh>
    <rPh sb="4" eb="5">
      <t>ビ</t>
    </rPh>
    <phoneticPr fontId="15"/>
  </si>
  <si>
    <t>営業部門</t>
    <rPh sb="0" eb="4">
      <t>エイギョウブモン</t>
    </rPh>
    <phoneticPr fontId="15"/>
  </si>
  <si>
    <t>営業担当者</t>
    <rPh sb="0" eb="5">
      <t>エイギョウタントウシャ</t>
    </rPh>
    <phoneticPr fontId="15"/>
  </si>
  <si>
    <t>法人/店舗/ホール区分</t>
    <phoneticPr fontId="15"/>
  </si>
  <si>
    <t>法人/店舗/ホールコード</t>
    <phoneticPr fontId="15"/>
  </si>
  <si>
    <t>法人/店舗/ホール名</t>
    <phoneticPr fontId="15"/>
  </si>
  <si>
    <t>注文区分</t>
    <rPh sb="0" eb="2">
      <t>チュウモン</t>
    </rPh>
    <rPh sb="2" eb="4">
      <t>クブン</t>
    </rPh>
    <phoneticPr fontId="15"/>
  </si>
  <si>
    <t>一般／会員</t>
    <rPh sb="0" eb="2">
      <t>イッパン</t>
    </rPh>
    <rPh sb="3" eb="5">
      <t>カイイン</t>
    </rPh>
    <phoneticPr fontId="15"/>
  </si>
  <si>
    <t>導入システム</t>
    <rPh sb="0" eb="2">
      <t>ドウニュウ</t>
    </rPh>
    <phoneticPr fontId="15"/>
  </si>
  <si>
    <t>会員管理会社</t>
    <phoneticPr fontId="15"/>
  </si>
  <si>
    <t>差戻理由あり</t>
    <rPh sb="0" eb="2">
      <t>サシモドシ</t>
    </rPh>
    <rPh sb="2" eb="4">
      <t>リユウ</t>
    </rPh>
    <phoneticPr fontId="15"/>
  </si>
  <si>
    <t>ステータス取消も含む</t>
    <phoneticPr fontId="15"/>
  </si>
  <si>
    <t>　　　　カード定価マスタ.カード受注商品名</t>
    <phoneticPr fontId="15"/>
  </si>
  <si>
    <t>　ホール契約マスタ</t>
  </si>
  <si>
    <t>　ホール管理マスタ</t>
  </si>
  <si>
    <t>　ホール・店舗紐付マスタ</t>
  </si>
  <si>
    <t>　ホール・法人・決済相手先紐付マスタ</t>
  </si>
  <si>
    <t>　商品マスタ</t>
    <rPh sb="1" eb="3">
      <t>ショウヒン</t>
    </rPh>
    <phoneticPr fontId="15"/>
  </si>
  <si>
    <t>業務日付</t>
    <rPh sb="0" eb="2">
      <t>ギョウム</t>
    </rPh>
    <rPh sb="2" eb="4">
      <t>ヒヅ</t>
    </rPh>
    <phoneticPr fontId="15"/>
  </si>
  <si>
    <t>カード受注No</t>
    <rPh sb="3" eb="5">
      <t>ジュチュウ</t>
    </rPh>
    <phoneticPr fontId="15"/>
  </si>
  <si>
    <t>■代表商品の取得について</t>
    <rPh sb="1" eb="5">
      <t>ダイヒョウショウヒン</t>
    </rPh>
    <rPh sb="6" eb="8">
      <t>シュトク</t>
    </rPh>
    <phoneticPr fontId="15"/>
  </si>
  <si>
    <t>■商品種類名の取得について</t>
    <rPh sb="1" eb="3">
      <t>ショウヒン</t>
    </rPh>
    <rPh sb="3" eb="5">
      <t>シュルイ</t>
    </rPh>
    <rPh sb="5" eb="6">
      <t>メイ</t>
    </rPh>
    <rPh sb="7" eb="9">
      <t>シュトク</t>
    </rPh>
    <phoneticPr fontId="15"/>
  </si>
  <si>
    <t>■カード販売数の取得について</t>
    <rPh sb="8" eb="10">
      <t>シュトク</t>
    </rPh>
    <phoneticPr fontId="15"/>
  </si>
  <si>
    <t>■会員番号枠依頼状態区分名の取得について</t>
    <rPh sb="1" eb="3">
      <t>カイイン</t>
    </rPh>
    <rPh sb="3" eb="5">
      <t>バンゴウ</t>
    </rPh>
    <rPh sb="5" eb="6">
      <t>ワク</t>
    </rPh>
    <rPh sb="6" eb="8">
      <t>イライ</t>
    </rPh>
    <rPh sb="8" eb="10">
      <t>ジョウタイ</t>
    </rPh>
    <rPh sb="10" eb="12">
      <t>クブン</t>
    </rPh>
    <rPh sb="12" eb="13">
      <t>メイ</t>
    </rPh>
    <rPh sb="14" eb="16">
      <t>シュトク</t>
    </rPh>
    <phoneticPr fontId="15"/>
  </si>
  <si>
    <t>■会員番号枠回答状態区分名の取得について</t>
    <rPh sb="1" eb="3">
      <t>カイイン</t>
    </rPh>
    <rPh sb="3" eb="5">
      <t>バンゴウ</t>
    </rPh>
    <rPh sb="5" eb="6">
      <t>ワク</t>
    </rPh>
    <rPh sb="6" eb="8">
      <t>カイトウ</t>
    </rPh>
    <rPh sb="8" eb="10">
      <t>ジョウタイ</t>
    </rPh>
    <rPh sb="10" eb="12">
      <t>クブン</t>
    </rPh>
    <rPh sb="12" eb="13">
      <t>メイ</t>
    </rPh>
    <rPh sb="14" eb="16">
      <t>シュトク</t>
    </rPh>
    <phoneticPr fontId="15"/>
  </si>
  <si>
    <t>■パラメータは以下の内容</t>
    <rPh sb="7" eb="9">
      <t>イカ</t>
    </rPh>
    <rPh sb="10" eb="12">
      <t>ナイヨウ</t>
    </rPh>
    <phoneticPr fontId="15"/>
  </si>
  <si>
    <t>select</t>
    <phoneticPr fontId="15"/>
  </si>
  <si>
    <t>CARD_ACCEPT_NO</t>
  </si>
  <si>
    <t>CARD_REQUEST_NO</t>
  </si>
  <si>
    <t>STATUS_NAME</t>
  </si>
  <si>
    <t>HALL_CD</t>
  </si>
  <si>
    <t>HALL_NAME</t>
  </si>
  <si>
    <t>ITEM_NAME</t>
  </si>
  <si>
    <t>ITEM_TYPE_NAME</t>
  </si>
  <si>
    <t>CARD_SELL_UPRICE</t>
  </si>
  <si>
    <t>CARD_SELL_CNT</t>
  </si>
  <si>
    <t>CARD_DLVY_DT</t>
  </si>
  <si>
    <t>ORDER_DT</t>
  </si>
  <si>
    <t>ACCEPT_DT</t>
  </si>
  <si>
    <t>RECEIPT_DT</t>
  </si>
  <si>
    <t>MBRMGT_COMPANY_NAME</t>
  </si>
  <si>
    <t>SALES_ORGANIZATION_NAME</t>
  </si>
  <si>
    <t>SALES_EMPLY_NAME</t>
  </si>
  <si>
    <t>RETURN_REASON</t>
  </si>
  <si>
    <t xml:space="preserve">                    )</t>
  </si>
  <si>
    <t xml:space="preserve">                /* 法人系 */</t>
  </si>
  <si>
    <t xml:space="preserve">                /* ホール自社担当者～組織～社員 */</t>
  </si>
  <si>
    <t xml:space="preserve">                /* 明細件数（代表商品名の分岐用） */</t>
  </si>
  <si>
    <t xml:space="preserve">                1 = 1</t>
  </si>
  <si>
    <t xml:space="preserve">                &lt;&lt;IF_DATE_TYPE_1_1($$$SRC_SERACH_DATE_TYPE$$$ &lt;&gt; "(Nothing)")&gt;&gt;</t>
  </si>
  <si>
    <t xml:space="preserve">                &lt;&lt;IF_DATE_TYPE_1_2($$$SRC_SERACH_DATE_TYPE$$$.LENGTH &lt;&gt; "0")&gt;&gt;</t>
  </si>
  <si>
    <t xml:space="preserve">                &lt;&lt;IF_DATE_TYPE_1_3($$$SRC_SERACH_DATE_TYPE$$$ = "1")&gt;&gt;</t>
  </si>
  <si>
    <t xml:space="preserve">                &lt;&lt;IF_DATE_TYPE_FROM_1($$$SRC_DATE_TYPE_1_FROM$$$.LENGTH &lt;&gt; "0")&gt;&gt;</t>
  </si>
  <si>
    <t xml:space="preserve">                    AND CKT0301_ACCEPT_HDR.APPLY_DT &gt;= $$$str.SRC_DATE_TYPE_1_FROM$$$    -- From</t>
  </si>
  <si>
    <t xml:space="preserve">                &lt;&lt;ENDIF_DATE_TYPE_FROM_1&gt;&gt;</t>
  </si>
  <si>
    <t xml:space="preserve">                &lt;&lt;IF_DATE_TYPE_TO_1($$$SRC_DATE_TYPE_1_TO$$$.LENGTH &lt;&gt; "0")&gt;&gt;</t>
  </si>
  <si>
    <t xml:space="preserve">                    AND CKT0301_ACCEPT_HDR.APPLY_DT &lt;= $$$str.SRC_DATE_TYPE_1_TO$$$      -- To</t>
  </si>
  <si>
    <t xml:space="preserve">                &lt;&lt;ENDIF_DATE_TYPE_TO_1&gt;&gt;</t>
  </si>
  <si>
    <t xml:space="preserve">                &lt;&lt;ENDIF_DATE_TYPE_1_3&gt;&gt;</t>
  </si>
  <si>
    <t xml:space="preserve">                &lt;&lt;ENDIF_DATE_TYPE_1_2&gt;&gt;</t>
  </si>
  <si>
    <t xml:space="preserve">                &lt;&lt;ENDIF_DATE_TYPE_1_1&gt;&gt;</t>
  </si>
  <si>
    <t xml:space="preserve">                &lt;&lt;IF_DATE_TYPE_2_1($$$SRC_SERACH_DATE_TYPE$$$ &lt;&gt; "(Nothing)")&gt;&gt;</t>
  </si>
  <si>
    <t xml:space="preserve">                &lt;&lt;IF_DATE_TYPE_2_2($$$SRC_SERACH_DATE_TYPE$$$.LENGTH &lt;&gt; "0")&gt;&gt;</t>
  </si>
  <si>
    <t xml:space="preserve">                &lt;&lt;IF_DATE_TYPE_2_3($$$SRC_SERACH_DATE_TYPE$$$ = "2")&gt;&gt;</t>
  </si>
  <si>
    <t xml:space="preserve">                &lt;&lt;IF_DATE_TYPE_FROM_2($$$SRC_DATE_TYPE_1_FROM$$$.LENGTH &lt;&gt; "0")&gt;&gt;</t>
  </si>
  <si>
    <t xml:space="preserve">                    AND CKT0301_ACCEPT_HDR.FIX_DT &gt;= $$$str.SRC_DATE_TYPE_1_FROM$$$</t>
  </si>
  <si>
    <t xml:space="preserve">                &lt;&lt;ENDIF_DATE_TYPE_FROM_2&gt;&gt;</t>
  </si>
  <si>
    <t xml:space="preserve">                &lt;&lt;IF_DATE_TYPE_TO_2($$$SRC_DATE_TYPE_1_TO$$$.LENGTH &lt;&gt; "0")&gt;&gt;</t>
  </si>
  <si>
    <t xml:space="preserve">                    AND CKT0301_ACCEPT_HDR.FIX_DT &lt;= $$$str.SRC_DATE_TYPE_1_TO$$$</t>
  </si>
  <si>
    <t xml:space="preserve">                &lt;&lt;ENDIF_DATE_TYPE_TO_2&gt;&gt;</t>
  </si>
  <si>
    <t xml:space="preserve">                &lt;&lt;ENDIF_DATE_TYPE_2_3&gt;&gt;</t>
  </si>
  <si>
    <t xml:space="preserve">                &lt;&lt;ENDIF_DATE_TYPE_2_2&gt;&gt;</t>
  </si>
  <si>
    <t xml:space="preserve">                &lt;&lt;ENDIF_DATE_TYPE_2_1&gt;&gt;</t>
  </si>
  <si>
    <t xml:space="preserve">                &lt;&lt;IF_DATE_TYPE_3_1($$$SRC_SERACH_DATE_TYPE$$$ &lt;&gt; "(Nothing)")&gt;&gt;</t>
  </si>
  <si>
    <t xml:space="preserve">                &lt;&lt;IF_DATE_TYPE_3_2($$$SRC_SERACH_DATE_TYPE$$$.LENGTH &lt;&gt; "0")&gt;&gt;</t>
  </si>
  <si>
    <t xml:space="preserve">                &lt;&lt;IF_DATE_TYPE_3_3($$$SRC_SERACH_DATE_TYPE$$$ = "3")&gt;&gt;</t>
  </si>
  <si>
    <t xml:space="preserve">                &lt;&lt;IF_DATE_TYPE_FROM_3($$$SRC_DATE_TYPE_1_FROM$$$.LENGTH &lt;&gt; "0")&gt;&gt;</t>
  </si>
  <si>
    <t xml:space="preserve">                    AND CKT0301_ACCEPT_HDR.RECEIPT_DT &gt;= $$$str.SRC_DATE_TYPE_1_FROM$$$</t>
  </si>
  <si>
    <t xml:space="preserve">                &lt;&lt;ENDIF_DATE_TYPE_FROM_3&gt;&gt;</t>
  </si>
  <si>
    <t xml:space="preserve">                &lt;&lt;IF_DATE_TYPE_TO_3($$$SRC_DATE_TYPE_1_TO$$$.LENGTH &lt;&gt; "0")&gt;&gt;</t>
  </si>
  <si>
    <t xml:space="preserve">                    AND CKT0301_ACCEPT_HDR.RECEIPT_DT &lt;= $$$str.SRC_DATE_TYPE_1_TO$$$</t>
  </si>
  <si>
    <t xml:space="preserve">                &lt;&lt;ENDIF_DATE_TYPE_TO_3&gt;&gt;</t>
  </si>
  <si>
    <t xml:space="preserve">                &lt;&lt;ENDIF_DATE_TYPE_3_3&gt;&gt;</t>
  </si>
  <si>
    <t xml:space="preserve">                &lt;&lt;ENDIF_DATE_TYPE_3_2&gt;&gt;</t>
  </si>
  <si>
    <t xml:space="preserve">                &lt;&lt;ENDIF_DATE_TYPE_3_1&gt;&gt;-- 営業部（部）</t>
  </si>
  <si>
    <t xml:space="preserve">                &lt;&lt;IF_SALES_DEPT_NAME_1_1($$$SRC_SALES_GROUPS_CD$$$ &lt;&gt; "(Nothing)")&gt;&gt;</t>
  </si>
  <si>
    <t xml:space="preserve">                &lt;&lt;IF_SALES_DEPT_NAME_1_2($$$SRC_SALES_GROUPS_CD$$$.LENGTH &lt;&gt; "0")&gt;&gt;</t>
  </si>
  <si>
    <t xml:space="preserve">                    AND T8.ORGN_CD = $$$str.SRC_SALES_GROUPS_CD$$$  -- 部（単一）</t>
  </si>
  <si>
    <t xml:space="preserve">                &lt;&lt;ENDIF_SALES_DEPT_NAME_1_2&gt;&gt;</t>
  </si>
  <si>
    <t xml:space="preserve">                &lt;&lt;ENDIF_SALES_DEPT_NAME_1_1&gt;&gt;</t>
  </si>
  <si>
    <t xml:space="preserve">                -- 営業課（課）</t>
  </si>
  <si>
    <t xml:space="preserve">                &lt;&lt;IF_SALES_SECT_NAME_1_1($$$SRC_SALES_SECTION_KBN$$$ &lt;&gt; "(Nothing)")&gt;&gt;</t>
  </si>
  <si>
    <t xml:space="preserve">                &lt;&lt;IF_SALES_SECT_NAME_1_2($$$SRC_SALES_SECTION_KBN$$$.LENGTH &lt;&gt; "0")&gt;&gt;</t>
  </si>
  <si>
    <t xml:space="preserve">                    AND T9.ORGN_CD = $$$str.SRC_SALES_SECTION_KBN$$$  -- 課（単一）</t>
  </si>
  <si>
    <t xml:space="preserve">                &lt;&lt;ENDIF_SALES_SECT_NAME_1_2&gt;&gt;</t>
  </si>
  <si>
    <t xml:space="preserve">                &lt;&lt;ENDIF_SALES_SECT_NAME_1_1&gt;&gt;</t>
  </si>
  <si>
    <t xml:space="preserve">                -- 営業担当者（氏名一致）</t>
  </si>
  <si>
    <t xml:space="preserve">                &lt;&lt;IF_SALES_REP_EMPLY_NAME1_1($$$SALES_REP_EMPLY_NAME$$$ &lt;&gt; "(Nothing)")&gt;&gt;</t>
  </si>
  <si>
    <t xml:space="preserve">                &lt;&lt;IF_SALES_REP_EMPLY_NAME1_2($$$SALES_REP_EMPLY_NAME$$$.LENGTH &lt;&gt; "0")&gt;&gt;</t>
  </si>
  <si>
    <t xml:space="preserve">                    AND T10.EMPLY_NAME = $$$str.SALES_REP_EMPLY_NAME$$$</t>
  </si>
  <si>
    <t xml:space="preserve">                &lt;&lt;ENDIF_SALES_REP_EMPLY_NAME1_2&gt;&gt;</t>
  </si>
  <si>
    <t xml:space="preserve">                &lt;&lt;ENDIF_SALES_REP_EMPLY_NAME1_1&gt;&gt;</t>
  </si>
  <si>
    <t xml:space="preserve">                -- 絞り込み：法人／店舗／ホールの選択（1: 法人, 2: 店舗, 3: ホール）</t>
  </si>
  <si>
    <t xml:space="preserve">                &lt;&lt;IF_SALES_REP_EMPLY_NAME_1_1($$$COMPANY_SHOP_HALL_SELECT$$$ &lt;&gt; "(Nothing)")&gt;&gt;</t>
  </si>
  <si>
    <t xml:space="preserve">                &lt;&lt;IF_SALES_REP_EMPLY_NAME_1_2($$$COMPANY_SHOP_HALL_CD$$$ &lt;&gt; "(Nothing)")&gt;&gt;</t>
  </si>
  <si>
    <t xml:space="preserve">                -- 1: 法人選択</t>
  </si>
  <si>
    <t xml:space="preserve">                &lt;&lt;IF_COMPANY_SHOP_HALL_SELECT_1_3($$$COMPANY_SHOP_HALL_SELECT$$$ = "1")&gt;&gt;</t>
  </si>
  <si>
    <t xml:space="preserve">                &lt;&lt;IF_COMPANY_SHOP_HALL_CD_1_4($$$COMPANY_SHOP_HALL_CD$$$.LENGTH &lt;&gt; "0")&gt;&gt;</t>
  </si>
  <si>
    <t xml:space="preserve">                    AND CKT0301_ACCEPT_HDR.HALL_CD = MTM3410_HL_CORP_STL.HALL_CD</t>
  </si>
  <si>
    <t xml:space="preserve">                    AND MTM3410_HL_CORP_STL.COMPANY_CD IN ($$$str.COMPANY_SHOP_HALL_CD$$$)</t>
  </si>
  <si>
    <t xml:space="preserve">                &lt;&lt;ENDIF_COMPANY_SHOP_HALL_CD_1_4&gt;&gt;</t>
  </si>
  <si>
    <t xml:space="preserve">                &lt;&lt;ENDIF_COMPANY_SHOP_HALL_SELECT_1_3&gt;&gt;</t>
  </si>
  <si>
    <t xml:space="preserve">                -- 2: 店舗選択</t>
  </si>
  <si>
    <t xml:space="preserve">                &lt;&lt;IF_COMPANY_SHOP_HALL_SELECT_2_3($$$COMPANY_SHOP_HALL_SELECT$$$ = "2")&gt;&gt;</t>
  </si>
  <si>
    <t xml:space="preserve">                &lt;&lt;IF_COMPANY_SHOP_HALL_CD_2_4($$$COMPANY_SHOP_HALL_CD$$$.LENGTH &lt;&gt; "0")&gt;&gt;</t>
  </si>
  <si>
    <t xml:space="preserve">                    AND CKT0301_ACCEPT_HDR.HALL_CD = MTM3420_HL_MEM_MNG.HALL_CD</t>
  </si>
  <si>
    <t xml:space="preserve">                    AND MTM3420_HL_MEM_MNG.SHOP_CD IN ($$$str.COMPANY_SHOP_HALL_CD$$$)</t>
  </si>
  <si>
    <t xml:space="preserve">                &lt;&lt;ENDIF_COMPANY_SHOP_HALL_CD_2_4&gt;&gt;</t>
  </si>
  <si>
    <t xml:space="preserve">                &lt;&lt;ENDIF_COMPANY_SHOP_HALL_SELECT_2_3&gt;&gt;</t>
  </si>
  <si>
    <t xml:space="preserve">                -- 3: ホール選択</t>
  </si>
  <si>
    <t xml:space="preserve">                &lt;&lt;IF_COMPANY_SHOP_HALL_SELECT_3_3($$$COMPANY_SHOP_HALL_SELECT$$$ = "3")&gt;&gt;</t>
  </si>
  <si>
    <t xml:space="preserve">                &lt;&lt;IF_COMPANY_SHOP_HALL_CD_3_4($$$COMPANY_SHOP_HALL_CD$$$.LENGTH &lt;&gt; "0")&gt;&gt;</t>
  </si>
  <si>
    <t xml:space="preserve">                    AND CKT0301_ACCEPT_HDR.HALL_CD = $$$str.COMPANY_SHOP_HALL_CD$$$</t>
  </si>
  <si>
    <t xml:space="preserve">                &lt;&lt;ENDIF_COMPANY_SHOP_HALL_CD_3_4&gt;&gt;</t>
  </si>
  <si>
    <t xml:space="preserve">                &lt;&lt;ENDIF_COMPANY_SHOP_HALL_SELECT_3_3&gt;&gt;</t>
  </si>
  <si>
    <t xml:space="preserve">                &lt;&lt;ENDIF_SALES_REP_EMPLY_NAME_1_2&gt;&gt;</t>
  </si>
  <si>
    <t xml:space="preserve">                &lt;&lt;ENDIF_SALES_REP_EMPLY_NAME_1_1&gt;&gt;</t>
  </si>
  <si>
    <t xml:space="preserve">                -- 区分類の直接指定</t>
  </si>
  <si>
    <t xml:space="preserve">                &lt;&lt;IF_ORDER_KBN_1_1($$$ORDER_KBN$$$ &lt;&gt; "(Nothing)")&gt;&gt;</t>
  </si>
  <si>
    <t xml:space="preserve">                &lt;&lt;IF_ORDER_KBN_1_2($$$ORDER_KBN$$$.LENGTH &lt;&gt; "0")&gt;&gt;</t>
  </si>
  <si>
    <t xml:space="preserve">                    AND CKT0301_ACCEPT_HDR.ORDER_KBN = $$$str.ORDER_KBN$$$</t>
  </si>
  <si>
    <t xml:space="preserve">                &lt;&lt;ENDIF_ORDER_KBN_1_2&gt;&gt;</t>
  </si>
  <si>
    <t xml:space="preserve">                &lt;&lt;ENDIF_ORDER_KBN_1_1&gt;&gt;</t>
  </si>
  <si>
    <t xml:space="preserve">                &lt;&lt;IF_GENERAL_MNBR_KBN_1_1($$$GENERAL_MNBR_KBN$$$ &lt;&gt; "(Nothing)")&gt;&gt;</t>
  </si>
  <si>
    <t xml:space="preserve">                &lt;&lt;IF_GENERAL_MNBR_KBN_1_2($$$GENERAL_MNBR_KBN$$$.LENGTH &lt;&gt; "0")&gt;&gt;</t>
  </si>
  <si>
    <t xml:space="preserve">                    AND CKT0301_ACCEPT_HDR.GENERAL_MNBR_KBN = $$$str.GENERAL_MNBR_KBN$$$</t>
  </si>
  <si>
    <t xml:space="preserve">                &lt;&lt;ENDIF_GENERAL_MNBR_KBN_1_2&gt;&gt;</t>
  </si>
  <si>
    <t xml:space="preserve">                &lt;&lt;ENDIF_GENERAL_MNBR_KBN_1_1&gt;&gt;</t>
  </si>
  <si>
    <t xml:space="preserve">                &lt;&lt;IF_SYSTEM_DETAIL_KBN_1_1($$$SYSTEM_DETAIL_KBN$$$ &lt;&gt; "(Nothing)")&gt;&gt;</t>
  </si>
  <si>
    <t xml:space="preserve">                &lt;&lt;IF_SYSTEM_DETAIL_KBN_1_2($$$SYSTEM_DETAIL_KBN$$$.LENGTH &lt;&gt; "0")&gt;&gt;</t>
  </si>
  <si>
    <t xml:space="preserve">                    AND TRIM(CKT0301_ACCEPT_HDR.SYSTEM_DETAIL_KBN) = $$$str.SYSTEM_DETAIL_KBN$$$</t>
  </si>
  <si>
    <t xml:space="preserve">                &lt;&lt;ENDIF_SYSTEM_DETAIL_KBN_1_2&gt;&gt;</t>
  </si>
  <si>
    <t xml:space="preserve">                &lt;&lt;ENDIF_SYSTEM_DETAIL_KBN_1_1&gt;&gt;</t>
  </si>
  <si>
    <t xml:space="preserve">                &lt;&lt;IF_PICTURE_ATTACH_KBN_1_1($$$PICTURE_ATTACH_KBN$$$ &lt;&gt; "(Nothing)")&gt;&gt;</t>
  </si>
  <si>
    <t xml:space="preserve">                &lt;&lt;IF_PICTURE_ATTACH_KBN_1_2($$$PICTURE_ATTACH_KBN$$$.LENGTH &lt;&gt; "0")&gt;&gt;</t>
  </si>
  <si>
    <t xml:space="preserve">                    AND CKT0301_ACCEPT_HDR.PICTURE_ATTACH_FLG = $$$str.PICTURE_ATTACH_KBN$$$</t>
  </si>
  <si>
    <t xml:space="preserve">                &lt;&lt;ENDIF_PICTURE_ATTACH_KBN_1_2&gt;&gt;</t>
  </si>
  <si>
    <t xml:space="preserve">                &lt;&lt;ENDIF_PICTURE_ATTACH_KBN_1_1&gt;&gt;</t>
  </si>
  <si>
    <t xml:space="preserve">                &lt;&lt;IF_INTRODUCE_SYSTEM_KBN_1_1($$$INTRODUCE_SYSTEM_KBN$$$ &lt;&gt; "(Nothing)")&gt;&gt;</t>
  </si>
  <si>
    <t xml:space="preserve">                &lt;&lt;IF_INTRODUCE_SYSTEM_KBN_1_2($$$INTRODUCE_SYSTEM_KBN$$$.LENGTH &lt;&gt; "0")&gt;&gt;</t>
  </si>
  <si>
    <t xml:space="preserve">                    AND CKT0301_ACCEPT_HDR.INTRODUCE_SYSTEM_KBN = $$$str.INTRODUCE_SYSTEM_KBN$$$</t>
  </si>
  <si>
    <t xml:space="preserve">                &lt;&lt;ENDIF_INTRODUCE_SYSTEM_KBN_1_2&gt;&gt;</t>
  </si>
  <si>
    <t xml:space="preserve">                &lt;&lt;ENDIF_INTRODUCE_SYSTEM_KBN_1_1&gt;&gt;</t>
  </si>
  <si>
    <t xml:space="preserve">                -- 会員管理会社（プロファイル）による絞込</t>
  </si>
  <si>
    <t xml:space="preserve">                &lt;&lt;IF_MBRMGT_COMPANY_1_1($$$MBRMGT_COMPANY$$$ &lt;&gt; "(Nothing)")&gt;&gt;</t>
  </si>
  <si>
    <t xml:space="preserve">                &lt;&lt;IF_MBRMGT_COMPANY_1_2($$$MBRMGT_COMPANY$$$.LENGTH &lt;&gt; "0")&gt;&gt;</t>
  </si>
  <si>
    <t xml:space="preserve">                    AND CKT0301_ACCEPT_HDR.MBRMGT_COMPANY_PROFILE_CD IN (</t>
  </si>
  <si>
    <t xml:space="preserve">                        SELECT MBRMGT_COMPANY_PROFILE_CD</t>
  </si>
  <si>
    <t xml:space="preserve">                        FROM CKM0104_MEM_CRP_MNG</t>
  </si>
  <si>
    <t xml:space="preserve">                        WHERE MEMBER_COMPANY_CD = $$$str.MBRMGT_COMPANY$$$</t>
  </si>
  <si>
    <t xml:space="preserve">                &lt;&lt;ENDIF_MBRMGT_COMPANY_1_2&gt;&gt;</t>
  </si>
  <si>
    <t xml:space="preserve">                &lt;&lt;ENDIF_MBRMGT_COMPANY_1_1&gt;&gt;</t>
  </si>
  <si>
    <t xml:space="preserve">                -- 価格変更有無</t>
  </si>
  <si>
    <t xml:space="preserve">                &lt;&lt;IF_PRICE_CHANGABLE_KBN_1_1($$$PRICE_CHANGABLE_KBN$$$ &lt;&gt; "(Nothing)")&gt;&gt;</t>
  </si>
  <si>
    <t xml:space="preserve">                &lt;&lt;IF_PRICE_CHANGABLE_KBN_1_2($$$PRICE_CHANGABLE_KBN$$$.LENGTH &lt;&gt; "0")&gt;&gt;</t>
  </si>
  <si>
    <t xml:space="preserve">                    AND CKT0301_ACCEPT_HDR.PRICE_CHANGABLE_KBN = $$$str.PRICE_CHANGABLE_KBN$$$</t>
  </si>
  <si>
    <t xml:space="preserve">                &lt;&lt;ENDIF_PRICE_CHANGABLE_KBN_1_2&gt;&gt;</t>
  </si>
  <si>
    <t xml:space="preserve">                &lt;&lt;ENDIF_PRICE_CHANGABLE_KBN_1_1&gt;&gt;</t>
  </si>
  <si>
    <t xml:space="preserve">                -- 申請管理番号（有無）</t>
  </si>
  <si>
    <t xml:space="preserve">                &lt;&lt;IF_PETITION_MANAGE_NO_1_1($$$PETITION_MANAGE_NO$$$ &lt;&gt; "(Nothing)")&gt;&gt;</t>
  </si>
  <si>
    <t xml:space="preserve">                &lt;&lt;IF_PETITION_MANAGE_NO_1_2($$$PETITION_MANAGE_NO$$$.LENGTH &lt;&gt; "0")&gt;&gt;</t>
  </si>
  <si>
    <t xml:space="preserve">                &lt;&lt;IF_PETITION_MANAGE_NO_1_3($$$PETITION_MANAGE_NO$$$ = "0")&gt;&gt;</t>
  </si>
  <si>
    <t xml:space="preserve">                    AND TRIM(CKT0301_ACCEPT_HDR.PETITION_MANAGE_NO) IS NULL</t>
  </si>
  <si>
    <t xml:space="preserve">                &lt;&lt;ENDIF_PETITION_MANAGE_NO_1_3&gt;&gt;</t>
  </si>
  <si>
    <t xml:space="preserve">                &lt;&lt;ENDIF_PETITION_MANAGE_NO_1_2&gt;&gt;</t>
  </si>
  <si>
    <t xml:space="preserve">                &lt;&lt;ENDIF_PETITION_MANAGE_NO_1_1&gt;&gt;</t>
  </si>
  <si>
    <t xml:space="preserve">                &lt;&lt;IF_PETITION_MANAGE_NO_2_1($$$PETITION_MANAGE_NO$$$ &lt;&gt; "(Nothing)")&gt;&gt;</t>
  </si>
  <si>
    <t xml:space="preserve">                &lt;&lt;IF_PETITION_MANAGE_NO_2_2($$$PETITION_MANAGE_NO$$$.LENGTH &lt;&gt; "0")&gt;&gt;</t>
  </si>
  <si>
    <t xml:space="preserve">                &lt;&lt;IF_PETITION_MANAGE_NO_2_3($$$PETITION_MANAGE_NO$$$ = "1")&gt;&gt;</t>
  </si>
  <si>
    <t xml:space="preserve">                    AND TRIM(CKT0301_ACCEPT_HDR.PETITION_MANAGE_NO) IS NOT NULL</t>
  </si>
  <si>
    <t xml:space="preserve">                &lt;&lt;ENDIF_PETITION_MANAGE_NO_2_3&gt;&gt;</t>
  </si>
  <si>
    <t xml:space="preserve">                &lt;&lt;ENDIF_PETITION_MANAGE_NO_2_2&gt;&gt;</t>
  </si>
  <si>
    <t xml:space="preserve">                &lt;&lt;ENDIF_PETITION_MANAGE_NO_2_1&gt;&gt;-- &lt;ソート順が申込日で昇順の場合&gt;</t>
  </si>
  <si>
    <t xml:space="preserve">                &lt;&lt;IF_FW_SORT_ORDER1_1($$$FW_SORT_ORDER$$$ &lt;&gt; "(Nothing)")&gt;&gt;</t>
  </si>
  <si>
    <t xml:space="preserve">                &lt;&lt;IF_FW_SORT_ORDER1_2($$$FW_SORT_ORDER$$$.LENGTH &lt;&gt; "0")&gt;&gt;</t>
  </si>
  <si>
    <t xml:space="preserve">                &lt;&lt;IF_FW_SORT_ORDER1_3($$$FW_SORT_ORDER$$$ = "1")&gt;&gt;</t>
  </si>
  <si>
    <t xml:space="preserve">                &lt;&lt;IF_FW_SORT_ORDER1_4($$$SRC_SORT_LIST$$$ = "1")&gt;&gt;</t>
  </si>
  <si>
    <t xml:space="preserve">                    ORDER BY CKT0301_ACCEPT_HDR.APPLY_DT ASC</t>
  </si>
  <si>
    <t xml:space="preserve">                &lt;&lt;ENDIF_FW_SORT_ORDER1_4&gt;&gt;</t>
  </si>
  <si>
    <t xml:space="preserve">                &lt;&lt;ENDIF_FW_SORT_ORDER1_3&gt;&gt;</t>
  </si>
  <si>
    <t xml:space="preserve">                &lt;&lt;ENDIF_FW_SORT_ORDER1_2&gt;&gt;</t>
  </si>
  <si>
    <t xml:space="preserve">                &lt;&lt;ENDIF_FW_SORT_ORDER1_1&gt;&gt;</t>
  </si>
  <si>
    <t xml:space="preserve">                -- &lt;ソート順が申込日で降順の場合&gt;</t>
  </si>
  <si>
    <t xml:space="preserve">                &lt;&lt;IF_FW_SORT_ORDER2_1($$$FW_SORT_ORDER$$$ &lt;&gt; "(Nothing)")&gt;&gt;</t>
  </si>
  <si>
    <t xml:space="preserve">                &lt;&lt;IF_FW_SORT_ORDER2_2($$$FW_SORT_ORDER$$$.LENGTH &lt;&gt; "0")&gt;&gt;</t>
  </si>
  <si>
    <t xml:space="preserve">                &lt;&lt;IF_FW_SORT_ORDER2_3($$$FW_SORT_ORDER$$$ = "2")&gt;&gt;</t>
  </si>
  <si>
    <t xml:space="preserve">                &lt;&lt;IF_FW_SORT_ORDER2_4($$$SRC_SORT_LIST$$$ = "1")&gt;&gt;</t>
  </si>
  <si>
    <t xml:space="preserve">                    ORDER BY CKT0301_ACCEPT_HDR.APPLY_DT DESC</t>
  </si>
  <si>
    <t xml:space="preserve">                &lt;&lt;ENDIF_FW_SORT_ORDER2_4&gt;&gt;</t>
  </si>
  <si>
    <t xml:space="preserve">                &lt;&lt;ENDIF_FW_SORT_ORDER2_3&gt;&gt;</t>
  </si>
  <si>
    <t xml:space="preserve">                &lt;&lt;ENDIF_FW_SORT_ORDER2_2&gt;&gt;</t>
  </si>
  <si>
    <t xml:space="preserve">                &lt;&lt;ENDIF_FW_SORT_ORDER2_1&gt;&gt;</t>
  </si>
  <si>
    <t xml:space="preserve">                -- &lt;ソート順が確定日で昇順の場合&gt;</t>
  </si>
  <si>
    <t xml:space="preserve">                &lt;&lt;IF_FW_SORT_ORDER3_1($$$FW_SORT_ORDER$$$ &lt;&gt; "(Nothing)")&gt;&gt;</t>
  </si>
  <si>
    <t xml:space="preserve">                &lt;&lt;IF_FW_SORT_ORDER3_2($$$FW_SORT_ORDER$$$.LENGTH &lt;&gt; "0")&gt;&gt;</t>
  </si>
  <si>
    <t xml:space="preserve">                &lt;&lt;IF_FW_SORT_ORDER3_3($$$FW_SORT_ORDER$$$ = "1")&gt;&gt;</t>
  </si>
  <si>
    <t xml:space="preserve">                &lt;&lt;IF_FW_SORT_ORDER3_4($$$SRC_SORT_LIST$$$ = "2")&gt;&gt;</t>
  </si>
  <si>
    <t xml:space="preserve">                    ORDER BY CKT0301_ACCEPT_HDR.FIX_DT ASC</t>
  </si>
  <si>
    <t xml:space="preserve">                &lt;&lt;ENDIF_FW_SORT_ORDER3_4&gt;&gt;</t>
  </si>
  <si>
    <t xml:space="preserve">                &lt;&lt;ENDIF_FW_SORT_ORDER3_3&gt;&gt;</t>
  </si>
  <si>
    <t xml:space="preserve">                &lt;&lt;ENDIF_FW_SORT_ORDER3_2&gt;&gt;</t>
  </si>
  <si>
    <t xml:space="preserve">                &lt;&lt;ENDIF_FW_SORT_ORDER3_1&gt;&gt;</t>
  </si>
  <si>
    <t xml:space="preserve">                -- &lt;ソート順が確定日で降順の場合&gt;</t>
  </si>
  <si>
    <t xml:space="preserve">                &lt;&lt;IF_FW_SORT_ORDER4_1($$$FW_SORT_ORDER$$$ &lt;&gt; "(Nothing)")&gt;&gt;</t>
  </si>
  <si>
    <t xml:space="preserve">                &lt;&lt;IF_FW_SORT_ORDER4_2($$$FW_SORT_ORDER$$$.LENGTH &lt;&gt; "0")&gt;&gt;</t>
  </si>
  <si>
    <t xml:space="preserve">                &lt;&lt;IF_FW_SORT_ORDER4_3($$$FW_SORT_ORDER$$$ = "2")&gt;&gt;</t>
  </si>
  <si>
    <t xml:space="preserve">                &lt;&lt;IF_FW_SORT_ORDER4_4($$$SRC_SORT_LIST$$$ = "2")&gt;&gt;</t>
  </si>
  <si>
    <t xml:space="preserve">                    ORDER BY CKT0301_ACCEPT_HDR.FIX_DT DESC</t>
  </si>
  <si>
    <t xml:space="preserve">                &lt;&lt;ENDIF_FW_SORT_ORDER4_4&gt;&gt;</t>
  </si>
  <si>
    <t xml:space="preserve">                &lt;&lt;ENDIF_FW_SORT_ORDER4_3&gt;&gt;</t>
  </si>
  <si>
    <t xml:space="preserve">                &lt;&lt;ENDIF_FW_SORT_ORDER4_2&gt;&gt;</t>
  </si>
  <si>
    <t xml:space="preserve">                &lt;&lt;ENDIF_FW_SORT_ORDER4_1&gt;&gt;</t>
  </si>
  <si>
    <t xml:space="preserve">                -- &lt;ソート順が受付日で昇順の場合&gt;</t>
  </si>
  <si>
    <t xml:space="preserve">                &lt;&lt;IF_FW_SORT_ORDER5_1($$$FW_SORT_ORDER$$$ &lt;&gt; "(Nothing)")&gt;&gt;</t>
  </si>
  <si>
    <t xml:space="preserve">                &lt;&lt;IF_FW_SORT_ORDER5_2($$$FW_SORT_ORDER$$$.LENGTH &lt;&gt; "0")&gt;&gt;</t>
  </si>
  <si>
    <t xml:space="preserve">                &lt;&lt;IF_FW_SORT_ORDER5_3($$$FW_SORT_ORDER$$$ = "1")&gt;&gt;</t>
  </si>
  <si>
    <t xml:space="preserve">                &lt;&lt;IF_FW_SORT_ORDER5_4($$$SRC_SORT_LIST$$$ = "3")&gt;&gt;</t>
  </si>
  <si>
    <t xml:space="preserve">                    ORDER BY CKT0301_ACCEPT_HDR.RECEIPT_DT ASC</t>
  </si>
  <si>
    <t xml:space="preserve">                &lt;&lt;ENDIF_FW_SORT_ORDER5_4&gt;&gt;</t>
  </si>
  <si>
    <t xml:space="preserve">                &lt;&lt;ENDIF_FW_SORT_ORDER5_3&gt;&gt;</t>
  </si>
  <si>
    <t xml:space="preserve">                &lt;&lt;ENDIF_FW_SORT_ORDER5_2&gt;&gt;</t>
  </si>
  <si>
    <t xml:space="preserve">                &lt;&lt;ENDIF_FW_SORT_ORDER5_1&gt;&gt;</t>
  </si>
  <si>
    <t xml:space="preserve">                -- &lt;ソート順が受付日で降順の場合&gt;</t>
  </si>
  <si>
    <t xml:space="preserve">                &lt;&lt;IF_FW_SORT_ORDER6_1($$$FW_SORT_ORDER$$$ &lt;&gt; "(Nothing)")&gt;&gt;</t>
  </si>
  <si>
    <t xml:space="preserve">                &lt;&lt;IF_FW_SORT_ORDER6_2($$$FW_SORT_ORDER$$$.LENGTH &lt;&gt; "0")&gt;&gt;</t>
  </si>
  <si>
    <t xml:space="preserve">                &lt;&lt;IF_FW_SORT_ORDER6_3($$$FW_SORT_ORDER$$$ = "2")&gt;&gt;</t>
  </si>
  <si>
    <t xml:space="preserve">                &lt;&lt;IF_FW_SORT_ORDER6_4($$$SRC_SORT_LIST$$$ = "3")&gt;&gt;</t>
  </si>
  <si>
    <t xml:space="preserve">                    ORDER BY CKT0301_ACCEPT_HDR.RECEIPT_DT DESC</t>
  </si>
  <si>
    <t xml:space="preserve">                &lt;&lt;ENDIF_FW_SORT_ORDER6_4&gt;&gt;</t>
  </si>
  <si>
    <t xml:space="preserve">                &lt;&lt;ENDIF_FW_SORT_ORDER6_3&gt;&gt;</t>
  </si>
  <si>
    <t xml:space="preserve">                &lt;&lt;ENDIF_FW_SORT_ORDER6_2&gt;&gt;</t>
  </si>
  <si>
    <t xml:space="preserve">                &lt;&lt;ENDIF_FW_SORT_ORDER6_1&gt;&gt;</t>
  </si>
  <si>
    <t xml:space="preserve">                -- &lt;ソート順が配送日で昇順の場合&gt;</t>
  </si>
  <si>
    <t xml:space="preserve">                &lt;&lt;IF_FW_SORT_ORDER7_1($$$FW_SORT_ORDER$$$ &lt;&gt; "(Nothing)")&gt;&gt;</t>
  </si>
  <si>
    <t xml:space="preserve">                &lt;&lt;IF_FW_SORT_ORDER7_2($$$FW_SORT_ORDER$$$.LENGTH &lt;&gt; "0")&gt;&gt;</t>
  </si>
  <si>
    <t xml:space="preserve">                &lt;&lt;IF_FW_SORT_ORDER7_3($$$FW_SORT_ORDER$$$ = "1")&gt;&gt;</t>
  </si>
  <si>
    <t xml:space="preserve">                &lt;&lt;IF_FW_SORT_ORDER7_4($$$SRC_SORT_LIST$$$ = "4")&gt;&gt;</t>
  </si>
  <si>
    <t xml:space="preserve">                    ORDER BY CKT0311_SHPORD_HDR.CARD_DLVY_DT ASC</t>
  </si>
  <si>
    <t xml:space="preserve">                &lt;&lt;ENDIF_FW_SORT_ORDER7_4&gt;&gt;</t>
  </si>
  <si>
    <t xml:space="preserve">                &lt;&lt;ENDIF_FW_SORT_ORDER7_3&gt;&gt;</t>
  </si>
  <si>
    <t xml:space="preserve">                &lt;&lt;ENDIF_FW_SORT_ORDER7_2&gt;&gt;</t>
  </si>
  <si>
    <t xml:space="preserve">                &lt;&lt;ENDIF_FW_SORT_ORDER7_1&gt;&gt;</t>
  </si>
  <si>
    <t xml:space="preserve">                -- &lt;ソート順が配送日で降順の場合&gt;</t>
  </si>
  <si>
    <t xml:space="preserve">                &lt;&lt;IF_FW_SORT_ORDER8_1($$$FW_SORT_ORDER$$$ &lt;&gt; "(Nothing)")&gt;&gt;</t>
  </si>
  <si>
    <t xml:space="preserve">                &lt;&lt;IF_FW_SORT_ORDER8_2($$$FW_SORT_ORDER$$$.LENGTH &lt;&gt; "0")&gt;&gt;</t>
  </si>
  <si>
    <t xml:space="preserve">                &lt;&lt;IF_FW_SORT_ORDER8_3($$$FW_SORT_ORDER$$$ = "2")&gt;&gt;</t>
  </si>
  <si>
    <t xml:space="preserve">                &lt;&lt;IF_FW_SORT_ORDER8_4($$$SRC_SORT_LIST$$$ = "4")&gt;&gt;</t>
  </si>
  <si>
    <t xml:space="preserve">                    ORDER BY CKT0311_SHPORD_HDR.CARD_DLVY_DT DESC</t>
  </si>
  <si>
    <t xml:space="preserve">                &lt;&lt;ENDIF_FW_SORT_ORDER8_4&gt;&gt;</t>
  </si>
  <si>
    <t xml:space="preserve">                &lt;&lt;ENDIF_FW_SORT_ORDER8_3&gt;&gt;</t>
  </si>
  <si>
    <t xml:space="preserve">                &lt;&lt;ENDIF_FW_SORT_ORDER8_2&gt;&gt;</t>
  </si>
  <si>
    <t xml:space="preserve">                &lt;&lt;ENDIF_FW_SORT_ORDER8_1&gt;&gt;</t>
  </si>
  <si>
    <t xml:space="preserve">            ) A</t>
  </si>
  <si>
    <t xml:space="preserve">        ) B</t>
  </si>
  <si>
    <t xml:space="preserve">    ) C</t>
  </si>
  <si>
    <t>WHERE</t>
  </si>
  <si>
    <t xml:space="preserve">    C.ROW_NO &gt;= $$$lng.S_POS$$$</t>
  </si>
  <si>
    <t xml:space="preserve">    AND C.ROW_NO &lt;= $$$lng.E_POS$$$;</t>
  </si>
  <si>
    <t>INTRODUCE_SYSTEM_KBN_NAME</t>
  </si>
  <si>
    <t>INTRODUCE_SYSTEM_KBN_NAME</t>
    <phoneticPr fontId="15"/>
  </si>
  <si>
    <t>ORDER_KBN_NAME</t>
  </si>
  <si>
    <t>ORDER_KBN_NAME</t>
    <phoneticPr fontId="15"/>
  </si>
  <si>
    <t>GENERAL_MNBR_KBN_NAME</t>
  </si>
  <si>
    <t>GENERAL_MNBR_KBN_NAME</t>
    <phoneticPr fontId="15"/>
  </si>
  <si>
    <t>MEMBER_NO_RANGE_REQUEST_KBN_NAME</t>
  </si>
  <si>
    <t>MEMBER_NO_RANGE_REQUEST_KBN_NAME</t>
    <phoneticPr fontId="15"/>
  </si>
  <si>
    <t>MEMBER_NO_RANGE_REPLY_KBN_NAME</t>
  </si>
  <si>
    <t>MEMBER_NO_RANGE_REPLY_KBN_NAME</t>
    <phoneticPr fontId="15"/>
  </si>
  <si>
    <t xml:space="preserve">    from </t>
    <phoneticPr fontId="15"/>
  </si>
  <si>
    <t xml:space="preserve">            LEFT OUTER JOIN MTM3090_HL_MNG </t>
  </si>
  <si>
    <t xml:space="preserve">                ON MTM3080_HALL.HALL_CD = MTM3090_HL_MNG.HALL_CD </t>
  </si>
  <si>
    <t xml:space="preserve">                AND MTM3090_HL_MNG.START_DT &lt;= $$$str.BIZ_DATE$$$ </t>
  </si>
  <si>
    <t xml:space="preserve">                AND MTM3090_HL_MNG.END_DT &gt;= $$$str.BIZ_DATE$$$ </t>
  </si>
  <si>
    <t xml:space="preserve">            LEFT OUTER JOIN MTM3420_HL_MEM_MNG </t>
  </si>
  <si>
    <t xml:space="preserve">                ON CKT0301_ACCEPT_HDR.HALL_CD = MTM3420_HL_MEM_MNG.HALL_CD </t>
  </si>
  <si>
    <t xml:space="preserve">                AND MTM3420_HL_MEM_MNG.START_DT &lt;= $$$str.BIZ_DATE$$$ </t>
  </si>
  <si>
    <t xml:space="preserve">                AND MTM3420_HL_MEM_MNG.END_DT &gt;= $$$str.BIZ_DATE$$$ </t>
  </si>
  <si>
    <t xml:space="preserve">            LEFT OUTER JOIN MTM3350_MEMBERSHOP </t>
  </si>
  <si>
    <t xml:space="preserve">                ON MTM3420_HL_MEM_MNG.SHOP_CD = MTM3350_MEMBERSHOP.SHOP_CD </t>
  </si>
  <si>
    <t xml:space="preserve">            LEFT OUTER JOIN MTM3410_HL_CORP_STL </t>
  </si>
  <si>
    <t xml:space="preserve">                ON CKT0301_ACCEPT_HDR.HALL_CD = MTM3410_HL_CORP_STL.HALL_CD </t>
  </si>
  <si>
    <t xml:space="preserve">                AND MTM3410_HL_CORP_STL.START_DT &lt;= $$$str.BIZ_DATE$$$ </t>
  </si>
  <si>
    <t xml:space="preserve">                AND MTM3410_HL_CORP_STL.END_DT &gt;= $$$str.BIZ_DATE$$$ </t>
  </si>
  <si>
    <t xml:space="preserve">            LEFT OUTER JOIN MTM3360_CORPORATION </t>
  </si>
  <si>
    <t xml:space="preserve">                ON MTM3410_HL_CORP_STL.COMPANY_CD = MTM3360_CORPORATION.COMPANY_CD </t>
  </si>
  <si>
    <t xml:space="preserve">            LEFT OUTER JOIN MTM3180_HL_CORP_EMP T7 </t>
  </si>
  <si>
    <t xml:space="preserve">                ON CKT0301_ACCEPT_HDR.HALL_CD = T7.HALL_CD </t>
  </si>
  <si>
    <t xml:space="preserve">                AND T7.START_DT &lt;= $$$str.BIZ_DATE$$$ </t>
  </si>
  <si>
    <t xml:space="preserve">                AND T7.END_DT &gt;= $$$str.BIZ_DATE$$$ </t>
  </si>
  <si>
    <t xml:space="preserve">            LEFT OUTER JOIN MTM5080_ORG T8 </t>
  </si>
  <si>
    <t xml:space="preserve">                ON T7.MANAGE_DEPT_CD = T8.ORGN_CD </t>
  </si>
  <si>
    <t xml:space="preserve">                AND T8.DELETE_FLG = '0' </t>
  </si>
  <si>
    <t xml:space="preserve">            LEFT OUTER JOIN MTM5080_ORG T9 </t>
  </si>
  <si>
    <t xml:space="preserve">                ON T7.MANAGE_SECT_CD = T9.ORGN_CD </t>
  </si>
  <si>
    <t xml:space="preserve">                AND T9.DELETE_FLG = '0' </t>
  </si>
  <si>
    <t xml:space="preserve">            LEFT OUTER JOIN MTM5040_EMPLOYEE T10 </t>
  </si>
  <si>
    <t xml:space="preserve">                ON T7.MANAGE_EMPLOYEE_CD = T10.EMPLY_CD </t>
  </si>
  <si>
    <t xml:space="preserve">                AND T10.DELETE_FLG = '0' </t>
  </si>
  <si>
    <t xml:space="preserve">            LEFT OUTER JOIN MTM3010_PROFILE </t>
  </si>
  <si>
    <t xml:space="preserve">                ON CKT0301_ACCEPT_HDR.MBRMGT_COMPANY_PROFILE_CD = MTM3010_PROFILE.PROFILE_CD </t>
  </si>
  <si>
    <t xml:space="preserve">                AND MTM3010_PROFILE.DELETE_FLG = '0' </t>
  </si>
  <si>
    <t xml:space="preserve">            LEFT OUTER JOIN ( </t>
  </si>
  <si>
    <t xml:space="preserve">                SELECT</t>
  </si>
  <si>
    <t xml:space="preserve">                    COUNT(*) AS ZT3_CNT</t>
  </si>
  <si>
    <t xml:space="preserve">                    , ZT0.CARD_ACCEPT_NO </t>
  </si>
  <si>
    <t xml:space="preserve">                FROM</t>
  </si>
  <si>
    <t xml:space="preserve">                    CKT0301_ACCEPT_HDR ZT0 </t>
  </si>
  <si>
    <t xml:space="preserve">                    INNER JOIN CKT0302_ACCEPT_DTL ZT1 </t>
  </si>
  <si>
    <t xml:space="preserve">                        ON ZT1.CARD_ACCEPT_NO = ZT0.CARD_ACCEPT_NO </t>
  </si>
  <si>
    <t xml:space="preserve">                WHERE</t>
  </si>
  <si>
    <t xml:space="preserve">                    1 = 1 </t>
  </si>
  <si>
    <t xml:space="preserve">                GROUP BY</t>
  </si>
  <si>
    <t xml:space="preserve">                    ZT0.CARD_ACCEPT_NO</t>
  </si>
  <si>
    <t xml:space="preserve">            ) ZT3 </t>
  </si>
  <si>
    <t xml:space="preserve">                ON CKT0301_ACCEPT_HDR.CARD_ACCEPT_NO = ZT3.CARD_ACCEPT_NOWHERE 1 = 1</t>
  </si>
  <si>
    <t xml:space="preserve">        CKT0301_ACCEPT_HDR A</t>
    <phoneticPr fontId="15"/>
  </si>
  <si>
    <t>　・結合2(外部結合)</t>
    <rPh sb="2" eb="4">
      <t>ケツゴウ</t>
    </rPh>
    <rPh sb="6" eb="8">
      <t>ガイブ</t>
    </rPh>
    <rPh sb="8" eb="10">
      <t>ケツゴウ</t>
    </rPh>
    <phoneticPr fontId="15"/>
  </si>
  <si>
    <t>　・結合6(外部結合)</t>
    <rPh sb="2" eb="4">
      <t>ケツゴウ</t>
    </rPh>
    <rPh sb="6" eb="8">
      <t>ガイブ</t>
    </rPh>
    <rPh sb="8" eb="10">
      <t>ケツゴウ</t>
    </rPh>
    <phoneticPr fontId="15"/>
  </si>
  <si>
    <t>　・結合7(外部結合)</t>
    <rPh sb="2" eb="4">
      <t>ケツゴウ</t>
    </rPh>
    <rPh sb="6" eb="8">
      <t>ガイブ</t>
    </rPh>
    <rPh sb="8" eb="10">
      <t>ケツゴウ</t>
    </rPh>
    <phoneticPr fontId="15"/>
  </si>
  <si>
    <t>　・結合8(外部結合)</t>
    <rPh sb="2" eb="4">
      <t>ケツゴウ</t>
    </rPh>
    <rPh sb="6" eb="8">
      <t>ガイブ</t>
    </rPh>
    <rPh sb="8" eb="10">
      <t>ケツゴウ</t>
    </rPh>
    <phoneticPr fontId="15"/>
  </si>
  <si>
    <t>　・結合9(外部結合)</t>
    <rPh sb="2" eb="4">
      <t>ケツゴウ</t>
    </rPh>
    <rPh sb="6" eb="8">
      <t>ガイブ</t>
    </rPh>
    <rPh sb="8" eb="10">
      <t>ケツゴウ</t>
    </rPh>
    <phoneticPr fontId="15"/>
  </si>
  <si>
    <t>　・結合10(外部結合)</t>
    <rPh sb="2" eb="4">
      <t>ケツゴウ</t>
    </rPh>
    <rPh sb="7" eb="9">
      <t>ガイブ</t>
    </rPh>
    <rPh sb="9" eb="11">
      <t>ケツゴウ</t>
    </rPh>
    <phoneticPr fontId="15"/>
  </si>
  <si>
    <t>　・結合11(外部結合)</t>
    <rPh sb="2" eb="4">
      <t>ケツゴウ</t>
    </rPh>
    <rPh sb="7" eb="9">
      <t>ガイブ</t>
    </rPh>
    <rPh sb="9" eb="11">
      <t>ケツゴウ</t>
    </rPh>
    <phoneticPr fontId="15"/>
  </si>
  <si>
    <t>　・結合12(外部結合)</t>
    <rPh sb="2" eb="4">
      <t>ケツゴウ</t>
    </rPh>
    <rPh sb="7" eb="9">
      <t>ガイブ</t>
    </rPh>
    <rPh sb="9" eb="11">
      <t>ケツゴウ</t>
    </rPh>
    <phoneticPr fontId="15"/>
  </si>
  <si>
    <t xml:space="preserve">                ・</t>
    <phoneticPr fontId="15"/>
  </si>
  <si>
    <t xml:space="preserve">    where</t>
    <phoneticPr fontId="15"/>
  </si>
  <si>
    <t xml:space="preserve">        1 = 1</t>
    <phoneticPr fontId="15"/>
  </si>
  <si>
    <t xml:space="preserve">            lelft outer join CKT1001_MATTER_HDR B-- カード案件ヘッダ</t>
    <rPh sb="55" eb="57">
      <t>アンケン</t>
    </rPh>
    <phoneticPr fontId="15"/>
  </si>
  <si>
    <t xml:space="preserve">            lelft outer join CKT0311_SHPORD_HDR C-- 出荷指示ヘッダ</t>
    <rPh sb="52" eb="54">
      <t>シュッカ</t>
    </rPh>
    <rPh sb="54" eb="56">
      <t>シジ</t>
    </rPh>
    <phoneticPr fontId="15"/>
  </si>
  <si>
    <t xml:space="preserve">            lelft outer join MTM3080_HALL D -- ホールマスタ</t>
  </si>
  <si>
    <t xml:space="preserve">            lelft outer join MTM3100_HL_CONTRACT E -- ホール契約マスタ</t>
    <rPh sb="57" eb="59">
      <t>ケイヤク</t>
    </rPh>
    <phoneticPr fontId="15"/>
  </si>
  <si>
    <t xml:space="preserve">                on A.CARD_MATTER_NO = B.CARD_MATTER_NO</t>
  </si>
  <si>
    <t xml:space="preserve">                on A.HALL_CD = D.HALL_CD </t>
  </si>
  <si>
    <t xml:space="preserve">                on D.HALL_CD = E.HALL_CD </t>
  </si>
  <si>
    <t xml:space="preserve">                and D.DELETE_FLG = '0' </t>
  </si>
  <si>
    <t xml:space="preserve">                on A.CARD_ACCEPT_NO = C.CARD_ACCEPT_NO </t>
    <phoneticPr fontId="15"/>
  </si>
  <si>
    <t>　・p_acccept_no</t>
    <phoneticPr fontId="15"/>
  </si>
  <si>
    <t>　・p_request_no</t>
    <phoneticPr fontId="15"/>
  </si>
  <si>
    <t>　・p_status</t>
    <phoneticPr fontId="15"/>
  </si>
  <si>
    <t>　・p_status_cancele_include</t>
    <phoneticPr fontId="15"/>
  </si>
  <si>
    <t>　・p_delivery_dt_from</t>
    <phoneticPr fontId="15"/>
  </si>
  <si>
    <t>　・p_delivery_dt_to</t>
    <phoneticPr fontId="15"/>
  </si>
  <si>
    <t>　・p_order_dt_from</t>
    <phoneticPr fontId="15"/>
  </si>
  <si>
    <t>　・p_order_dt_to</t>
    <phoneticPr fontId="15"/>
  </si>
  <si>
    <t>　・p_accept_dt_from</t>
    <phoneticPr fontId="15"/>
  </si>
  <si>
    <t>　・p_accept_dt_to</t>
    <phoneticPr fontId="15"/>
  </si>
  <si>
    <t>　・p_accept_receipt_dt_from</t>
    <phoneticPr fontId="15"/>
  </si>
  <si>
    <t>　・p_accept_receipt_dt_to</t>
    <phoneticPr fontId="15"/>
  </si>
  <si>
    <t>　・p_sales_organization</t>
    <phoneticPr fontId="15"/>
  </si>
  <si>
    <t>　・p_sales_emply_name</t>
    <phoneticPr fontId="15"/>
  </si>
  <si>
    <t>　・p_company_shop_hall_kbn</t>
    <phoneticPr fontId="15"/>
  </si>
  <si>
    <t>　・p_company_shop_hall_cd</t>
    <phoneticPr fontId="15"/>
  </si>
  <si>
    <t>　・p_company_shop_hall_name</t>
    <phoneticPr fontId="15"/>
  </si>
  <si>
    <t>　・p_order_kbn</t>
    <phoneticPr fontId="15"/>
  </si>
  <si>
    <t>　・p_general_mnbr_kbn</t>
    <phoneticPr fontId="15"/>
  </si>
  <si>
    <t>　・p_introduce_system_kbn</t>
    <phoneticPr fontId="15"/>
  </si>
  <si>
    <t>　・p_mbrmgt_company_name</t>
    <phoneticPr fontId="15"/>
  </si>
  <si>
    <t>　・p_return_reason</t>
    <phoneticPr fontId="15"/>
  </si>
  <si>
    <t>　・p_business_dt</t>
    <phoneticPr fontId="15"/>
  </si>
  <si>
    <t xml:space="preserve">        and A.CARD_ACCEPT_NO = :p_card_accept_no</t>
    <phoneticPr fontId="15"/>
  </si>
  <si>
    <t xml:space="preserve">                and E.START_DT &lt;= :p_business_dt</t>
    <phoneticPr fontId="15"/>
  </si>
  <si>
    <t xml:space="preserve">                and E.END_DT &gt;= :p_business_dt</t>
    <phoneticPr fontId="15"/>
  </si>
  <si>
    <t>ホールCD</t>
  </si>
  <si>
    <t>商品種類名</t>
  </si>
  <si>
    <t>カード販売単価</t>
  </si>
  <si>
    <t>カード販売数</t>
  </si>
  <si>
    <t>カード配送日</t>
  </si>
  <si>
    <t>テーブル名</t>
    <rPh sb="4" eb="5">
      <t>メイ</t>
    </rPh>
    <phoneticPr fontId="15"/>
  </si>
  <si>
    <t>カラム名</t>
    <rPh sb="3" eb="4">
      <t>メイ</t>
    </rPh>
    <phoneticPr fontId="15"/>
  </si>
  <si>
    <t xml:space="preserve">from </t>
    <phoneticPr fontId="15"/>
  </si>
  <si>
    <t>　詳細内容は開発局面にて記載</t>
    <rPh sb="1" eb="3">
      <t>ショウサイ</t>
    </rPh>
    <rPh sb="3" eb="5">
      <t>ナイヨウ</t>
    </rPh>
    <rPh sb="6" eb="10">
      <t>カイハツキョクメン</t>
    </rPh>
    <rPh sb="12" eb="14">
      <t>キサイ</t>
    </rPh>
    <phoneticPr fontId="15"/>
  </si>
  <si>
    <t>カード受注ヘッダ</t>
    <rPh sb="3" eb="5">
      <t>ジュチュウ</t>
    </rPh>
    <phoneticPr fontId="19"/>
  </si>
  <si>
    <t>カード受注No</t>
    <rPh sb="3" eb="5">
      <t>ジュチュウ</t>
    </rPh>
    <phoneticPr fontId="19"/>
  </si>
  <si>
    <t>カード注文No</t>
    <rPh sb="3" eb="5">
      <t>チュウモン</t>
    </rPh>
    <phoneticPr fontId="19"/>
  </si>
  <si>
    <t>汎用マスタ</t>
    <rPh sb="0" eb="2">
      <t>ハンヨウ</t>
    </rPh>
    <phoneticPr fontId="19"/>
  </si>
  <si>
    <t>汎用名</t>
    <rPh sb="0" eb="3">
      <t>ハンヨウメイ</t>
    </rPh>
    <phoneticPr fontId="19"/>
  </si>
  <si>
    <t>ホールマスタ</t>
  </si>
  <si>
    <t>ホール名</t>
    <rPh sb="3" eb="4">
      <t>メイ</t>
    </rPh>
    <phoneticPr fontId="19"/>
  </si>
  <si>
    <t>カード受注明細</t>
    <rPh sb="3" eb="7">
      <t>ジュチュウメイサイ</t>
    </rPh>
    <phoneticPr fontId="19"/>
  </si>
  <si>
    <t>カード定価マスタ
商品マスタ</t>
    <rPh sb="3" eb="5">
      <t>テイカ</t>
    </rPh>
    <rPh sb="9" eb="11">
      <t>ショウヒン</t>
    </rPh>
    <phoneticPr fontId="19"/>
  </si>
  <si>
    <t>カード受注商品名
商品名</t>
    <rPh sb="3" eb="5">
      <t>ジュチュウ</t>
    </rPh>
    <rPh sb="5" eb="8">
      <t>ショウヒンメイ</t>
    </rPh>
    <rPh sb="9" eb="12">
      <t>ショウヒンメイ</t>
    </rPh>
    <phoneticPr fontId="19"/>
  </si>
  <si>
    <t>商品種類名</t>
    <rPh sb="0" eb="5">
      <t>ショウヒンシュルイメイ</t>
    </rPh>
    <phoneticPr fontId="19"/>
  </si>
  <si>
    <t>カード販売単価</t>
    <rPh sb="3" eb="7">
      <t>ハンバイタンカ</t>
    </rPh>
    <phoneticPr fontId="19"/>
  </si>
  <si>
    <t>カード販売数</t>
    <rPh sb="3" eb="6">
      <t>ハンバイスウ</t>
    </rPh>
    <phoneticPr fontId="19"/>
  </si>
  <si>
    <t>カード出荷指示ヘッダ</t>
    <rPh sb="3" eb="7">
      <t>シュッカシジ</t>
    </rPh>
    <phoneticPr fontId="19"/>
  </si>
  <si>
    <t>カード配送日</t>
    <rPh sb="3" eb="6">
      <t>ハイソウビ</t>
    </rPh>
    <phoneticPr fontId="19"/>
  </si>
  <si>
    <t>申込日</t>
    <rPh sb="0" eb="3">
      <t>モウシコミビ</t>
    </rPh>
    <phoneticPr fontId="19"/>
  </si>
  <si>
    <t>確定日</t>
    <rPh sb="0" eb="3">
      <t>カクテイビ</t>
    </rPh>
    <phoneticPr fontId="19"/>
  </si>
  <si>
    <t>受付日</t>
    <rPh sb="0" eb="3">
      <t>ウケツケビ</t>
    </rPh>
    <phoneticPr fontId="19"/>
  </si>
  <si>
    <t>取引先マスタ</t>
    <rPh sb="0" eb="3">
      <t>トリヒキサキ</t>
    </rPh>
    <phoneticPr fontId="19"/>
  </si>
  <si>
    <t>取引先名</t>
    <rPh sb="0" eb="3">
      <t>トリヒキサキ</t>
    </rPh>
    <rPh sb="3" eb="4">
      <t>メイ</t>
    </rPh>
    <phoneticPr fontId="19"/>
  </si>
  <si>
    <t>組織マスタ</t>
    <rPh sb="0" eb="2">
      <t>ソシキ</t>
    </rPh>
    <phoneticPr fontId="19"/>
  </si>
  <si>
    <t>組織名</t>
    <rPh sb="0" eb="3">
      <t>ソシキメイ</t>
    </rPh>
    <phoneticPr fontId="19"/>
  </si>
  <si>
    <t>社員マスタ</t>
    <rPh sb="0" eb="2">
      <t>シャイン</t>
    </rPh>
    <phoneticPr fontId="19"/>
  </si>
  <si>
    <t>社員名</t>
    <rPh sb="0" eb="3">
      <t>シャインメイ</t>
    </rPh>
    <phoneticPr fontId="19"/>
  </si>
  <si>
    <t>差戻理由(注文)
差戻理由(受注)</t>
    <rPh sb="0" eb="4">
      <t>サシモドシリユウ</t>
    </rPh>
    <rPh sb="5" eb="7">
      <t>チュウモン</t>
    </rPh>
    <rPh sb="9" eb="13">
      <t>サシモドシリユウ</t>
    </rPh>
    <rPh sb="14" eb="16">
      <t>ジュチュウ</t>
    </rPh>
    <phoneticPr fontId="19"/>
  </si>
  <si>
    <t>　カード出荷指示ヘッダ</t>
    <rPh sb="4" eb="6">
      <t>シュッカ</t>
    </rPh>
    <rPh sb="6" eb="8">
      <t>シジ</t>
    </rPh>
    <phoneticPr fontId="15"/>
  </si>
  <si>
    <t>カード受注ヘッダ.受注No = パラメータ.受注No</t>
  </si>
  <si>
    <t>AND カード受注ヘッダ.注文No = パラメータ.注文No</t>
    <rPh sb="7" eb="9">
      <t>ジュチュウ</t>
    </rPh>
    <phoneticPr fontId="19"/>
  </si>
  <si>
    <t>パラメータ.ステータスがNULLの場合</t>
    <rPh sb="17" eb="19">
      <t>バアイ</t>
    </rPh>
    <phoneticPr fontId="17"/>
  </si>
  <si>
    <t>パラメータ.ステータス取消も含むが設定されていない場合、</t>
    <rPh sb="11" eb="13">
      <t>トリケシ</t>
    </rPh>
    <rPh sb="14" eb="15">
      <t>フク</t>
    </rPh>
    <rPh sb="17" eb="19">
      <t>セッテイ</t>
    </rPh>
    <rPh sb="25" eb="27">
      <t>バアイ</t>
    </rPh>
    <phoneticPr fontId="17"/>
  </si>
  <si>
    <t>AND カード受注ヘッダ.ステータスCD &lt;&gt; "90"(取消済)</t>
    <rPh sb="29" eb="31">
      <t>トリケシ</t>
    </rPh>
    <rPh sb="31" eb="32">
      <t>スミ</t>
    </rPh>
    <phoneticPr fontId="17"/>
  </si>
  <si>
    <t>パラメータ.ステータスがNULLでない場合</t>
    <rPh sb="19" eb="21">
      <t>バアイ</t>
    </rPh>
    <phoneticPr fontId="17"/>
  </si>
  <si>
    <t>パラメータ.ステータス取消も含むが設定されている場合、</t>
    <rPh sb="11" eb="13">
      <t>トリケシ</t>
    </rPh>
    <rPh sb="14" eb="15">
      <t>フク</t>
    </rPh>
    <rPh sb="17" eb="19">
      <t>セッテイ</t>
    </rPh>
    <rPh sb="24" eb="26">
      <t>バアイ</t>
    </rPh>
    <phoneticPr fontId="17"/>
  </si>
  <si>
    <t>AND (カード受注ヘッダ.ステータスCD = パラメータ.ステータス OR カード受注ヘッダ.ステータスCD = "90"(取消済))</t>
    <rPh sb="63" eb="66">
      <t>トリケシスミ</t>
    </rPh>
    <phoneticPr fontId="17"/>
  </si>
  <si>
    <t>AND カード受注ヘッダ.ステータスCD = パラメータ.ステータス</t>
  </si>
  <si>
    <t>AND カード出荷指示ヘッダ.カード配送日 &gt;= パラメータ.配送日(FROM)</t>
  </si>
  <si>
    <t>AND 組織マスタ.組織CD = パラメータ.営業部門</t>
    <rPh sb="23" eb="27">
      <t>エイギョウブモン</t>
    </rPh>
    <phoneticPr fontId="19"/>
  </si>
  <si>
    <t>AND 社員マスタ.社員CD = パラメータ.営業担当者</t>
    <rPh sb="23" eb="28">
      <t>エイギョウタントウシャ</t>
    </rPh>
    <phoneticPr fontId="19"/>
  </si>
  <si>
    <t>・法人の場合</t>
    <rPh sb="1" eb="3">
      <t>ホウジン</t>
    </rPh>
    <phoneticPr fontId="19"/>
  </si>
  <si>
    <t>AND カード受注ヘッダ.ホールCD ＝ ホール・法人・決済相手先紐付マスタ.ホールCD</t>
  </si>
  <si>
    <t>AND ホール・法人・決済相手先紐付マスタ.法人CD IN(パラメータ.法人/店舗/ホールコード)</t>
  </si>
  <si>
    <t>・店舗の場合</t>
    <rPh sb="1" eb="3">
      <t>テンポ</t>
    </rPh>
    <phoneticPr fontId="19"/>
  </si>
  <si>
    <t>AND カード受注ヘッダ.ホールCD ＝ ホール・店舗紐付マスタ.ホールCD</t>
  </si>
  <si>
    <t>AND ホール・店舗紐付マスタ.店舗CD IN(パラメータ.法人/店舗/ホールコード)</t>
  </si>
  <si>
    <t>・ホールの場合</t>
  </si>
  <si>
    <t>AND カード受注ヘッダ.ホールCD =  パラメータ.法人/店舗/ホールコード</t>
  </si>
  <si>
    <t>AND カード受注ヘッダ.注文区分 =  パラメータ.注文区分</t>
  </si>
  <si>
    <t>AND カード受注ヘッダ.一般/会員区分 =  パラメータ.一般/会員</t>
  </si>
  <si>
    <t>AND カード受注ヘッダ.導入システム区分 =  パラメータ.導入システム</t>
  </si>
  <si>
    <t>AND カード受注ヘッダ.会員会社取引先CD = パラメータ.会員管理会社</t>
  </si>
  <si>
    <t>・差戻理由ありにチェックがある場合</t>
    <rPh sb="1" eb="3">
      <t>サシモドシ</t>
    </rPh>
    <rPh sb="3" eb="5">
      <t>リユウ</t>
    </rPh>
    <phoneticPr fontId="19"/>
  </si>
  <si>
    <t>AND カード出荷指示ヘッダ.カード配送日 &lt;= パラメータ.配送日(TO)</t>
  </si>
  <si>
    <t>AND カード受注ヘッダ.申込日 &gt;= パラメータ.注文日(FROM)</t>
  </si>
  <si>
    <t>AND カード受注ヘッダ.申込日 &lt;= パラメータ.注文日(TO)</t>
  </si>
  <si>
    <t>AND カード受注ヘッダ.確定日 &gt;= パラメータ.受注日(FROM)</t>
  </si>
  <si>
    <t>AND カード受注ヘッダ.確定日 &lt;=  パラメータ.受注日(TO)</t>
  </si>
  <si>
    <t>AND カード受注ヘッダ.受付日 &gt;=  パラメータ.受注受付日(FROM)</t>
  </si>
  <si>
    <t>AND カード受注ヘッダ.受付日 &lt;=  パラメータ.受注受付日(TO)</t>
  </si>
  <si>
    <t>where</t>
    <phoneticPr fontId="15"/>
  </si>
  <si>
    <t>カード受注ヘッダ_受注_個別CSV用</t>
    <phoneticPr fontId="15"/>
  </si>
  <si>
    <t>Q_CKT0301_0011</t>
    <phoneticPr fontId="15"/>
  </si>
  <si>
    <t>カード受注明細No</t>
    <rPh sb="3" eb="7">
      <t>ジュチュウメイサイ</t>
    </rPh>
    <phoneticPr fontId="19"/>
  </si>
  <si>
    <t>注文日</t>
    <rPh sb="0" eb="3">
      <t>チュウモンビ</t>
    </rPh>
    <phoneticPr fontId="19"/>
  </si>
  <si>
    <t>受注日</t>
    <rPh sb="0" eb="3">
      <t>ジュチュウビ</t>
    </rPh>
    <phoneticPr fontId="19"/>
  </si>
  <si>
    <t>受注受付日</t>
    <rPh sb="0" eb="5">
      <t>ジュチュウウケツケビ</t>
    </rPh>
    <phoneticPr fontId="19"/>
  </si>
  <si>
    <t>法人コード</t>
    <rPh sb="0" eb="2">
      <t>ホウジン</t>
    </rPh>
    <phoneticPr fontId="19"/>
  </si>
  <si>
    <t>法人名</t>
    <rPh sb="0" eb="3">
      <t>ホウジンメイ</t>
    </rPh>
    <phoneticPr fontId="19"/>
  </si>
  <si>
    <t>店舗コード</t>
    <rPh sb="0" eb="2">
      <t>テンポ</t>
    </rPh>
    <phoneticPr fontId="19"/>
  </si>
  <si>
    <t>店舗名</t>
    <rPh sb="0" eb="3">
      <t>テンポメイ</t>
    </rPh>
    <phoneticPr fontId="19"/>
  </si>
  <si>
    <t>ホールコード</t>
  </si>
  <si>
    <t>導入システム</t>
    <rPh sb="0" eb="2">
      <t>ドウニュウ</t>
    </rPh>
    <phoneticPr fontId="19"/>
  </si>
  <si>
    <t>オープン日(画面入力)</t>
    <rPh sb="4" eb="5">
      <t>ビ</t>
    </rPh>
    <rPh sb="6" eb="10">
      <t>ガメンニュウリョク</t>
    </rPh>
    <phoneticPr fontId="19"/>
  </si>
  <si>
    <t>オープン日(マスタ値)</t>
    <rPh sb="4" eb="5">
      <t>ビ</t>
    </rPh>
    <rPh sb="9" eb="10">
      <t>アタイ</t>
    </rPh>
    <phoneticPr fontId="19"/>
  </si>
  <si>
    <t>注文区分</t>
    <rPh sb="0" eb="4">
      <t>チュウモンクブン</t>
    </rPh>
    <phoneticPr fontId="19"/>
  </si>
  <si>
    <t>一般/会員</t>
    <rPh sb="0" eb="2">
      <t>イッパン</t>
    </rPh>
    <rPh sb="3" eb="5">
      <t>カイイン</t>
    </rPh>
    <phoneticPr fontId="19"/>
  </si>
  <si>
    <t>配送予定日</t>
    <rPh sb="0" eb="2">
      <t>ハイソウ</t>
    </rPh>
    <rPh sb="2" eb="4">
      <t>ヨテイ</t>
    </rPh>
    <rPh sb="4" eb="5">
      <t>ビ</t>
    </rPh>
    <phoneticPr fontId="19"/>
  </si>
  <si>
    <t>配送日</t>
    <rPh sb="0" eb="3">
      <t>ハイソウビ</t>
    </rPh>
    <phoneticPr fontId="19"/>
  </si>
  <si>
    <t>枠取得依頼</t>
    <rPh sb="0" eb="5">
      <t>ワクシュトクイライ</t>
    </rPh>
    <phoneticPr fontId="19"/>
  </si>
  <si>
    <t>枠取得回答</t>
    <rPh sb="0" eb="5">
      <t>ワクシュトクカイトウ</t>
    </rPh>
    <phoneticPr fontId="19"/>
  </si>
  <si>
    <t>営業部門</t>
    <rPh sb="0" eb="2">
      <t>エイギョウ</t>
    </rPh>
    <rPh sb="2" eb="4">
      <t>ブモン</t>
    </rPh>
    <phoneticPr fontId="19"/>
  </si>
  <si>
    <t>営業担当者</t>
    <rPh sb="0" eb="5">
      <t>エイギョウタントウシャ</t>
    </rPh>
    <phoneticPr fontId="19"/>
  </si>
  <si>
    <t>案件取消日</t>
    <rPh sb="0" eb="5">
      <t>アンケントリケシビ</t>
    </rPh>
    <phoneticPr fontId="19"/>
  </si>
  <si>
    <t>商品名</t>
    <rPh sb="0" eb="3">
      <t>ショウヒンメイ</t>
    </rPh>
    <phoneticPr fontId="19"/>
  </si>
  <si>
    <t>商品種類</t>
    <rPh sb="0" eb="4">
      <t>ショウヒンシュルイ</t>
    </rPh>
    <phoneticPr fontId="19"/>
  </si>
  <si>
    <t>枚数</t>
    <rPh sb="0" eb="2">
      <t>マイスウ</t>
    </rPh>
    <phoneticPr fontId="19"/>
  </si>
  <si>
    <t>販売単価</t>
    <rPh sb="0" eb="4">
      <t>ハンバイタンカ</t>
    </rPh>
    <phoneticPr fontId="19"/>
  </si>
  <si>
    <t>定価単価</t>
    <rPh sb="0" eb="4">
      <t>テイカタンカ</t>
    </rPh>
    <phoneticPr fontId="19"/>
  </si>
  <si>
    <t>値引単価</t>
    <rPh sb="0" eb="4">
      <t>ネビキタンカ</t>
    </rPh>
    <phoneticPr fontId="19"/>
  </si>
  <si>
    <t>販売価格</t>
    <rPh sb="0" eb="4">
      <t>ハンバイカカク</t>
    </rPh>
    <phoneticPr fontId="19"/>
  </si>
  <si>
    <t>会員番号枠(From)</t>
    <rPh sb="0" eb="2">
      <t>カイイン</t>
    </rPh>
    <rPh sb="2" eb="5">
      <t>バンゴウワク</t>
    </rPh>
    <phoneticPr fontId="19"/>
  </si>
  <si>
    <t>会員番号枠(To)</t>
    <rPh sb="0" eb="2">
      <t>カイイン</t>
    </rPh>
    <rPh sb="2" eb="5">
      <t>バンゴウワク</t>
    </rPh>
    <phoneticPr fontId="19"/>
  </si>
  <si>
    <t>共用グループコード</t>
    <rPh sb="0" eb="2">
      <t>キョウヨウ</t>
    </rPh>
    <phoneticPr fontId="19"/>
  </si>
  <si>
    <t>共用グループ名</t>
    <rPh sb="0" eb="2">
      <t>キョウヨウ</t>
    </rPh>
    <rPh sb="6" eb="7">
      <t>メイ</t>
    </rPh>
    <phoneticPr fontId="19"/>
  </si>
  <si>
    <t>注文No</t>
    <rPh sb="0" eb="2">
      <t>チュウモン</t>
    </rPh>
    <phoneticPr fontId="19"/>
  </si>
  <si>
    <t>ステータス</t>
  </si>
  <si>
    <t>差戻理由</t>
    <rPh sb="0" eb="4">
      <t>サシモドシリユウ</t>
    </rPh>
    <phoneticPr fontId="19"/>
  </si>
  <si>
    <t>会員管理会社名</t>
    <rPh sb="0" eb="2">
      <t>カイイン</t>
    </rPh>
    <rPh sb="2" eb="4">
      <t>カンリ</t>
    </rPh>
    <rPh sb="4" eb="6">
      <t>カイシャ</t>
    </rPh>
    <rPh sb="6" eb="7">
      <t>メイ</t>
    </rPh>
    <phoneticPr fontId="19"/>
  </si>
  <si>
    <t>備考</t>
    <rPh sb="0" eb="2">
      <t>ビコウ</t>
    </rPh>
    <phoneticPr fontId="15"/>
  </si>
  <si>
    <t>受注登録から注文登録への差戻理由と受注受付登録から受注登録への差戻理由をカンマ区切りで結合</t>
    <phoneticPr fontId="15"/>
  </si>
  <si>
    <t>３．補足　■代表商品の取得について参照</t>
    <rPh sb="2" eb="4">
      <t>ホソク</t>
    </rPh>
    <rPh sb="17" eb="19">
      <t>サンショウ</t>
    </rPh>
    <phoneticPr fontId="15"/>
  </si>
  <si>
    <t>３．補足　■商品種類名の取得について参照</t>
    <rPh sb="2" eb="4">
      <t>ホソク</t>
    </rPh>
    <rPh sb="6" eb="8">
      <t>ショウヒン</t>
    </rPh>
    <rPh sb="8" eb="10">
      <t>シュルイ</t>
    </rPh>
    <rPh sb="10" eb="11">
      <t>メイ</t>
    </rPh>
    <rPh sb="12" eb="14">
      <t>シュトク</t>
    </rPh>
    <rPh sb="18" eb="20">
      <t>サンショウ</t>
    </rPh>
    <phoneticPr fontId="15"/>
  </si>
  <si>
    <t>３．補足　■カード販売単価の取得について参照</t>
    <rPh sb="2" eb="4">
      <t>ホソク</t>
    </rPh>
    <rPh sb="20" eb="22">
      <t>サンショウ</t>
    </rPh>
    <phoneticPr fontId="15"/>
  </si>
  <si>
    <t>３．補足　■カード販売数の取得について参照</t>
    <rPh sb="2" eb="4">
      <t>ホソク</t>
    </rPh>
    <rPh sb="19" eb="21">
      <t>サンショウ</t>
    </rPh>
    <phoneticPr fontId="15"/>
  </si>
  <si>
    <t>　詳細内容は開発局面にて記載（以下、外部設計時の対象条件を記載）</t>
    <rPh sb="15" eb="17">
      <t>イカ</t>
    </rPh>
    <rPh sb="18" eb="22">
      <t>ガイブセッケイ</t>
    </rPh>
    <rPh sb="22" eb="23">
      <t>ジ</t>
    </rPh>
    <rPh sb="24" eb="28">
      <t>タイショウジョウケン</t>
    </rPh>
    <rPh sb="29" eb="31">
      <t>キサイ</t>
    </rPh>
    <phoneticPr fontId="15"/>
  </si>
  <si>
    <r>
      <t>AND (カード受注ヘッダ.</t>
    </r>
    <r>
      <rPr>
        <sz val="9"/>
        <rFont val="Meiryo UI"/>
        <family val="3"/>
        <charset val="128"/>
      </rPr>
      <t>差戻理由(注文) IS NOT NULL OR カード受注ヘッダ.差戻理由(受注) IS NOT NULL)</t>
    </r>
    <rPh sb="8" eb="10">
      <t>ジュチュウ</t>
    </rPh>
    <rPh sb="14" eb="18">
      <t>サシモドシリユウ</t>
    </rPh>
    <rPh sb="19" eb="21">
      <t>チュウモン</t>
    </rPh>
    <rPh sb="52" eb="54">
      <t>ジュチュウ</t>
    </rPh>
    <phoneticPr fontId="19"/>
  </si>
  <si>
    <t>カード配送先電話番号（加入者）</t>
  </si>
  <si>
    <t>カード配送先電話番号（市内）</t>
  </si>
  <si>
    <t>カード配送先電話番号（市外）</t>
  </si>
  <si>
    <t>カード配送先住所</t>
  </si>
  <si>
    <t>カード配送先郵便番号</t>
  </si>
  <si>
    <t>カード受取担当者</t>
  </si>
  <si>
    <t>カード配送先名</t>
  </si>
  <si>
    <t>カード配送先取得元区分</t>
  </si>
  <si>
    <t>FAX番号(加入者)_ホール</t>
  </si>
  <si>
    <t>FAX番号(市内)_ホール</t>
  </si>
  <si>
    <t>FAX番号(市外)_ホール</t>
  </si>
  <si>
    <t>電話番号(加入者)_ホール</t>
  </si>
  <si>
    <t>電話番号(市内)_ホール</t>
  </si>
  <si>
    <t>電話番号(市外)_ホール</t>
  </si>
  <si>
    <t>郵便番号2_ホール</t>
  </si>
  <si>
    <t>郵便番号1_ホール</t>
  </si>
  <si>
    <t>ホール名</t>
  </si>
  <si>
    <t>ホール担当者名</t>
  </si>
  <si>
    <t>FAX番号(加入者)_法人</t>
  </si>
  <si>
    <t>FAX番号(市内)_法人</t>
  </si>
  <si>
    <t>FAX番号(市外)_法人</t>
  </si>
  <si>
    <t>電話番号(加入者)_法人</t>
  </si>
  <si>
    <t>電話番号(市内)_法人</t>
  </si>
  <si>
    <t>電話番号(市外)_法人</t>
  </si>
  <si>
    <t>郵便番号2_法人</t>
  </si>
  <si>
    <t>郵便番号1_法人</t>
  </si>
  <si>
    <t>オープン日</t>
  </si>
  <si>
    <t>システム設置日</t>
  </si>
  <si>
    <t>-</t>
  </si>
  <si>
    <t>配送希望日</t>
  </si>
  <si>
    <t>確定日</t>
  </si>
  <si>
    <t>解約日</t>
  </si>
  <si>
    <t>カード出荷制限FLG</t>
  </si>
  <si>
    <t>カード受注No</t>
  </si>
  <si>
    <t>Q_CKT0301_0020</t>
    <phoneticPr fontId="17"/>
  </si>
  <si>
    <t>カード受注ヘッダ_CKU010S01B02_ヘッダ表示用</t>
    <phoneticPr fontId="17"/>
  </si>
  <si>
    <t>デザイン裏ファイル実体</t>
  </si>
  <si>
    <t>デザイン表ファイル実体</t>
  </si>
  <si>
    <t>親：カード受注ヘッダ_CKU010S01B02_ヘッダ表示用.カード受注No</t>
    <rPh sb="34" eb="36">
      <t>ジュチュウ</t>
    </rPh>
    <phoneticPr fontId="17"/>
  </si>
  <si>
    <t>カード受注明細_CKU010S01B02_明細表示用</t>
    <phoneticPr fontId="17"/>
  </si>
  <si>
    <t>ホールマスタ_CKU010D02B01_一覧表示用</t>
    <phoneticPr fontId="15"/>
  </si>
  <si>
    <t>Q_MTM3080_XXXX</t>
    <phoneticPr fontId="15"/>
  </si>
  <si>
    <t>TBOX_ID</t>
    <phoneticPr fontId="15"/>
  </si>
  <si>
    <t>TBOXID</t>
    <phoneticPr fontId="15"/>
  </si>
  <si>
    <t>TWIN_ATRBT_NAME</t>
    <phoneticPr fontId="15"/>
  </si>
  <si>
    <t>双子店属性</t>
    <rPh sb="0" eb="5">
      <t>フタゴテンゾクセイ</t>
    </rPh>
    <phoneticPr fontId="15"/>
  </si>
  <si>
    <t>HALL_CD</t>
    <phoneticPr fontId="15"/>
  </si>
  <si>
    <t>ホールコード</t>
    <phoneticPr fontId="15"/>
  </si>
  <si>
    <t>HALL_NAME</t>
    <phoneticPr fontId="15"/>
  </si>
  <si>
    <t>ホールマスタ</t>
    <phoneticPr fontId="15"/>
  </si>
  <si>
    <t>ホール管理マスタ</t>
  </si>
  <si>
    <t>カード共用グループ紐付マスタ</t>
  </si>
  <si>
    <t>汎用マスタ</t>
    <rPh sb="0" eb="2">
      <t>ハンヨウ</t>
    </rPh>
    <phoneticPr fontId="15"/>
  </si>
  <si>
    <t>　カード共用グループ紐付マスタ.ホールCD</t>
    <phoneticPr fontId="15"/>
  </si>
  <si>
    <t>　・p_hall_cd</t>
    <phoneticPr fontId="15"/>
  </si>
  <si>
    <t>TBOX_ID</t>
  </si>
  <si>
    <t>TBOXID</t>
  </si>
  <si>
    <t>ホール管理マスタ</t>
    <rPh sb="3" eb="5">
      <t>カンリ</t>
    </rPh>
    <phoneticPr fontId="15"/>
  </si>
  <si>
    <t>TWIN_ATRBT_NAME</t>
  </si>
  <si>
    <t>汎用名</t>
    <rPh sb="0" eb="3">
      <t>ハンヨウメイ</t>
    </rPh>
    <phoneticPr fontId="15"/>
  </si>
  <si>
    <t>汎用データ区分：MT093、汎用データ区分名：ホール属性</t>
    <phoneticPr fontId="15"/>
  </si>
  <si>
    <t xml:space="preserve">from </t>
  </si>
  <si>
    <t>where</t>
  </si>
  <si>
    <t>カード共用グループ紐付マスタ.ホールグループCD IN (</t>
  </si>
  <si>
    <t>select</t>
  </si>
  <si>
    <t>カード共用グループ紐付マスタ.ホールグループCD</t>
  </si>
  <si>
    <t>from</t>
  </si>
  <si>
    <t>left outer join</t>
  </si>
  <si>
    <t>on</t>
  </si>
  <si>
    <t>ホールマスタ.ホールCD</t>
  </si>
  <si>
    <t>＝</t>
  </si>
  <si>
    <t>　カード共用グループ紐付マスタ.ホールCD</t>
  </si>
  <si>
    <t>1=1</t>
  </si>
  <si>
    <t>AND ホールマスタ.ホールCD = パラメータ.ホールCD</t>
  </si>
  <si>
    <t>)</t>
  </si>
  <si>
    <t>カード受注ヘッダ</t>
  </si>
  <si>
    <t>カード注文No</t>
    <rPh sb="3" eb="5">
      <t>チュウモン</t>
    </rPh>
    <phoneticPr fontId="20"/>
  </si>
  <si>
    <t>カード案件No</t>
    <rPh sb="3" eb="5">
      <t>アンケン</t>
    </rPh>
    <phoneticPr fontId="20"/>
  </si>
  <si>
    <t>カード受注ヘッダ</t>
    <rPh sb="3" eb="5">
      <t>ジュチュウ</t>
    </rPh>
    <phoneticPr fontId="20"/>
  </si>
  <si>
    <t>受注ステータスCD</t>
    <rPh sb="0" eb="2">
      <t>ジュチュウ</t>
    </rPh>
    <phoneticPr fontId="20"/>
  </si>
  <si>
    <t>カード受注ヘッダ
カード案件ヘッダ</t>
    <rPh sb="12" eb="14">
      <t>アンケン</t>
    </rPh>
    <phoneticPr fontId="15"/>
  </si>
  <si>
    <t>受注ステータスCD
案件ステータスCD</t>
    <rPh sb="0" eb="2">
      <t>ジュチュウ</t>
    </rPh>
    <rPh sb="10" eb="12">
      <t>アンケン</t>
    </rPh>
    <phoneticPr fontId="20"/>
  </si>
  <si>
    <t>案件ステータスCDが90：取消済の場合、案件ステータスCD
上記以外の場合、受注ステータスCD</t>
    <rPh sb="0" eb="2">
      <t>アンケン</t>
    </rPh>
    <rPh sb="13" eb="16">
      <t>トリケシズミ</t>
    </rPh>
    <rPh sb="17" eb="19">
      <t>バアイ</t>
    </rPh>
    <rPh sb="20" eb="22">
      <t>アンケン</t>
    </rPh>
    <rPh sb="30" eb="34">
      <t>ジョウキイガイ</t>
    </rPh>
    <rPh sb="35" eb="37">
      <t>バアイ</t>
    </rPh>
    <rPh sb="38" eb="40">
      <t>ジュチュウ</t>
    </rPh>
    <phoneticPr fontId="15"/>
  </si>
  <si>
    <t>受注状況名</t>
    <rPh sb="0" eb="5">
      <t>ジュチュウジョウキョウメイ</t>
    </rPh>
    <phoneticPr fontId="20"/>
  </si>
  <si>
    <t>汎用マスタ_受注ステータス</t>
    <rPh sb="0" eb="2">
      <t>ハンヨウ</t>
    </rPh>
    <rPh sb="6" eb="8">
      <t>ジュチュウ</t>
    </rPh>
    <phoneticPr fontId="20"/>
  </si>
  <si>
    <t>汎用名</t>
    <rPh sb="0" eb="3">
      <t>ハンヨウメイ</t>
    </rPh>
    <phoneticPr fontId="20"/>
  </si>
  <si>
    <t>受付ステータスCD</t>
    <rPh sb="0" eb="2">
      <t>ウケツケ</t>
    </rPh>
    <phoneticPr fontId="20"/>
  </si>
  <si>
    <t>受付ステータスCD
案件ステータスCD</t>
    <rPh sb="0" eb="2">
      <t>ウケツケ</t>
    </rPh>
    <phoneticPr fontId="20"/>
  </si>
  <si>
    <t>案件ステータスCDが90：取消済の場合、案件ステータスCD
上記以外の場合、受付ステータスCD</t>
    <rPh sb="0" eb="2">
      <t>アンケン</t>
    </rPh>
    <rPh sb="13" eb="16">
      <t>トリケシズミ</t>
    </rPh>
    <rPh sb="17" eb="19">
      <t>バアイ</t>
    </rPh>
    <rPh sb="20" eb="22">
      <t>アンケン</t>
    </rPh>
    <rPh sb="30" eb="34">
      <t>ジョウキイガイ</t>
    </rPh>
    <rPh sb="35" eb="37">
      <t>バアイ</t>
    </rPh>
    <rPh sb="38" eb="40">
      <t>ウケツケ</t>
    </rPh>
    <phoneticPr fontId="15"/>
  </si>
  <si>
    <t>受注受付状況名</t>
    <rPh sb="0" eb="4">
      <t>ジュチュウウケツケ</t>
    </rPh>
    <rPh sb="4" eb="6">
      <t>ジョウキョウ</t>
    </rPh>
    <rPh sb="6" eb="7">
      <t>メイ</t>
    </rPh>
    <phoneticPr fontId="20"/>
  </si>
  <si>
    <t>汎用マスタ_受付ステータス</t>
    <rPh sb="0" eb="2">
      <t>ハンヨウ</t>
    </rPh>
    <rPh sb="6" eb="8">
      <t>ウケツケ</t>
    </rPh>
    <phoneticPr fontId="20"/>
  </si>
  <si>
    <t>会員番号枠依頼状態区分CD</t>
    <rPh sb="0" eb="5">
      <t>カイインバンゴウワク</t>
    </rPh>
    <rPh sb="5" eb="7">
      <t>イライ</t>
    </rPh>
    <rPh sb="7" eb="9">
      <t>ジョウタイ</t>
    </rPh>
    <rPh sb="9" eb="11">
      <t>クブン</t>
    </rPh>
    <phoneticPr fontId="20"/>
  </si>
  <si>
    <t>★カード受注明細（集約）</t>
  </si>
  <si>
    <t>依頼状況CD</t>
    <phoneticPr fontId="15"/>
  </si>
  <si>
    <t>会員番号枠依頼状況名</t>
    <rPh sb="0" eb="5">
      <t>カイインバンゴウワク</t>
    </rPh>
    <rPh sb="5" eb="7">
      <t>イライ</t>
    </rPh>
    <rPh sb="7" eb="10">
      <t>ジョウキョウメイ</t>
    </rPh>
    <phoneticPr fontId="20"/>
  </si>
  <si>
    <t>汎用マスタ_会員番号枠依頼状態</t>
    <rPh sb="0" eb="2">
      <t>ハンヨウ</t>
    </rPh>
    <rPh sb="11" eb="15">
      <t>イライジョウタイ</t>
    </rPh>
    <phoneticPr fontId="20"/>
  </si>
  <si>
    <t>会員番号枠回答状態区分CD</t>
    <rPh sb="0" eb="5">
      <t>カイインバンゴウワク</t>
    </rPh>
    <rPh sb="5" eb="7">
      <t>カイトウ</t>
    </rPh>
    <rPh sb="7" eb="9">
      <t>ジョウタイ</t>
    </rPh>
    <rPh sb="9" eb="11">
      <t>クブン</t>
    </rPh>
    <phoneticPr fontId="20"/>
  </si>
  <si>
    <t>回答状況CD</t>
    <rPh sb="0" eb="2">
      <t>カイトウ</t>
    </rPh>
    <phoneticPr fontId="15"/>
  </si>
  <si>
    <t>会員番号枠回答状況名</t>
    <rPh sb="0" eb="5">
      <t>カイインバンゴウワク</t>
    </rPh>
    <rPh sb="5" eb="9">
      <t>カイトウジョウキョウ</t>
    </rPh>
    <rPh sb="9" eb="10">
      <t>メイ</t>
    </rPh>
    <phoneticPr fontId="20"/>
  </si>
  <si>
    <t>汎用マスタ_会員番号枠回答状態</t>
    <rPh sb="0" eb="2">
      <t>ハンヨウ</t>
    </rPh>
    <rPh sb="6" eb="11">
      <t>カイインバンゴウワク</t>
    </rPh>
    <rPh sb="11" eb="15">
      <t>カイトウジョウタイ</t>
    </rPh>
    <phoneticPr fontId="20"/>
  </si>
  <si>
    <t>申込日</t>
    <rPh sb="0" eb="3">
      <t>モウシコミビ</t>
    </rPh>
    <phoneticPr fontId="20"/>
  </si>
  <si>
    <t>受付日</t>
    <rPh sb="0" eb="3">
      <t>ウケツケビ</t>
    </rPh>
    <phoneticPr fontId="20"/>
  </si>
  <si>
    <t>受注受付日</t>
    <rPh sb="0" eb="4">
      <t>ジュチュウウケツケ</t>
    </rPh>
    <rPh sb="4" eb="5">
      <t>ビ</t>
    </rPh>
    <phoneticPr fontId="15"/>
  </si>
  <si>
    <t>配送日</t>
    <rPh sb="0" eb="3">
      <t>ハイソウビ</t>
    </rPh>
    <phoneticPr fontId="20"/>
  </si>
  <si>
    <t>色校正有無FLG</t>
    <rPh sb="0" eb="3">
      <t>イロコウセイ</t>
    </rPh>
    <rPh sb="3" eb="5">
      <t>ウム</t>
    </rPh>
    <phoneticPr fontId="20"/>
  </si>
  <si>
    <t>汎用名</t>
    <rPh sb="0" eb="2">
      <t>ハンヨウ</t>
    </rPh>
    <rPh sb="2" eb="3">
      <t>メイ</t>
    </rPh>
    <phoneticPr fontId="20"/>
  </si>
  <si>
    <t>汎用マスタ_色校正</t>
    <rPh sb="0" eb="2">
      <t>ハンヨウ</t>
    </rPh>
    <rPh sb="6" eb="9">
      <t>イロコウセイ</t>
    </rPh>
    <phoneticPr fontId="20"/>
  </si>
  <si>
    <t>注文区分</t>
    <rPh sb="0" eb="4">
      <t>チュウモンクブン</t>
    </rPh>
    <phoneticPr fontId="20"/>
  </si>
  <si>
    <t>汎用マスタ_注文区分</t>
    <rPh sb="0" eb="2">
      <t>ハンヨウ</t>
    </rPh>
    <rPh sb="6" eb="10">
      <t>チュウモンクブン</t>
    </rPh>
    <phoneticPr fontId="20"/>
  </si>
  <si>
    <t>一般/会員区分</t>
    <rPh sb="0" eb="2">
      <t>イッパン</t>
    </rPh>
    <rPh sb="3" eb="7">
      <t>カイインクブン</t>
    </rPh>
    <phoneticPr fontId="20"/>
  </si>
  <si>
    <t>汎用マスタ_一般/会員</t>
    <rPh sb="0" eb="2">
      <t>ハンヨウ</t>
    </rPh>
    <rPh sb="6" eb="8">
      <t>イッパン</t>
    </rPh>
    <rPh sb="9" eb="11">
      <t>カイイン</t>
    </rPh>
    <phoneticPr fontId="20"/>
  </si>
  <si>
    <t>導入システム区分</t>
    <rPh sb="0" eb="2">
      <t>ドウニュウ</t>
    </rPh>
    <rPh sb="6" eb="8">
      <t>クブン</t>
    </rPh>
    <phoneticPr fontId="20"/>
  </si>
  <si>
    <t>汎用マスタ_導入システム</t>
    <rPh sb="0" eb="2">
      <t>ハンヨウ</t>
    </rPh>
    <rPh sb="6" eb="8">
      <t>ドウニュウ</t>
    </rPh>
    <phoneticPr fontId="20"/>
  </si>
  <si>
    <t>カード管理種別CD</t>
    <rPh sb="3" eb="5">
      <t>カンリ</t>
    </rPh>
    <rPh sb="5" eb="7">
      <t>シュベツ</t>
    </rPh>
    <phoneticPr fontId="20"/>
  </si>
  <si>
    <t>汎用マスタ_カード管理種別</t>
    <rPh sb="0" eb="2">
      <t>ハンヨウ</t>
    </rPh>
    <rPh sb="9" eb="13">
      <t>カンリシュベツ</t>
    </rPh>
    <phoneticPr fontId="20"/>
  </si>
  <si>
    <t>会員管理会社取引先CD</t>
    <rPh sb="0" eb="2">
      <t>カイイン</t>
    </rPh>
    <rPh sb="2" eb="4">
      <t>カンリ</t>
    </rPh>
    <rPh sb="4" eb="6">
      <t>ガイシャ</t>
    </rPh>
    <rPh sb="6" eb="8">
      <t>トリヒキ</t>
    </rPh>
    <rPh sb="8" eb="9">
      <t>サキ</t>
    </rPh>
    <phoneticPr fontId="20"/>
  </si>
  <si>
    <t>カード受注ヘッダ</t>
    <phoneticPr fontId="15"/>
  </si>
  <si>
    <t>会員管理会社タイプ名</t>
    <rPh sb="0" eb="2">
      <t>カイイン</t>
    </rPh>
    <rPh sb="2" eb="4">
      <t>カンリ</t>
    </rPh>
    <rPh sb="4" eb="6">
      <t>ガイシャ</t>
    </rPh>
    <rPh sb="9" eb="10">
      <t>メイ</t>
    </rPh>
    <phoneticPr fontId="20"/>
  </si>
  <si>
    <t>汎用マスタ_会員会社タイプ_CK191
汎用マスタ_会員会社タイプ_CK198
汎用マスタ_会員会社タイプ_CK062
汎用マスタ_会員会社タイプ_CK063</t>
    <rPh sb="0" eb="2">
      <t>ハンヨウ</t>
    </rPh>
    <rPh sb="6" eb="8">
      <t>カイイン</t>
    </rPh>
    <rPh sb="8" eb="10">
      <t>ガイシャ</t>
    </rPh>
    <rPh sb="20" eb="22">
      <t>ハンヨウ</t>
    </rPh>
    <rPh sb="26" eb="28">
      <t>カイイン</t>
    </rPh>
    <rPh sb="28" eb="30">
      <t>ガイシャ</t>
    </rPh>
    <rPh sb="40" eb="42">
      <t>ハンヨウ</t>
    </rPh>
    <rPh sb="46" eb="48">
      <t>カイイン</t>
    </rPh>
    <rPh sb="48" eb="50">
      <t>ガイシャ</t>
    </rPh>
    <rPh sb="60" eb="62">
      <t>ハンヨウ</t>
    </rPh>
    <rPh sb="66" eb="68">
      <t>カイイン</t>
    </rPh>
    <rPh sb="68" eb="70">
      <t>ガイシャ</t>
    </rPh>
    <phoneticPr fontId="20"/>
  </si>
  <si>
    <t>法人担当者名</t>
    <rPh sb="0" eb="6">
      <t>ホウジンタントウシャメイ</t>
    </rPh>
    <phoneticPr fontId="20"/>
  </si>
  <si>
    <t>取引先名</t>
    <rPh sb="0" eb="4">
      <t>トリヒキサキメイ</t>
    </rPh>
    <phoneticPr fontId="20"/>
  </si>
  <si>
    <t>取引先マスタ_法人</t>
    <rPh sb="7" eb="9">
      <t>ホウジン</t>
    </rPh>
    <phoneticPr fontId="15"/>
  </si>
  <si>
    <t>住所マスタ_法人</t>
    <rPh sb="6" eb="8">
      <t>ホウジン</t>
    </rPh>
    <phoneticPr fontId="15"/>
  </si>
  <si>
    <t>郵便番号1</t>
  </si>
  <si>
    <t>郵便番号2</t>
  </si>
  <si>
    <t>住所１_法人</t>
  </si>
  <si>
    <t>住所１</t>
  </si>
  <si>
    <t>住所２_法人</t>
  </si>
  <si>
    <t>住所２</t>
  </si>
  <si>
    <t>住所３_法人</t>
  </si>
  <si>
    <t>住所３</t>
  </si>
  <si>
    <t>電話番号(市外)</t>
  </si>
  <si>
    <t>電話番号(市内)</t>
  </si>
  <si>
    <t>電話番号(加入者)</t>
  </si>
  <si>
    <t>FAX番号(市外)</t>
  </si>
  <si>
    <t>FAX番号(市内)</t>
  </si>
  <si>
    <t>FAX番号(加入者)</t>
  </si>
  <si>
    <t>住所マスタ_ホール</t>
    <phoneticPr fontId="15"/>
  </si>
  <si>
    <t>住所１_ホール</t>
  </si>
  <si>
    <t>住所２_ホール</t>
  </si>
  <si>
    <t>住所３_ホール</t>
  </si>
  <si>
    <t>カード配送先CD</t>
    <phoneticPr fontId="15"/>
  </si>
  <si>
    <t>カード配送先ホールCD
カード配送先取引先CD</t>
    <phoneticPr fontId="15"/>
  </si>
  <si>
    <t>カード配送先都道府県CD</t>
    <rPh sb="3" eb="5">
      <t>ハイソウ</t>
    </rPh>
    <rPh sb="5" eb="6">
      <t>サキ</t>
    </rPh>
    <rPh sb="6" eb="10">
      <t>トドウフケン</t>
    </rPh>
    <phoneticPr fontId="20"/>
  </si>
  <si>
    <t>組織名</t>
  </si>
  <si>
    <t>組織マスタ_営業担当</t>
  </si>
  <si>
    <t>社員名</t>
    <rPh sb="0" eb="3">
      <t>シャインメイ</t>
    </rPh>
    <phoneticPr fontId="20"/>
  </si>
  <si>
    <t>社員マスタ_営業担当</t>
  </si>
  <si>
    <t>注文備考</t>
    <rPh sb="0" eb="2">
      <t>チュウモン</t>
    </rPh>
    <rPh sb="2" eb="4">
      <t>ビコウ</t>
    </rPh>
    <phoneticPr fontId="20"/>
  </si>
  <si>
    <t>受注備考</t>
    <rPh sb="0" eb="4">
      <t>ジュチュウビコウ</t>
    </rPh>
    <phoneticPr fontId="20"/>
  </si>
  <si>
    <t>カード裏面情報</t>
    <rPh sb="3" eb="7">
      <t>ウラメンジョウホウ</t>
    </rPh>
    <phoneticPr fontId="20"/>
  </si>
  <si>
    <t>共用化ホール有無FLG</t>
    <rPh sb="0" eb="3">
      <t>キョウヨウカ</t>
    </rPh>
    <rPh sb="6" eb="8">
      <t>ウム</t>
    </rPh>
    <phoneticPr fontId="20"/>
  </si>
  <si>
    <t>汎用マスタ_共用化ホール有無</t>
    <rPh sb="0" eb="2">
      <t>ハンヨウ</t>
    </rPh>
    <phoneticPr fontId="20"/>
  </si>
  <si>
    <t>差戻理由(注文)</t>
    <rPh sb="0" eb="4">
      <t>サシモドシリユウ</t>
    </rPh>
    <rPh sb="5" eb="7">
      <t>チュウモン</t>
    </rPh>
    <phoneticPr fontId="20"/>
  </si>
  <si>
    <t>差戻理由(受注)</t>
    <rPh sb="0" eb="4">
      <t>サシモドシリユウ</t>
    </rPh>
    <rPh sb="5" eb="7">
      <t>ジュチュウ</t>
    </rPh>
    <phoneticPr fontId="20"/>
  </si>
  <si>
    <t>取消理由</t>
    <rPh sb="0" eb="4">
      <t>トリケシリユウ</t>
    </rPh>
    <phoneticPr fontId="20"/>
  </si>
  <si>
    <t>更新数</t>
    <rPh sb="0" eb="3">
      <t>コウシンスウ</t>
    </rPh>
    <phoneticPr fontId="20"/>
  </si>
  <si>
    <t>カード案件ヘッダ</t>
    <rPh sb="3" eb="5">
      <t>アンケン</t>
    </rPh>
    <phoneticPr fontId="20"/>
  </si>
  <si>
    <t>テーブル別名</t>
    <rPh sb="4" eb="6">
      <t>ベツメイ</t>
    </rPh>
    <phoneticPr fontId="15"/>
  </si>
  <si>
    <t>結合方式</t>
    <rPh sb="0" eb="4">
      <t>ケツゴウホウシキ</t>
    </rPh>
    <phoneticPr fontId="15"/>
  </si>
  <si>
    <t>結合条件</t>
    <rPh sb="0" eb="4">
      <t>ケツゴウジョウケン</t>
    </rPh>
    <phoneticPr fontId="15"/>
  </si>
  <si>
    <t>-</t>
    <phoneticPr fontId="15"/>
  </si>
  <si>
    <t>CKT0301_ACCEPT_HDR</t>
  </si>
  <si>
    <t>カード案件ヘッダ</t>
    <rPh sb="3" eb="5">
      <t>アンケン</t>
    </rPh>
    <phoneticPr fontId="15"/>
  </si>
  <si>
    <t>内部結合</t>
    <rPh sb="0" eb="4">
      <t>ナイブケツゴウ</t>
    </rPh>
    <phoneticPr fontId="15"/>
  </si>
  <si>
    <t>カード受注ヘッダ.カード案件No</t>
    <rPh sb="3" eb="5">
      <t>ジュチュウ</t>
    </rPh>
    <rPh sb="12" eb="14">
      <t>アンケン</t>
    </rPh>
    <phoneticPr fontId="15"/>
  </si>
  <si>
    <t>=</t>
    <phoneticPr fontId="15"/>
  </si>
  <si>
    <t>カード案件ヘッダ.カード案件No</t>
    <rPh sb="3" eb="5">
      <t>アンケン</t>
    </rPh>
    <rPh sb="12" eb="14">
      <t>アンケン</t>
    </rPh>
    <phoneticPr fontId="15"/>
  </si>
  <si>
    <t>★カード受注明細（集約）</t>
    <phoneticPr fontId="15"/>
  </si>
  <si>
    <t>=</t>
  </si>
  <si>
    <t>★カード受注明細（集約）.カード案件No</t>
    <rPh sb="4" eb="8">
      <t>ジュチュウメイサイ</t>
    </rPh>
    <rPh sb="9" eb="11">
      <t>シュウヤク</t>
    </rPh>
    <rPh sb="16" eb="18">
      <t>アンケン</t>
    </rPh>
    <phoneticPr fontId="15"/>
  </si>
  <si>
    <t>外部結合</t>
    <rPh sb="0" eb="4">
      <t>ガイブケツゴウ</t>
    </rPh>
    <phoneticPr fontId="15"/>
  </si>
  <si>
    <t>住所マスタ</t>
    <phoneticPr fontId="15"/>
  </si>
  <si>
    <t>ホールマスタ.所在地住所CD</t>
    <phoneticPr fontId="15"/>
  </si>
  <si>
    <t>住所マスタ_ホール.住所CD</t>
    <rPh sb="0" eb="2">
      <t>ジュウショ</t>
    </rPh>
    <rPh sb="10" eb="12">
      <t>ジュウショ</t>
    </rPh>
    <phoneticPr fontId="15"/>
  </si>
  <si>
    <t>MTM5230_ADDRESS</t>
  </si>
  <si>
    <t>ホール・法人・決済相手先紐付マスタ</t>
  </si>
  <si>
    <t>ホール・法人・決済相手先紐付マスタ.ホールCD</t>
    <phoneticPr fontId="15"/>
  </si>
  <si>
    <t>MTM3410_HL_CORP_STL</t>
  </si>
  <si>
    <t>取引先・法人・決済相手先紐付マスタ</t>
  </si>
  <si>
    <t>ホール・法人・決済相手先紐付マスタ.法人CD</t>
    <rPh sb="18" eb="20">
      <t>ホウジン</t>
    </rPh>
    <phoneticPr fontId="15"/>
  </si>
  <si>
    <t>取引先・法人・決済相手先紐付マスタ.法人CD</t>
    <rPh sb="18" eb="20">
      <t>ホウジン</t>
    </rPh>
    <phoneticPr fontId="15"/>
  </si>
  <si>
    <t>取引先マスタ</t>
  </si>
  <si>
    <t>取引先・法人・決済相手先紐付マスタ.取引先CD</t>
    <rPh sb="18" eb="21">
      <t>トリヒキサキ</t>
    </rPh>
    <phoneticPr fontId="15"/>
  </si>
  <si>
    <t>取引先マスタ_法人.取引先CD</t>
    <rPh sb="7" eb="9">
      <t>ホウジン</t>
    </rPh>
    <rPh sb="10" eb="13">
      <t>トリヒキサキ</t>
    </rPh>
    <phoneticPr fontId="15"/>
  </si>
  <si>
    <t>MTM3010_PROFILE</t>
  </si>
  <si>
    <t>取引先マスタ_法人.所在地住所CD</t>
    <phoneticPr fontId="15"/>
  </si>
  <si>
    <t>住所マスタ_法人.住所CD</t>
    <rPh sb="0" eb="2">
      <t>ジュウショ</t>
    </rPh>
    <rPh sb="6" eb="8">
      <t>ホウジン</t>
    </rPh>
    <rPh sb="9" eb="11">
      <t>ジュウショ</t>
    </rPh>
    <phoneticPr fontId="15"/>
  </si>
  <si>
    <t>ホール自社担当者マスタ</t>
    <phoneticPr fontId="15"/>
  </si>
  <si>
    <t>ホール自社担当者マスタ.ホールCD</t>
    <phoneticPr fontId="15"/>
  </si>
  <si>
    <t>※現行設計で適用日の参照なし</t>
    <rPh sb="1" eb="3">
      <t>ゲンコウ</t>
    </rPh>
    <rPh sb="3" eb="5">
      <t>セッケイ</t>
    </rPh>
    <rPh sb="6" eb="9">
      <t>テキヨウビ</t>
    </rPh>
    <rPh sb="10" eb="12">
      <t>サンショウ</t>
    </rPh>
    <phoneticPr fontId="15"/>
  </si>
  <si>
    <t>組織マスタ</t>
    <phoneticPr fontId="15"/>
  </si>
  <si>
    <t>組織マスタ_営業担当</t>
    <phoneticPr fontId="15"/>
  </si>
  <si>
    <t>ホール自社担当者マスタ.主管組織CD</t>
    <phoneticPr fontId="15"/>
  </si>
  <si>
    <t>組織マスタ_営業担当.組織CD</t>
    <rPh sb="11" eb="13">
      <t>ソシキ</t>
    </rPh>
    <phoneticPr fontId="15"/>
  </si>
  <si>
    <t>MTM5080_ORG</t>
  </si>
  <si>
    <t>社員マスタ</t>
    <phoneticPr fontId="15"/>
  </si>
  <si>
    <t>社員マスタ_営業担当</t>
    <phoneticPr fontId="15"/>
  </si>
  <si>
    <t>ホール自社担当者マスタ.主管社員CD</t>
    <rPh sb="14" eb="16">
      <t>シャイン</t>
    </rPh>
    <phoneticPr fontId="15"/>
  </si>
  <si>
    <t>社員マスタ_営業担当.社員CD</t>
    <rPh sb="11" eb="13">
      <t>シャイン</t>
    </rPh>
    <phoneticPr fontId="15"/>
  </si>
  <si>
    <t>MTM5040_EMPLOYEE</t>
  </si>
  <si>
    <t>汎用マスタ</t>
  </si>
  <si>
    <t>汎用マスタ_受注ステータス</t>
    <phoneticPr fontId="15"/>
  </si>
  <si>
    <t>汎用マスタ_受注ステータス.汎用データ区分</t>
    <rPh sb="14" eb="16">
      <t>ハンヨウ</t>
    </rPh>
    <rPh sb="19" eb="21">
      <t>クブン</t>
    </rPh>
    <phoneticPr fontId="15"/>
  </si>
  <si>
    <t>AND</t>
    <phoneticPr fontId="15"/>
  </si>
  <si>
    <t>CK214</t>
  </si>
  <si>
    <t>カード受注ステータス</t>
  </si>
  <si>
    <t>汎用マスタ_受注ステータス.汎用CD</t>
    <rPh sb="14" eb="16">
      <t>ハンヨウ</t>
    </rPh>
    <phoneticPr fontId="15"/>
  </si>
  <si>
    <t>カード受注ヘッダ.受注ステータスCD</t>
    <rPh sb="9" eb="11">
      <t>ジュチュウ</t>
    </rPh>
    <phoneticPr fontId="20"/>
  </si>
  <si>
    <t>汎用マスタ_受付ステータス</t>
    <phoneticPr fontId="15"/>
  </si>
  <si>
    <t>AND</t>
  </si>
  <si>
    <t>CK231</t>
  </si>
  <si>
    <t>受注受付ステータス</t>
  </si>
  <si>
    <t>カード受注ヘッダ.受付ステータスCD</t>
    <rPh sb="9" eb="11">
      <t>ウケツケ</t>
    </rPh>
    <phoneticPr fontId="20"/>
  </si>
  <si>
    <t>汎用マスタ_会員番号枠依頼状態</t>
    <phoneticPr fontId="15"/>
  </si>
  <si>
    <t>CK056</t>
    <phoneticPr fontId="15"/>
  </si>
  <si>
    <t>カード会員番号取得依頼状況</t>
  </si>
  <si>
    <t>★カード受注明細（集約）.依頼状況CD</t>
    <rPh sb="13" eb="15">
      <t>イライ</t>
    </rPh>
    <rPh sb="15" eb="17">
      <t>ジョウキョウ</t>
    </rPh>
    <phoneticPr fontId="15"/>
  </si>
  <si>
    <t>汎用マスタ_会員番号枠回答状態</t>
    <phoneticPr fontId="15"/>
  </si>
  <si>
    <t>CK057</t>
    <phoneticPr fontId="15"/>
  </si>
  <si>
    <t>カード会員番号取得回答状況</t>
  </si>
  <si>
    <t>★カード受注明細（集約）.回答状況CD</t>
    <rPh sb="13" eb="17">
      <t>カイトウジョウキョウ</t>
    </rPh>
    <phoneticPr fontId="15"/>
  </si>
  <si>
    <t>汎用マスタ_色校正</t>
    <phoneticPr fontId="15"/>
  </si>
  <si>
    <t>CK237</t>
  </si>
  <si>
    <t>色校正区分</t>
    <rPh sb="0" eb="5">
      <t>イロコウセイクブン</t>
    </rPh>
    <phoneticPr fontId="4"/>
  </si>
  <si>
    <t>カード受注ヘッダ.色校正有無FLG</t>
    <rPh sb="9" eb="12">
      <t>イロコウセイ</t>
    </rPh>
    <rPh sb="12" eb="14">
      <t>ウム</t>
    </rPh>
    <phoneticPr fontId="20"/>
  </si>
  <si>
    <t>汎用マスタ_注文区分</t>
    <phoneticPr fontId="15"/>
  </si>
  <si>
    <t>CK043</t>
  </si>
  <si>
    <t>注文区分</t>
  </si>
  <si>
    <t>カード受注ヘッダ.注文区分</t>
    <rPh sb="9" eb="13">
      <t>チュウモンクブン</t>
    </rPh>
    <phoneticPr fontId="20"/>
  </si>
  <si>
    <t>汎用マスタ_一般/会員</t>
    <phoneticPr fontId="15"/>
  </si>
  <si>
    <t>CK051</t>
  </si>
  <si>
    <t>カード一般/会員区分</t>
  </si>
  <si>
    <t>カード受注ヘッダ.一般/会員区分</t>
    <rPh sb="9" eb="11">
      <t>イッパン</t>
    </rPh>
    <rPh sb="12" eb="16">
      <t>カイインクブン</t>
    </rPh>
    <phoneticPr fontId="20"/>
  </si>
  <si>
    <t>汎用マスタ_導入システム</t>
    <phoneticPr fontId="15"/>
  </si>
  <si>
    <t>CK154</t>
  </si>
  <si>
    <t>導入システム区分</t>
  </si>
  <si>
    <t>カード受注ヘッダ.導入システム区分</t>
    <rPh sb="9" eb="11">
      <t>ドウニュウ</t>
    </rPh>
    <rPh sb="15" eb="17">
      <t>クブン</t>
    </rPh>
    <phoneticPr fontId="20"/>
  </si>
  <si>
    <t>汎用マスタ_カード管理種別</t>
    <phoneticPr fontId="15"/>
  </si>
  <si>
    <t>カード受注ヘッダ.カード管理種別CD</t>
    <rPh sb="12" eb="14">
      <t>カンリ</t>
    </rPh>
    <rPh sb="14" eb="16">
      <t>シュベツ</t>
    </rPh>
    <phoneticPr fontId="20"/>
  </si>
  <si>
    <t>汎用マスタ_会員会社タイプ_CK191</t>
    <phoneticPr fontId="15"/>
  </si>
  <si>
    <t>CK191</t>
  </si>
  <si>
    <t>タイプ(ヒューテックTYPE A)</t>
  </si>
  <si>
    <t>カード受注ヘッダ.会員管理会社タイプCD</t>
    <rPh sb="9" eb="15">
      <t>カイインカンリガイシャ</t>
    </rPh>
    <phoneticPr fontId="20"/>
  </si>
  <si>
    <t>汎用マスタ_会員会社タイプ_CK198</t>
    <phoneticPr fontId="15"/>
  </si>
  <si>
    <t>CK198</t>
  </si>
  <si>
    <t>タイプ(ヒューテックTYPE S)</t>
  </si>
  <si>
    <t>汎用マスタ_会員会社タイプ_CK062</t>
    <phoneticPr fontId="15"/>
  </si>
  <si>
    <t>CK062</t>
  </si>
  <si>
    <t>タイプ(大都)</t>
  </si>
  <si>
    <t>汎用マスタ_会員会社タイプ_CK063</t>
    <phoneticPr fontId="15"/>
  </si>
  <si>
    <t>CK063</t>
  </si>
  <si>
    <t>タイプ(アイ電子)</t>
  </si>
  <si>
    <t>汎用マスタ_共用化ホール有無</t>
    <phoneticPr fontId="15"/>
  </si>
  <si>
    <t>カード受注ヘッダ.共用化ホール有無FLG</t>
    <rPh sb="9" eb="12">
      <t>キョウヨウカ</t>
    </rPh>
    <rPh sb="15" eb="17">
      <t>ウム</t>
    </rPh>
    <phoneticPr fontId="20"/>
  </si>
  <si>
    <t>サブクエリ①</t>
    <phoneticPr fontId="15"/>
  </si>
  <si>
    <t>AS</t>
    <phoneticPr fontId="15"/>
  </si>
  <si>
    <t>依頼状況CD</t>
    <rPh sb="0" eb="4">
      <t>イライジョウキョウ</t>
    </rPh>
    <phoneticPr fontId="15"/>
  </si>
  <si>
    <t>0：未</t>
    <rPh sb="2" eb="3">
      <t>ミ</t>
    </rPh>
    <phoneticPr fontId="15"/>
  </si>
  <si>
    <t>2：回答済</t>
    <rPh sb="2" eb="5">
      <t>カイトウズ</t>
    </rPh>
    <phoneticPr fontId="15"/>
  </si>
  <si>
    <t>1：一部済</t>
    <rPh sb="2" eb="4">
      <t>イチブ</t>
    </rPh>
    <rPh sb="4" eb="5">
      <t>スミ</t>
    </rPh>
    <phoneticPr fontId="15"/>
  </si>
  <si>
    <t>回答状況CD</t>
    <rPh sb="0" eb="4">
      <t>カイトウジョウキョウ</t>
    </rPh>
    <phoneticPr fontId="15"/>
  </si>
  <si>
    <t>カード受注明細</t>
  </si>
  <si>
    <t>CKT0302_ACCEPT_DTL</t>
  </si>
  <si>
    <t>１．対象テーブル　参照</t>
    <rPh sb="2" eb="4">
      <t>タイショウ</t>
    </rPh>
    <rPh sb="9" eb="11">
      <t>サンショウ</t>
    </rPh>
    <phoneticPr fontId="15"/>
  </si>
  <si>
    <t>■受注ステータスCD</t>
    <rPh sb="1" eb="3">
      <t>ジュチュウ</t>
    </rPh>
    <phoneticPr fontId="20"/>
  </si>
  <si>
    <t>「取消済」のステータスはカード案件ヘッダで管理するため、カード案件ヘッダの案件ステータスを考慮する</t>
    <rPh sb="1" eb="4">
      <t>トリケシズミ</t>
    </rPh>
    <rPh sb="15" eb="17">
      <t>アンケン</t>
    </rPh>
    <rPh sb="21" eb="23">
      <t>カンリ</t>
    </rPh>
    <rPh sb="31" eb="33">
      <t>アンケン</t>
    </rPh>
    <rPh sb="37" eb="39">
      <t>アンケン</t>
    </rPh>
    <rPh sb="45" eb="47">
      <t>コウリョ</t>
    </rPh>
    <phoneticPr fontId="15"/>
  </si>
  <si>
    <t>■受付ステータスCD</t>
    <rPh sb="1" eb="3">
      <t>ウケツケ</t>
    </rPh>
    <phoneticPr fontId="20"/>
  </si>
  <si>
    <t>■会員管理会社タイプ</t>
    <rPh sb="1" eb="3">
      <t>カイイン</t>
    </rPh>
    <rPh sb="3" eb="5">
      <t>カンリ</t>
    </rPh>
    <rPh sb="5" eb="7">
      <t>ガイシャ</t>
    </rPh>
    <phoneticPr fontId="15"/>
  </si>
  <si>
    <t>会員管理会社によって参照する汎用データ区分が変わる。</t>
  </si>
  <si>
    <t>・p_acccept_no</t>
    <phoneticPr fontId="15"/>
  </si>
  <si>
    <t>※開発局面にて物理SQLを記載</t>
    <rPh sb="1" eb="5">
      <t>カイハツキョクメン</t>
    </rPh>
    <rPh sb="7" eb="9">
      <t>ブツリ</t>
    </rPh>
    <rPh sb="13" eb="15">
      <t>キサイ</t>
    </rPh>
    <phoneticPr fontId="15"/>
  </si>
  <si>
    <t>上記参照（カラムリストの印刷範囲外）</t>
    <rPh sb="0" eb="2">
      <t>ジョウキ</t>
    </rPh>
    <rPh sb="2" eb="4">
      <t>サンショウ</t>
    </rPh>
    <rPh sb="12" eb="17">
      <t>インサツハンイガイ</t>
    </rPh>
    <phoneticPr fontId="15"/>
  </si>
  <si>
    <t>上記参照（概要　１．対象テーブル）</t>
    <rPh sb="0" eb="4">
      <t>ジョウキサンショウ</t>
    </rPh>
    <rPh sb="5" eb="7">
      <t>ガイヨウ</t>
    </rPh>
    <phoneticPr fontId="15"/>
  </si>
  <si>
    <t xml:space="preserve">where </t>
    <phoneticPr fontId="15"/>
  </si>
  <si>
    <t>カード受注明細No</t>
    <rPh sb="3" eb="7">
      <t>ジュチュウメイサイ</t>
    </rPh>
    <phoneticPr fontId="20"/>
  </si>
  <si>
    <t>カード受注明細</t>
    <rPh sb="3" eb="7">
      <t>ジュチュウメイサイ</t>
    </rPh>
    <phoneticPr fontId="20"/>
  </si>
  <si>
    <t>紐付番号</t>
    <rPh sb="0" eb="1">
      <t>ヒモ</t>
    </rPh>
    <rPh sb="1" eb="2">
      <t>ヅケ</t>
    </rPh>
    <rPh sb="2" eb="4">
      <t>バンゴウ</t>
    </rPh>
    <phoneticPr fontId="20"/>
  </si>
  <si>
    <t>商品CD(営業)</t>
    <rPh sb="0" eb="2">
      <t>ショウヒン</t>
    </rPh>
    <rPh sb="5" eb="7">
      <t>エイギョウ</t>
    </rPh>
    <phoneticPr fontId="20"/>
  </si>
  <si>
    <t>カード定価マスタ</t>
    <rPh sb="3" eb="5">
      <t>テイカ</t>
    </rPh>
    <phoneticPr fontId="20"/>
  </si>
  <si>
    <t>商品種類名</t>
    <rPh sb="0" eb="5">
      <t>ショウヒンシュルイメイ</t>
    </rPh>
    <phoneticPr fontId="20"/>
  </si>
  <si>
    <t>商品CD(商品)</t>
    <rPh sb="0" eb="2">
      <t>ショウヒン</t>
    </rPh>
    <rPh sb="5" eb="7">
      <t>ショウヒン</t>
    </rPh>
    <phoneticPr fontId="20"/>
  </si>
  <si>
    <t>商品名</t>
    <rPh sb="0" eb="3">
      <t>ショウヒンメイ</t>
    </rPh>
    <phoneticPr fontId="20"/>
  </si>
  <si>
    <t>[表示値]
画面.商品コードをキーに商品マスタからカード名を取得、表示する</t>
    <rPh sb="9" eb="11">
      <t>ショウヒン</t>
    </rPh>
    <rPh sb="18" eb="20">
      <t>ショウヒン</t>
    </rPh>
    <rPh sb="28" eb="29">
      <t>メイ</t>
    </rPh>
    <phoneticPr fontId="20"/>
  </si>
  <si>
    <t>カード販売単価</t>
    <rPh sb="3" eb="7">
      <t>ハンバイタンカ</t>
    </rPh>
    <phoneticPr fontId="20"/>
  </si>
  <si>
    <t>カード販売数</t>
    <rPh sb="3" eb="6">
      <t>ハンバイスウ</t>
    </rPh>
    <phoneticPr fontId="20"/>
  </si>
  <si>
    <t>カード販売単価(定価)</t>
    <rPh sb="3" eb="7">
      <t>ハンバイタンカ</t>
    </rPh>
    <rPh sb="8" eb="10">
      <t>テイカ</t>
    </rPh>
    <phoneticPr fontId="20"/>
  </si>
  <si>
    <t>[表示値]
画面.商品コードをキーに
商品マスタからデザイン表ファイル実体を取得、表示する</t>
    <rPh sb="0" eb="2">
      <t>ヒョウジ</t>
    </rPh>
    <rPh sb="2" eb="3">
      <t>チ</t>
    </rPh>
    <rPh sb="6" eb="8">
      <t>ガメン</t>
    </rPh>
    <rPh sb="9" eb="11">
      <t>ショウヒン</t>
    </rPh>
    <rPh sb="19" eb="21">
      <t>ショウヒン</t>
    </rPh>
    <rPh sb="30" eb="31">
      <t>オモテ</t>
    </rPh>
    <rPh sb="35" eb="37">
      <t>ジッタイ</t>
    </rPh>
    <rPh sb="37" eb="39">
      <t>シュトク</t>
    </rPh>
    <rPh sb="40" eb="42">
      <t>ヒョウジ</t>
    </rPh>
    <phoneticPr fontId="21"/>
  </si>
  <si>
    <t>[表示値]
画面.商品コードをキーに
商品マスタからデザイン裏ファイル実体を取得、表示する</t>
    <rPh sb="0" eb="2">
      <t>ヒョウジ</t>
    </rPh>
    <rPh sb="2" eb="3">
      <t>チ</t>
    </rPh>
    <rPh sb="6" eb="8">
      <t>ガメン</t>
    </rPh>
    <rPh sb="9" eb="11">
      <t>ショウヒン</t>
    </rPh>
    <rPh sb="19" eb="21">
      <t>ショウヒン</t>
    </rPh>
    <rPh sb="30" eb="31">
      <t>ウラ</t>
    </rPh>
    <rPh sb="35" eb="37">
      <t>ジッタイ</t>
    </rPh>
    <rPh sb="37" eb="39">
      <t>シュトク</t>
    </rPh>
    <rPh sb="40" eb="42">
      <t>ヒョウジ</t>
    </rPh>
    <phoneticPr fontId="21"/>
  </si>
  <si>
    <t>商品マスタ</t>
    <rPh sb="0" eb="2">
      <t>ショウヒン</t>
    </rPh>
    <phoneticPr fontId="15"/>
  </si>
  <si>
    <t>カード受注明細.商品CD(商品)</t>
    <rPh sb="3" eb="7">
      <t>ジュチュウメイサイ</t>
    </rPh>
    <rPh sb="8" eb="10">
      <t>ショウヒン</t>
    </rPh>
    <rPh sb="13" eb="15">
      <t>ショウヒン</t>
    </rPh>
    <phoneticPr fontId="20"/>
  </si>
  <si>
    <t>カード受注明細.商品CD(営業)</t>
    <rPh sb="3" eb="7">
      <t>ジュチュウメイサイ</t>
    </rPh>
    <rPh sb="8" eb="10">
      <t>ショウヒン</t>
    </rPh>
    <rPh sb="13" eb="15">
      <t>エイギョウ</t>
    </rPh>
    <phoneticPr fontId="20"/>
  </si>
  <si>
    <t>カード定価マスタ.カード定価管理CD</t>
  </si>
  <si>
    <t>カード本体（＝本体紐付NoがNULL）と、カード本体に紐付く明細の塊ごとに並ぶようにする。</t>
    <rPh sb="3" eb="5">
      <t>ホンタイ</t>
    </rPh>
    <rPh sb="7" eb="11">
      <t>ホンタイヒモヅケ</t>
    </rPh>
    <rPh sb="24" eb="26">
      <t>ホンタイ</t>
    </rPh>
    <rPh sb="27" eb="28">
      <t>ヒモ</t>
    </rPh>
    <rPh sb="28" eb="29">
      <t>ヅ</t>
    </rPh>
    <rPh sb="30" eb="32">
      <t>メイサイ</t>
    </rPh>
    <rPh sb="33" eb="34">
      <t>カタマリ</t>
    </rPh>
    <rPh sb="37" eb="38">
      <t>ナラ</t>
    </rPh>
    <phoneticPr fontId="15"/>
  </si>
  <si>
    <t>（下記の表①②でソート）</t>
    <rPh sb="1" eb="3">
      <t>カキ</t>
    </rPh>
    <rPh sb="4" eb="5">
      <t>ヒョウ</t>
    </rPh>
    <phoneticPr fontId="15"/>
  </si>
  <si>
    <t>②
受注明細No</t>
    <phoneticPr fontId="157"/>
  </si>
  <si>
    <t>本体紐付No</t>
    <rPh sb="0" eb="4">
      <t>ホンタイヒモヅケ</t>
    </rPh>
    <phoneticPr fontId="157"/>
  </si>
  <si>
    <t>商品</t>
    <rPh sb="0" eb="2">
      <t>ショウヒン</t>
    </rPh>
    <phoneticPr fontId="157"/>
  </si>
  <si>
    <t>①
本体紐付NoがNULLなら受注明細No
そうでなければ本体紐付No</t>
    <rPh sb="2" eb="4">
      <t>ホンタイ</t>
    </rPh>
    <rPh sb="4" eb="6">
      <t>ヒモヅケ</t>
    </rPh>
    <rPh sb="15" eb="19">
      <t>ジュチュウメイサイ</t>
    </rPh>
    <rPh sb="29" eb="31">
      <t>ホンタイ</t>
    </rPh>
    <rPh sb="31" eb="33">
      <t>ヒモヅケ</t>
    </rPh>
    <phoneticPr fontId="157"/>
  </si>
  <si>
    <t>NULL</t>
  </si>
  <si>
    <t>カードA</t>
  </si>
  <si>
    <t>Aの版下</t>
    <rPh sb="2" eb="4">
      <t>ハンシタ</t>
    </rPh>
    <phoneticPr fontId="157"/>
  </si>
  <si>
    <t>Aのデザイン</t>
  </si>
  <si>
    <t>カードB</t>
  </si>
  <si>
    <t>Bの版下</t>
    <rPh sb="2" eb="4">
      <t>ハンシタ</t>
    </rPh>
    <phoneticPr fontId="157"/>
  </si>
  <si>
    <t>order by</t>
    <phoneticPr fontId="15"/>
  </si>
  <si>
    <t>上記参照（概要　３．補足　■ソート順について）</t>
    <rPh sb="0" eb="4">
      <t>ジョウキサンショウ</t>
    </rPh>
    <rPh sb="5" eb="7">
      <t>ガイヨウ</t>
    </rPh>
    <phoneticPr fontId="15"/>
  </si>
  <si>
    <t>SQLイメージは以下</t>
    <rPh sb="8" eb="10">
      <t>イカ</t>
    </rPh>
    <phoneticPr fontId="15"/>
  </si>
  <si>
    <t xml:space="preserve">    WHEN 本体紐付No IS NULL THEN 受注明細No </t>
  </si>
  <si>
    <t xml:space="preserve">    ELSE 本体紐付No </t>
  </si>
  <si>
    <t>  END,</t>
  </si>
  <si>
    <t>  受注明細No</t>
  </si>
  <si>
    <t>カード受注ヘッダ_CKU010S01B02_チェック用</t>
    <phoneticPr fontId="15"/>
  </si>
  <si>
    <t>Q_CKT0301_0021</t>
    <phoneticPr fontId="15"/>
  </si>
  <si>
    <t xml:space="preserve"> AND カード案件ヘッダ.案件ステータス &lt;&gt; 90：取消済</t>
    <phoneticPr fontId="15"/>
  </si>
  <si>
    <t>・p_hall_cd</t>
    <phoneticPr fontId="15"/>
  </si>
  <si>
    <t>ホール管理マスタ</t>
    <phoneticPr fontId="15"/>
  </si>
  <si>
    <t>ホール管理マスタ</t>
    <rPh sb="3" eb="5">
      <t>カンリ</t>
    </rPh>
    <phoneticPr fontId="15"/>
  </si>
  <si>
    <t>ホールマスタ.ホールCD</t>
    <phoneticPr fontId="15"/>
  </si>
  <si>
    <t>ホール管理マスタ.ホールCD</t>
  </si>
  <si>
    <t>CK127</t>
  </si>
  <si>
    <t>カード種別CD</t>
  </si>
  <si>
    <t xml:space="preserve">  CASE </t>
    <phoneticPr fontId="15"/>
  </si>
  <si>
    <t>CK117</t>
  </si>
  <si>
    <t>有無区分</t>
  </si>
  <si>
    <t>CARD_MATTER_NO</t>
  </si>
  <si>
    <t>CARD_ACCEPT_DETAIL_NO</t>
  </si>
  <si>
    <t>CARD_LINK_NO</t>
  </si>
  <si>
    <t>SALES_ITEM_CD</t>
  </si>
  <si>
    <t>ITEM_ITEM_CD</t>
  </si>
  <si>
    <t>CARD_SELL_LIST_UPRICE</t>
  </si>
  <si>
    <t>CODE</t>
  </si>
  <si>
    <t>ACCEPT_STATUS_CD</t>
  </si>
  <si>
    <t>RECEIPT_STATUS_CD</t>
  </si>
  <si>
    <t>BOOL</t>
  </si>
  <si>
    <t>APPLY_DT</t>
  </si>
  <si>
    <t>FIX_DT</t>
  </si>
  <si>
    <t>REQUEST_DELIVER_DT</t>
  </si>
  <si>
    <t>DELIVER_DT</t>
  </si>
  <si>
    <t>ORDER_KBN</t>
  </si>
  <si>
    <t>GENERAL_MNBR_KBN</t>
  </si>
  <si>
    <t>INTRODUCE_SYSTEM_KBN</t>
  </si>
  <si>
    <t>CARD_MANAGEMENT_CD</t>
  </si>
  <si>
    <t>MBRMGT_COMPANY_PROFILE_CD</t>
  </si>
  <si>
    <t>MBRMGT_COMPANY_TYPE</t>
  </si>
  <si>
    <t>SYSTEM_FITTING_DT</t>
  </si>
  <si>
    <t>OPEN_DT</t>
  </si>
  <si>
    <t>COMPANY_PERSON_NAME</t>
  </si>
  <si>
    <t>HALL_PERSON_NAME</t>
  </si>
  <si>
    <t>CARD_DELIVERY_NAME</t>
  </si>
  <si>
    <t>CARD_RECEIPT_PERSON_NAME</t>
  </si>
  <si>
    <t>CARD_DELIVERY_ZIP_CODE</t>
  </si>
  <si>
    <t>CARD_DELIVERY_PRFCTR_CD</t>
  </si>
  <si>
    <t>CARD_DELIVERY_ADDR</t>
  </si>
  <si>
    <t>CARD_DELIVERY_TEL_NO_AREA</t>
  </si>
  <si>
    <t>CARD_DELIVERY_TEL_NO_LOCAL</t>
  </si>
  <si>
    <t>CARD_DELIVERY_TEL_NO_SBSCRB</t>
  </si>
  <si>
    <t>NOTE_ORDER</t>
  </si>
  <si>
    <t>NOTE_ACCEPT</t>
  </si>
  <si>
    <t>CARDBACK_INFO</t>
  </si>
  <si>
    <t>MUTUAL_HALL_FLG</t>
  </si>
  <si>
    <t>RETURN_REASON_ACCEPT_REQUEST</t>
  </si>
  <si>
    <t>差戻理由(受注登録から注文登録)</t>
  </si>
  <si>
    <t>RETURN_REASON_RECEIPT_ACCEPT</t>
  </si>
  <si>
    <t>差戻理由(受注受付登録から受注登録)</t>
  </si>
  <si>
    <t>MODIFY_COUNT</t>
  </si>
  <si>
    <t>カード配送先取得元区分</t>
    <phoneticPr fontId="15"/>
  </si>
  <si>
    <t>カード配送先取得元区分に応じて設定</t>
    <rPh sb="12" eb="13">
      <t>オウ</t>
    </rPh>
    <rPh sb="15" eb="17">
      <t>セッテイ</t>
    </rPh>
    <phoneticPr fontId="15"/>
  </si>
  <si>
    <t>会員管理会社変更有無区分</t>
  </si>
  <si>
    <t>MBRMGT_COMPANY_CHANGABLE_KBN</t>
  </si>
  <si>
    <t>会員管理会社変更有無区分</t>
    <phoneticPr fontId="15"/>
  </si>
  <si>
    <t>会員管理会社タイプ</t>
    <rPh sb="0" eb="6">
      <t>カイインカンリガイシャ</t>
    </rPh>
    <phoneticPr fontId="20"/>
  </si>
  <si>
    <t>ORGN_NAME</t>
  </si>
  <si>
    <t>EMPLY_NAME</t>
  </si>
  <si>
    <t>PROFILE_NAME</t>
  </si>
  <si>
    <t>CARD_SHIPMENT_LIMIT_FLG</t>
  </si>
  <si>
    <t>CLOSE_DT</t>
  </si>
  <si>
    <t>ACCEPT_STATUS_NAME</t>
    <phoneticPr fontId="15"/>
  </si>
  <si>
    <t>RECEIPT_STATUS_NAME</t>
    <phoneticPr fontId="15"/>
  </si>
  <si>
    <t>COLOR_PROOF_NAME</t>
    <phoneticPr fontId="15"/>
  </si>
  <si>
    <t>ORDER_KBN_NAME</t>
    <phoneticPr fontId="15"/>
  </si>
  <si>
    <t>COLOR_PROOF_FLG</t>
    <phoneticPr fontId="15"/>
  </si>
  <si>
    <t>GENERAL_MNBR_NAME</t>
    <phoneticPr fontId="15"/>
  </si>
  <si>
    <t>INTRODUCE_SYSTEM_NAME</t>
    <phoneticPr fontId="15"/>
  </si>
  <si>
    <t>CARD_MANAGEMENT_NAME</t>
    <phoneticPr fontId="15"/>
  </si>
  <si>
    <t>MBRMGT_COMPANY_TYPE_NAME</t>
    <phoneticPr fontId="15"/>
  </si>
  <si>
    <t>CARD_DELIVERY_GETORG_KBN</t>
    <phoneticPr fontId="15"/>
  </si>
  <si>
    <t>CARD_DELIVERY_CODE</t>
    <phoneticPr fontId="15"/>
  </si>
  <si>
    <t>MUTUAL_HALL_FLG_NAME</t>
    <phoneticPr fontId="15"/>
  </si>
  <si>
    <t>共用化ホール有無</t>
    <rPh sb="0" eb="3">
      <t>キョウヨウカ</t>
    </rPh>
    <rPh sb="6" eb="8">
      <t>ウム</t>
    </rPh>
    <phoneticPr fontId="20"/>
  </si>
  <si>
    <t>カード管理種別名</t>
    <rPh sb="3" eb="5">
      <t>カンリ</t>
    </rPh>
    <rPh sb="5" eb="7">
      <t>シュベツ</t>
    </rPh>
    <rPh sb="7" eb="8">
      <t>メイ</t>
    </rPh>
    <phoneticPr fontId="20"/>
  </si>
  <si>
    <t>導入システム名</t>
    <rPh sb="0" eb="2">
      <t>ドウニュウ</t>
    </rPh>
    <rPh sb="6" eb="7">
      <t>メイ</t>
    </rPh>
    <phoneticPr fontId="20"/>
  </si>
  <si>
    <t>一般/会員名</t>
    <rPh sb="0" eb="2">
      <t>イッパン</t>
    </rPh>
    <rPh sb="3" eb="5">
      <t>カイイン</t>
    </rPh>
    <rPh sb="5" eb="6">
      <t>メイ</t>
    </rPh>
    <phoneticPr fontId="20"/>
  </si>
  <si>
    <t>注文区分名</t>
    <rPh sb="0" eb="4">
      <t>チュウモンクブン</t>
    </rPh>
    <rPh sb="4" eb="5">
      <t>メイ</t>
    </rPh>
    <phoneticPr fontId="20"/>
  </si>
  <si>
    <t>色校正有無</t>
    <rPh sb="0" eb="3">
      <t>イロコウセイ</t>
    </rPh>
    <rPh sb="3" eb="5">
      <t>ウム</t>
    </rPh>
    <phoneticPr fontId="20"/>
  </si>
  <si>
    <t>CARD_CANCEL_REASON</t>
  </si>
  <si>
    <t>MEMBER_NO_RANGE_REQUEST_KBN_CD</t>
  </si>
  <si>
    <t>MEMBER_NO_RANGE_REPLY_KBN_CD</t>
  </si>
  <si>
    <t>MEMBER_NO_RANGE_REQUEST_KBN_NAME</t>
    <phoneticPr fontId="15"/>
  </si>
  <si>
    <t>MEMBER_NO_RANGE_REPLY_KBN_NAME</t>
    <phoneticPr fontId="15"/>
  </si>
  <si>
    <t>・p_basic_dt</t>
    <phoneticPr fontId="15"/>
  </si>
  <si>
    <t>基準日</t>
    <rPh sb="0" eb="3">
      <t>キジュンビ</t>
    </rPh>
    <phoneticPr fontId="15"/>
  </si>
  <si>
    <t xml:space="preserve"> AND カード受注ヘッダ.申込日 &gt;= パラメータ.基準日</t>
    <rPh sb="27" eb="30">
      <t>キジュンビ</t>
    </rPh>
    <phoneticPr fontId="15"/>
  </si>
  <si>
    <t>会員管理会社管理マスタ</t>
    <phoneticPr fontId="15"/>
  </si>
  <si>
    <t>CKM0104_MEM_CRP_MNG</t>
  </si>
  <si>
    <t>会員管理会社管理マスタ.会員管理会社取引先CD</t>
    <phoneticPr fontId="15"/>
  </si>
  <si>
    <t>カード受注ヘッダ.会員管理会社取引先CD</t>
    <phoneticPr fontId="15"/>
  </si>
  <si>
    <t>MTM3090_HL_MNG</t>
  </si>
  <si>
    <t>CKT1001_MATTER_HDR</t>
  </si>
  <si>
    <t>会員会社CD（2桁）に変換（汎用マスタの利用判定用）</t>
    <rPh sb="0" eb="4">
      <t>カイインカイシャ</t>
    </rPh>
    <rPh sb="8" eb="9">
      <t>ケタ</t>
    </rPh>
    <rPh sb="11" eb="13">
      <t>ヘンカン</t>
    </rPh>
    <rPh sb="14" eb="16">
      <t>ハンヨウ</t>
    </rPh>
    <rPh sb="20" eb="24">
      <t>リヨウハンテイ</t>
    </rPh>
    <rPh sb="24" eb="25">
      <t>ヨウ</t>
    </rPh>
    <phoneticPr fontId="15"/>
  </si>
  <si>
    <r>
      <rPr>
        <sz val="11"/>
        <color rgb="FFFF0000"/>
        <rFont val="Meiryo UI"/>
        <family val="3"/>
        <charset val="128"/>
      </rPr>
      <t>会員管理会社管理マスタ.会員会社CD</t>
    </r>
    <r>
      <rPr>
        <sz val="11"/>
        <color rgb="FF0000FF"/>
        <rFont val="Meiryo UI"/>
        <family val="3"/>
        <charset val="128"/>
      </rPr>
      <t>　が
・03：ヒューテックTYPE A　の場合：　　　汎用マスタ_会員会社タイプ_CK191
・18：ヒューテックTYPE S　の場合：　　　汎用マスタ_会員会社タイプ_CK198
・08：大都販売　の場合：　　　　　　　　汎用マスタ_会員会社タイプ_CK062
・07：アイゲート(旧 アイ電子) の場合：　汎用マスタ_会員会社タイプ_CK063
・上記以外の場合：　　　　　　　　　　　@NULL</t>
    </r>
    <rPh sb="12" eb="16">
      <t>カイインカイシャ</t>
    </rPh>
    <phoneticPr fontId="15"/>
  </si>
  <si>
    <t>カード受注ヘッダ</t>
    <rPh sb="3" eb="5">
      <t>ジュチュウ</t>
    </rPh>
    <phoneticPr fontId="16"/>
  </si>
  <si>
    <t>カード受注No</t>
    <rPh sb="3" eb="5">
      <t>ジュチュウ</t>
    </rPh>
    <phoneticPr fontId="16"/>
  </si>
  <si>
    <t>カード注文No</t>
    <rPh sb="3" eb="5">
      <t>チュウモン</t>
    </rPh>
    <phoneticPr fontId="16"/>
  </si>
  <si>
    <t>STATUS_CD</t>
    <phoneticPr fontId="15"/>
  </si>
  <si>
    <t>ステータスCD</t>
    <phoneticPr fontId="15"/>
  </si>
  <si>
    <t>CODE</t>
    <phoneticPr fontId="15"/>
  </si>
  <si>
    <t>受注ステータスCD</t>
    <rPh sb="0" eb="2">
      <t>ジュチュウ</t>
    </rPh>
    <phoneticPr fontId="16"/>
  </si>
  <si>
    <t>汎用マスタ</t>
    <rPh sb="0" eb="2">
      <t>ハンヨウ</t>
    </rPh>
    <phoneticPr fontId="16"/>
  </si>
  <si>
    <t>汎用名</t>
    <rPh sb="0" eb="3">
      <t>ハンヨウメイ</t>
    </rPh>
    <phoneticPr fontId="16"/>
  </si>
  <si>
    <t>ホール名</t>
    <rPh sb="3" eb="4">
      <t>メイ</t>
    </rPh>
    <phoneticPr fontId="16"/>
  </si>
  <si>
    <t>導入システム区分</t>
    <rPh sb="0" eb="2">
      <t>ドウニュウ</t>
    </rPh>
    <rPh sb="6" eb="8">
      <t>クブン</t>
    </rPh>
    <phoneticPr fontId="16"/>
  </si>
  <si>
    <t>注文区分</t>
    <rPh sb="0" eb="4">
      <t>チュウモンクブン</t>
    </rPh>
    <phoneticPr fontId="16"/>
  </si>
  <si>
    <t>一般／会員区分</t>
    <phoneticPr fontId="15"/>
  </si>
  <si>
    <t>３．補足説明_■代表商品の取得参照</t>
    <rPh sb="2" eb="6">
      <t>ホソクセツメイ</t>
    </rPh>
    <rPh sb="15" eb="17">
      <t>サンショウ</t>
    </rPh>
    <phoneticPr fontId="15"/>
  </si>
  <si>
    <t>カード定価マスタ
商品マスタ</t>
    <rPh sb="3" eb="5">
      <t>テイカ</t>
    </rPh>
    <rPh sb="9" eb="11">
      <t>ショウヒン</t>
    </rPh>
    <phoneticPr fontId="16"/>
  </si>
  <si>
    <t>カード受注商品名
商品名</t>
    <rPh sb="3" eb="5">
      <t>ジュチュウ</t>
    </rPh>
    <rPh sb="5" eb="8">
      <t>ショウヒンメイ</t>
    </rPh>
    <rPh sb="9" eb="12">
      <t>ショウヒンメイ</t>
    </rPh>
    <phoneticPr fontId="16"/>
  </si>
  <si>
    <t>カード受注明細</t>
    <rPh sb="3" eb="7">
      <t>ジュチュウメイサイ</t>
    </rPh>
    <phoneticPr fontId="16"/>
  </si>
  <si>
    <t>商品CD(営業)
商品CD(商品)</t>
    <rPh sb="0" eb="2">
      <t>ショウヒン</t>
    </rPh>
    <rPh sb="5" eb="7">
      <t>エイギョウ</t>
    </rPh>
    <phoneticPr fontId="16"/>
  </si>
  <si>
    <t>３．補足説明_■商品種類名の取得参照</t>
    <rPh sb="2" eb="6">
      <t>ホソクセツメイ</t>
    </rPh>
    <rPh sb="8" eb="10">
      <t>ショウヒン</t>
    </rPh>
    <rPh sb="10" eb="12">
      <t>シュルイ</t>
    </rPh>
    <rPh sb="12" eb="13">
      <t>メイ</t>
    </rPh>
    <rPh sb="14" eb="16">
      <t>シュトク</t>
    </rPh>
    <rPh sb="16" eb="18">
      <t>サンショウ</t>
    </rPh>
    <phoneticPr fontId="15"/>
  </si>
  <si>
    <t>商品種類名</t>
    <rPh sb="0" eb="5">
      <t>ショウヒンシュルイメイ</t>
    </rPh>
    <phoneticPr fontId="16"/>
  </si>
  <si>
    <t>３．補足説明_■カード販売単価の取得参照</t>
    <rPh sb="2" eb="6">
      <t>ホソクセツメイ</t>
    </rPh>
    <rPh sb="11" eb="15">
      <t>ハンバイタンカ</t>
    </rPh>
    <rPh sb="16" eb="18">
      <t>シュトク</t>
    </rPh>
    <rPh sb="18" eb="20">
      <t>サンショウ</t>
    </rPh>
    <phoneticPr fontId="15"/>
  </si>
  <si>
    <t>カード販売単価</t>
    <rPh sb="3" eb="7">
      <t>ハンバイタンカ</t>
    </rPh>
    <phoneticPr fontId="16"/>
  </si>
  <si>
    <t>３．補足説明_■カード販売数の取得参照</t>
    <rPh sb="2" eb="6">
      <t>ホソクセツメイ</t>
    </rPh>
    <rPh sb="11" eb="13">
      <t>ハンバイ</t>
    </rPh>
    <rPh sb="13" eb="14">
      <t>スウ</t>
    </rPh>
    <rPh sb="15" eb="17">
      <t>シュトク</t>
    </rPh>
    <rPh sb="17" eb="19">
      <t>サンショウ</t>
    </rPh>
    <phoneticPr fontId="15"/>
  </si>
  <si>
    <t>カード販売数</t>
    <rPh sb="3" eb="6">
      <t>ハンバイスウ</t>
    </rPh>
    <phoneticPr fontId="16"/>
  </si>
  <si>
    <t>カード出荷指示ヘッダ</t>
    <rPh sb="3" eb="7">
      <t>シュッカシジ</t>
    </rPh>
    <phoneticPr fontId="16"/>
  </si>
  <si>
    <t>カード配送日</t>
    <rPh sb="3" eb="6">
      <t>ハイソウビ</t>
    </rPh>
    <phoneticPr fontId="16"/>
  </si>
  <si>
    <t>申込日</t>
    <rPh sb="0" eb="3">
      <t>モウシコミビ</t>
    </rPh>
    <phoneticPr fontId="16"/>
  </si>
  <si>
    <t>確定日</t>
    <rPh sb="0" eb="3">
      <t>カクテイビ</t>
    </rPh>
    <phoneticPr fontId="16"/>
  </si>
  <si>
    <t>受付日</t>
    <rPh sb="0" eb="3">
      <t>ウケツケビ</t>
    </rPh>
    <phoneticPr fontId="16"/>
  </si>
  <si>
    <t>３．補足説明_■会員番号枠依頼状態区分名の取得参照</t>
    <rPh sb="2" eb="6">
      <t>ホソクセツメイ</t>
    </rPh>
    <rPh sb="8" eb="10">
      <t>カイイン</t>
    </rPh>
    <rPh sb="10" eb="12">
      <t>バンゴウ</t>
    </rPh>
    <rPh sb="12" eb="13">
      <t>ワク</t>
    </rPh>
    <rPh sb="13" eb="15">
      <t>イライ</t>
    </rPh>
    <rPh sb="15" eb="17">
      <t>ジョウタイ</t>
    </rPh>
    <rPh sb="17" eb="19">
      <t>クブン</t>
    </rPh>
    <rPh sb="19" eb="20">
      <t>メイ</t>
    </rPh>
    <rPh sb="21" eb="23">
      <t>シュトク</t>
    </rPh>
    <rPh sb="23" eb="25">
      <t>サンショウ</t>
    </rPh>
    <phoneticPr fontId="15"/>
  </si>
  <si>
    <t>会員番号枠依頼状態区分CD</t>
    <rPh sb="0" eb="7">
      <t>カイインバンゴウワクイライ</t>
    </rPh>
    <rPh sb="7" eb="9">
      <t>ジョウタイ</t>
    </rPh>
    <rPh sb="9" eb="11">
      <t>クブン</t>
    </rPh>
    <phoneticPr fontId="16"/>
  </si>
  <si>
    <t>３．補足説明_■会員番号枠回答状態区分名の取得参照</t>
    <rPh sb="2" eb="6">
      <t>ホソクセツメイ</t>
    </rPh>
    <rPh sb="8" eb="10">
      <t>カイイン</t>
    </rPh>
    <rPh sb="10" eb="12">
      <t>バンゴウ</t>
    </rPh>
    <rPh sb="12" eb="13">
      <t>ワク</t>
    </rPh>
    <rPh sb="13" eb="15">
      <t>カイトウ</t>
    </rPh>
    <rPh sb="15" eb="17">
      <t>ジョウタイ</t>
    </rPh>
    <rPh sb="17" eb="19">
      <t>クブン</t>
    </rPh>
    <rPh sb="19" eb="20">
      <t>メイ</t>
    </rPh>
    <rPh sb="21" eb="23">
      <t>シュトク</t>
    </rPh>
    <rPh sb="23" eb="25">
      <t>サンショウ</t>
    </rPh>
    <phoneticPr fontId="15"/>
  </si>
  <si>
    <t>会員番号枠回答状態区分CD</t>
    <rPh sb="0" eb="2">
      <t>カイイン</t>
    </rPh>
    <rPh sb="2" eb="4">
      <t>バンゴウ</t>
    </rPh>
    <rPh sb="4" eb="5">
      <t>ワク</t>
    </rPh>
    <rPh sb="5" eb="7">
      <t>カイトウ</t>
    </rPh>
    <rPh sb="7" eb="9">
      <t>ジョウタイ</t>
    </rPh>
    <rPh sb="9" eb="11">
      <t>クブン</t>
    </rPh>
    <phoneticPr fontId="16"/>
  </si>
  <si>
    <t>取引先マスタ</t>
    <rPh sb="0" eb="3">
      <t>トリヒキサキ</t>
    </rPh>
    <phoneticPr fontId="16"/>
  </si>
  <si>
    <t>取引先名</t>
    <rPh sb="0" eb="3">
      <t>トリヒキサキ</t>
    </rPh>
    <rPh sb="3" eb="4">
      <t>メイ</t>
    </rPh>
    <phoneticPr fontId="16"/>
  </si>
  <si>
    <t>会員管理会社取引先CD</t>
    <rPh sb="0" eb="6">
      <t>カイインカンリガイシャ</t>
    </rPh>
    <rPh sb="6" eb="9">
      <t>トリヒキサキ</t>
    </rPh>
    <phoneticPr fontId="16"/>
  </si>
  <si>
    <t>組織マスタ</t>
    <rPh sb="0" eb="2">
      <t>ソシキ</t>
    </rPh>
    <phoneticPr fontId="16"/>
  </si>
  <si>
    <t>組織名</t>
    <rPh sb="0" eb="3">
      <t>ソシキメイ</t>
    </rPh>
    <phoneticPr fontId="16"/>
  </si>
  <si>
    <t>ホール自社担当マスタ</t>
    <rPh sb="3" eb="5">
      <t>ジシャ</t>
    </rPh>
    <rPh sb="5" eb="7">
      <t>タントウ</t>
    </rPh>
    <phoneticPr fontId="16"/>
  </si>
  <si>
    <t>主管部CD</t>
    <rPh sb="0" eb="3">
      <t>シュカンブ</t>
    </rPh>
    <phoneticPr fontId="16"/>
  </si>
  <si>
    <t>社員マスタ</t>
    <rPh sb="0" eb="2">
      <t>シャイン</t>
    </rPh>
    <phoneticPr fontId="16"/>
  </si>
  <si>
    <t>社員名</t>
    <rPh sb="0" eb="3">
      <t>シャインメイ</t>
    </rPh>
    <phoneticPr fontId="16"/>
  </si>
  <si>
    <t>主管社員CD</t>
    <rPh sb="0" eb="2">
      <t>シュカン</t>
    </rPh>
    <rPh sb="2" eb="4">
      <t>シャイン</t>
    </rPh>
    <phoneticPr fontId="16"/>
  </si>
  <si>
    <t>カード受注ヘッダ.差戻理由(注文)とカード受注ヘッダ.差戻理由(受注)をカンマ区切りで結合</t>
    <rPh sb="9" eb="11">
      <t>サシモドシ</t>
    </rPh>
    <rPh sb="11" eb="13">
      <t>リユウ</t>
    </rPh>
    <rPh sb="14" eb="16">
      <t>チュウモン</t>
    </rPh>
    <rPh sb="32" eb="34">
      <t>ジュチュウ</t>
    </rPh>
    <rPh sb="39" eb="41">
      <t>クギ</t>
    </rPh>
    <rPh sb="43" eb="45">
      <t>ケツゴウ</t>
    </rPh>
    <phoneticPr fontId="15"/>
  </si>
  <si>
    <t>差戻理由(注文)
差戻理由(受注)</t>
    <rPh sb="0" eb="4">
      <t>サシモドシリユウ</t>
    </rPh>
    <rPh sb="5" eb="7">
      <t>チュウモン</t>
    </rPh>
    <rPh sb="9" eb="13">
      <t>サシモドシリユウ</t>
    </rPh>
    <rPh sb="14" eb="16">
      <t>ジュチュウ</t>
    </rPh>
    <phoneticPr fontId="16"/>
  </si>
  <si>
    <t>カード案件ヘッダ</t>
  </si>
  <si>
    <t>カード受注ヘッダ.カード案件No</t>
    <rPh sb="3" eb="5">
      <t>ジュチュウ</t>
    </rPh>
    <rPh sb="12" eb="14">
      <t>アンケン</t>
    </rPh>
    <phoneticPr fontId="26"/>
  </si>
  <si>
    <t>カード案件ヘッダ.カード案件No</t>
    <phoneticPr fontId="15"/>
  </si>
  <si>
    <t>カード出荷指示ヘッダ</t>
  </si>
  <si>
    <t>カード受注ヘッダ.カード受注No</t>
    <phoneticPr fontId="26"/>
  </si>
  <si>
    <t>カード出荷指示ヘッダ.カード受注No</t>
    <phoneticPr fontId="15"/>
  </si>
  <si>
    <t>カード受注ヘッダ.ホールCD</t>
    <phoneticPr fontId="15"/>
  </si>
  <si>
    <t>ホールマスタ.削除フラグ</t>
    <phoneticPr fontId="15"/>
  </si>
  <si>
    <t>ホール契約マスタ</t>
  </si>
  <si>
    <t>ホール契約マスタ.ホールCD</t>
    <phoneticPr fontId="15"/>
  </si>
  <si>
    <t>ホール契約マスタ.適用開始日</t>
    <phoneticPr fontId="15"/>
  </si>
  <si>
    <t>ホール契約マスタ.適用終了日</t>
    <phoneticPr fontId="15"/>
  </si>
  <si>
    <t>ホール管理マスタ.ホールCD</t>
    <rPh sb="3" eb="5">
      <t>カンリ</t>
    </rPh>
    <phoneticPr fontId="15"/>
  </si>
  <si>
    <t>ホール管理マスタ.適用開始日</t>
  </si>
  <si>
    <t>ホール管理マスタ.適用終了日</t>
  </si>
  <si>
    <t>ホール・店舗紐付マスタ</t>
  </si>
  <si>
    <t>ホール・店舗紐付マスタ.ホールCD</t>
    <phoneticPr fontId="15"/>
  </si>
  <si>
    <t>ホール・店舗紐付マスタ.適用開始日</t>
    <phoneticPr fontId="15"/>
  </si>
  <si>
    <t>ホール・店舗紐付マスタ.適用終了日</t>
    <phoneticPr fontId="15"/>
  </si>
  <si>
    <t>ホール・法人・決済相手先紐付マスタ.適用開始日</t>
    <phoneticPr fontId="15"/>
  </si>
  <si>
    <t>ホール・法人・決済相手先紐付マスタ.適用終了日</t>
    <phoneticPr fontId="15"/>
  </si>
  <si>
    <t>ール自社担当者マスタ</t>
  </si>
  <si>
    <t>ホール自社担当者マスタ.適用開始日</t>
    <phoneticPr fontId="15"/>
  </si>
  <si>
    <t>ホール自社担当者マスタ.適用終了日</t>
    <phoneticPr fontId="15"/>
  </si>
  <si>
    <t>組織マスタ</t>
  </si>
  <si>
    <t>ホール自社担当者マスタ.主管部CD</t>
    <phoneticPr fontId="15"/>
  </si>
  <si>
    <t>組織マスタ.組織CD</t>
    <phoneticPr fontId="15"/>
  </si>
  <si>
    <t>組織マスタ.削除フラグ</t>
    <phoneticPr fontId="15"/>
  </si>
  <si>
    <t>"0"</t>
  </si>
  <si>
    <t>社員マスタ</t>
  </si>
  <si>
    <t>ホール自社担当者マスタ.主管部CD</t>
  </si>
  <si>
    <t>社員マスタ.社員CD</t>
    <phoneticPr fontId="15"/>
  </si>
  <si>
    <t>社員マスタ.削除フラグ</t>
    <phoneticPr fontId="15"/>
  </si>
  <si>
    <t>取引先マスタ.取引先CD</t>
    <phoneticPr fontId="15"/>
  </si>
  <si>
    <t>取引先マスタ.削除フラグ</t>
    <phoneticPr fontId="15"/>
  </si>
  <si>
    <t>汎用マスタ_導入システム区分</t>
    <rPh sb="0" eb="2">
      <t>ハンヨウ</t>
    </rPh>
    <phoneticPr fontId="15"/>
  </si>
  <si>
    <t>汎用マスタ_注文区分</t>
    <rPh sb="0" eb="2">
      <t>ハンヨウ</t>
    </rPh>
    <rPh sb="6" eb="8">
      <t>チュウモン</t>
    </rPh>
    <rPh sb="8" eb="10">
      <t>クブン</t>
    </rPh>
    <phoneticPr fontId="15"/>
  </si>
  <si>
    <t>汎用マスタ_一般／会員区分</t>
    <rPh sb="0" eb="2">
      <t>ハンヨウ</t>
    </rPh>
    <phoneticPr fontId="15"/>
  </si>
  <si>
    <t>★カード定価マスタ件数取得用テーブル</t>
  </si>
  <si>
    <t>カード受注ヘッダ.カード受注No</t>
    <phoneticPr fontId="15"/>
  </si>
  <si>
    <t>カード定価マスタ件数取得用テーブル.カード受注No</t>
  </si>
  <si>
    <t>カード定価マスタ</t>
  </si>
  <si>
    <t>商品マスタ</t>
  </si>
  <si>
    <t>★カード定価マスタ件数取得用テーブル</t>
    <phoneticPr fontId="15"/>
  </si>
  <si>
    <t>　★カード定価マスタ件数取得用テーブル.件数が0件、または、NULLの場合</t>
    <rPh sb="20" eb="22">
      <t>ケンスウ</t>
    </rPh>
    <rPh sb="24" eb="25">
      <t>ケン</t>
    </rPh>
    <rPh sb="35" eb="37">
      <t>バアイ</t>
    </rPh>
    <phoneticPr fontId="15"/>
  </si>
  <si>
    <t xml:space="preserve">  ★カード定価マスタ件数取得用テーブル.件数が1件の場合</t>
    <rPh sb="21" eb="23">
      <t>ケンスウ</t>
    </rPh>
    <rPh sb="25" eb="26">
      <t>ケン</t>
    </rPh>
    <rPh sb="27" eb="29">
      <t>バアイ</t>
    </rPh>
    <phoneticPr fontId="15"/>
  </si>
  <si>
    <t>AND (カード受注ヘッダ.差戻理由(注文) IS NOT NULL OR カード受注ヘッダ.差戻理由(受注) IS NOT NULL)</t>
    <rPh sb="8" eb="10">
      <t>ジュチュウ</t>
    </rPh>
    <rPh sb="14" eb="18">
      <t>サシモドシリユウ</t>
    </rPh>
    <rPh sb="19" eb="21">
      <t>チュウモン</t>
    </rPh>
    <rPh sb="52" eb="54">
      <t>ジュチュウ</t>
    </rPh>
    <phoneticPr fontId="19"/>
  </si>
  <si>
    <t>FLASE</t>
    <phoneticPr fontId="15"/>
  </si>
  <si>
    <t>カード受注ヘッダ</t>
    <rPh sb="3" eb="5">
      <t>ジュチュウ</t>
    </rPh>
    <phoneticPr fontId="26"/>
  </si>
  <si>
    <t>カード受注No</t>
    <rPh sb="3" eb="5">
      <t>ジュチュウ</t>
    </rPh>
    <phoneticPr fontId="26"/>
  </si>
  <si>
    <t>カード受注明細No</t>
  </si>
  <si>
    <t>FLASE</t>
  </si>
  <si>
    <t>カード受注明細</t>
    <rPh sb="3" eb="7">
      <t>ジュチュウメイサイ</t>
    </rPh>
    <phoneticPr fontId="26"/>
  </si>
  <si>
    <t>カード受注明細No</t>
    <rPh sb="3" eb="5">
      <t>ジュチュウ</t>
    </rPh>
    <rPh sb="5" eb="7">
      <t>メイサイ</t>
    </rPh>
    <phoneticPr fontId="16"/>
  </si>
  <si>
    <t>注文日</t>
  </si>
  <si>
    <t>申込日</t>
    <rPh sb="0" eb="3">
      <t>モウシコミビ</t>
    </rPh>
    <phoneticPr fontId="26"/>
  </si>
  <si>
    <t>受注日</t>
  </si>
  <si>
    <t>確定日</t>
    <rPh sb="0" eb="3">
      <t>カクテイビ</t>
    </rPh>
    <phoneticPr fontId="26"/>
  </si>
  <si>
    <t>ACCEPT_RECEIPT_DT</t>
  </si>
  <si>
    <t>受注受付日</t>
  </si>
  <si>
    <t>受付日</t>
    <rPh sb="0" eb="3">
      <t>ウケツケビ</t>
    </rPh>
    <phoneticPr fontId="26"/>
  </si>
  <si>
    <t>COMPANY_CD</t>
  </si>
  <si>
    <t>法人コード</t>
  </si>
  <si>
    <t>法人マスタ</t>
    <rPh sb="0" eb="2">
      <t>ホウジン</t>
    </rPh>
    <phoneticPr fontId="16"/>
  </si>
  <si>
    <t>法人CD</t>
    <rPh sb="0" eb="2">
      <t>ホウジン</t>
    </rPh>
    <phoneticPr fontId="16"/>
  </si>
  <si>
    <t>COMPANY_NAME</t>
  </si>
  <si>
    <t>法人名</t>
  </si>
  <si>
    <t>法人名</t>
    <rPh sb="0" eb="3">
      <t>ホウジンメイ</t>
    </rPh>
    <phoneticPr fontId="16"/>
  </si>
  <si>
    <t>SHOP_CD</t>
  </si>
  <si>
    <t>店舗コード</t>
  </si>
  <si>
    <t>店舗マスタ</t>
    <rPh sb="0" eb="2">
      <t>テンポ</t>
    </rPh>
    <phoneticPr fontId="16"/>
  </si>
  <si>
    <t>店舗CD</t>
    <rPh sb="0" eb="2">
      <t>テンポ</t>
    </rPh>
    <phoneticPr fontId="16"/>
  </si>
  <si>
    <t>SHOP_NAME</t>
  </si>
  <si>
    <t>店舗名</t>
  </si>
  <si>
    <t>店舗名</t>
    <rPh sb="0" eb="3">
      <t>テンポメイ</t>
    </rPh>
    <phoneticPr fontId="16"/>
  </si>
  <si>
    <t>導入システム区分名</t>
  </si>
  <si>
    <t>汎用マスタ</t>
    <rPh sb="0" eb="2">
      <t>ハンヨウ</t>
    </rPh>
    <phoneticPr fontId="26"/>
  </si>
  <si>
    <t>汎用名</t>
    <rPh sb="0" eb="3">
      <t>ハンヨウメイ</t>
    </rPh>
    <phoneticPr fontId="26"/>
  </si>
  <si>
    <t>ホール管理マスタ</t>
    <rPh sb="3" eb="5">
      <t>カンリ</t>
    </rPh>
    <phoneticPr fontId="16"/>
  </si>
  <si>
    <t>オープン日</t>
    <rPh sb="4" eb="5">
      <t>ビ</t>
    </rPh>
    <phoneticPr fontId="16"/>
  </si>
  <si>
    <t>注文区分名</t>
    <rPh sb="2" eb="4">
      <t>クブン</t>
    </rPh>
    <rPh sb="4" eb="5">
      <t>メイ</t>
    </rPh>
    <phoneticPr fontId="15"/>
  </si>
  <si>
    <t>一般/会員区分名</t>
  </si>
  <si>
    <t>DELIVER_SCHED_DT</t>
  </si>
  <si>
    <t>配送予定日</t>
  </si>
  <si>
    <t>配送希望日</t>
    <rPh sb="0" eb="5">
      <t>ハイソウキボウビ</t>
    </rPh>
    <phoneticPr fontId="16"/>
  </si>
  <si>
    <t>配送日</t>
  </si>
  <si>
    <t>会員管理会社名</t>
  </si>
  <si>
    <t>取引先名</t>
    <rPh sb="0" eb="4">
      <t>トリヒキサキメイ</t>
    </rPh>
    <phoneticPr fontId="16"/>
  </si>
  <si>
    <t>会員番号枠依頼状態区分名</t>
  </si>
  <si>
    <t>会員番号枠回答状態区分名</t>
  </si>
  <si>
    <t>SALES_ORGA_NAME</t>
  </si>
  <si>
    <t>営業部門名</t>
  </si>
  <si>
    <t>組織マスタ</t>
    <rPh sb="0" eb="2">
      <t>ソシキ</t>
    </rPh>
    <phoneticPr fontId="26"/>
  </si>
  <si>
    <t>組織名</t>
    <rPh sb="0" eb="3">
      <t>ソシキメイ</t>
    </rPh>
    <phoneticPr fontId="26"/>
  </si>
  <si>
    <t>営業担当者名</t>
  </si>
  <si>
    <t>社員マスタ</t>
    <rPh sb="0" eb="2">
      <t>シャイン</t>
    </rPh>
    <phoneticPr fontId="26"/>
  </si>
  <si>
    <t>社員名</t>
    <rPh sb="0" eb="3">
      <t>シャインメイ</t>
    </rPh>
    <phoneticPr fontId="26"/>
  </si>
  <si>
    <t>CANCEL_DT</t>
  </si>
  <si>
    <t>案件取消日</t>
  </si>
  <si>
    <t>カード案件ヘッダ</t>
    <rPh sb="3" eb="5">
      <t>アンケン</t>
    </rPh>
    <phoneticPr fontId="26"/>
  </si>
  <si>
    <t>案件取消日</t>
    <rPh sb="0" eb="2">
      <t>アンケン</t>
    </rPh>
    <rPh sb="2" eb="5">
      <t>トリケシビ</t>
    </rPh>
    <phoneticPr fontId="26"/>
  </si>
  <si>
    <t>商品名</t>
  </si>
  <si>
    <t>商品種類名</t>
    <rPh sb="0" eb="5">
      <t>ショウヒンシュルイメイ</t>
    </rPh>
    <phoneticPr fontId="26"/>
  </si>
  <si>
    <t>カード販売数</t>
    <rPh sb="3" eb="6">
      <t>ハンバイスウ</t>
    </rPh>
    <phoneticPr fontId="26"/>
  </si>
  <si>
    <t>カード販売単価</t>
    <rPh sb="3" eb="7">
      <t>ハンバイタンカ</t>
    </rPh>
    <phoneticPr fontId="26"/>
  </si>
  <si>
    <t>カード販売単価(定価)</t>
  </si>
  <si>
    <t>カード販売単価(定価)</t>
    <rPh sb="3" eb="7">
      <t>ハンバイタンカ</t>
    </rPh>
    <rPh sb="8" eb="10">
      <t>テイカ</t>
    </rPh>
    <phoneticPr fontId="26"/>
  </si>
  <si>
    <t>DISCOUNT_UPRICE</t>
  </si>
  <si>
    <t>値引単価</t>
  </si>
  <si>
    <t>カード販売単価
カード販売単価(定価)</t>
    <rPh sb="3" eb="7">
      <t>ハンバイタンカ</t>
    </rPh>
    <phoneticPr fontId="26"/>
  </si>
  <si>
    <t>SELL_PRICE</t>
    <phoneticPr fontId="15"/>
  </si>
  <si>
    <t>販売価格</t>
  </si>
  <si>
    <t>カード販売単価
カード販売数</t>
    <rPh sb="3" eb="7">
      <t>ハンバイタンカ</t>
    </rPh>
    <phoneticPr fontId="26"/>
  </si>
  <si>
    <t>LASER_PRINT_MEMBER_NO_FROM</t>
  </si>
  <si>
    <t>レーザー印字会員番号(From)</t>
  </si>
  <si>
    <t>会員番号枠依頼管理</t>
    <rPh sb="0" eb="5">
      <t>カイインバンゴウワク</t>
    </rPh>
    <rPh sb="5" eb="9">
      <t>イライカンリ</t>
    </rPh>
    <phoneticPr fontId="16"/>
  </si>
  <si>
    <t>レーザー印字会員番号(From)</t>
    <rPh sb="4" eb="6">
      <t>インジ</t>
    </rPh>
    <rPh sb="6" eb="10">
      <t>カイインバンゴウ</t>
    </rPh>
    <phoneticPr fontId="16"/>
  </si>
  <si>
    <t>LASER_PRINT_MEMBER_NO_TO</t>
  </si>
  <si>
    <t>レーザー印字会員番号(To)</t>
  </si>
  <si>
    <t>レーザー印字会員番号(To)</t>
    <rPh sb="4" eb="6">
      <t>インジ</t>
    </rPh>
    <rPh sb="6" eb="10">
      <t>カイインバンゴウ</t>
    </rPh>
    <phoneticPr fontId="16"/>
  </si>
  <si>
    <t>CARD_HALLGROUP_CD</t>
  </si>
  <si>
    <t>共用グループコード</t>
  </si>
  <si>
    <t>ホールグループマスタ</t>
  </si>
  <si>
    <t>ホールグループCD</t>
  </si>
  <si>
    <t>CARD_HALLGROUP_NAME</t>
  </si>
  <si>
    <t>共用グループ名</t>
  </si>
  <si>
    <t>グループ名</t>
    <rPh sb="4" eb="5">
      <t>メイ</t>
    </rPh>
    <phoneticPr fontId="16"/>
  </si>
  <si>
    <t>カード注文No</t>
  </si>
  <si>
    <t>カード注文No</t>
    <rPh sb="3" eb="5">
      <t>チュウモン</t>
    </rPh>
    <phoneticPr fontId="26"/>
  </si>
  <si>
    <t>ステータス名</t>
  </si>
  <si>
    <t>差戻理由</t>
  </si>
  <si>
    <t>差戻理由(注文)
差戻理由(受注)</t>
    <rPh sb="0" eb="4">
      <t>サシモドシリユウ</t>
    </rPh>
    <rPh sb="5" eb="7">
      <t>チュウモン</t>
    </rPh>
    <rPh sb="9" eb="13">
      <t>サシモドシリユウ</t>
    </rPh>
    <rPh sb="14" eb="16">
      <t>ジュチュウ</t>
    </rPh>
    <phoneticPr fontId="26"/>
  </si>
  <si>
    <t>店舗マスタ.店舗CD</t>
  </si>
  <si>
    <t>　ホール・法人・決済相手先紐付マスタ</t>
    <phoneticPr fontId="15"/>
  </si>
  <si>
    <t>ホール・法人・決済相手先紐付マスタ.法人CD</t>
    <phoneticPr fontId="15"/>
  </si>
  <si>
    <t>法人マスタ.法人CD</t>
    <phoneticPr fontId="15"/>
  </si>
  <si>
    <t>　★カード定価マスタ件数取得用テーブル</t>
    <phoneticPr fontId="15"/>
  </si>
  <si>
    <t>　カード定価マスタ</t>
    <phoneticPr fontId="15"/>
  </si>
  <si>
    <t>商品CD(生)</t>
    <rPh sb="0" eb="2">
      <t>ショウヒン</t>
    </rPh>
    <rPh sb="5" eb="6">
      <t>ナマ</t>
    </rPh>
    <phoneticPr fontId="20"/>
  </si>
  <si>
    <t>商品CD(生)</t>
    <phoneticPr fontId="15"/>
  </si>
  <si>
    <t>RAW_ITEM_CD</t>
    <phoneticPr fontId="15"/>
  </si>
  <si>
    <t>ITEM_NAME</t>
    <phoneticPr fontId="15"/>
  </si>
  <si>
    <t>RAW_ITEM_NAME</t>
    <phoneticPr fontId="15"/>
  </si>
  <si>
    <t>商品名(生)</t>
    <phoneticPr fontId="20"/>
  </si>
  <si>
    <t>カード受注商品名
商品名</t>
    <rPh sb="3" eb="8">
      <t>ジュチュウショウヒンメイ</t>
    </rPh>
    <rPh sb="9" eb="12">
      <t>ショウヒンメイ</t>
    </rPh>
    <phoneticPr fontId="20"/>
  </si>
  <si>
    <t>商品CD(営業)がNULLではない場合、
　カード定価マスタ.カード受注商品名
上記以外の場合
　商品マスタ.商品名</t>
    <rPh sb="17" eb="19">
      <t>バアイ</t>
    </rPh>
    <rPh sb="25" eb="27">
      <t>テイカ</t>
    </rPh>
    <rPh sb="34" eb="39">
      <t>ジュチュウショウヒンメイ</t>
    </rPh>
    <rPh sb="40" eb="44">
      <t>ジョウキイガイ</t>
    </rPh>
    <rPh sb="45" eb="47">
      <t>バアイ</t>
    </rPh>
    <rPh sb="49" eb="51">
      <t>ショウヒン</t>
    </rPh>
    <rPh sb="55" eb="58">
      <t>ショウヒンメイ</t>
    </rPh>
    <phoneticPr fontId="15"/>
  </si>
  <si>
    <t>既存の設計書で日付の条件見当たらず</t>
    <rPh sb="0" eb="2">
      <t>キゾン</t>
    </rPh>
    <rPh sb="3" eb="6">
      <t>セッケイショ</t>
    </rPh>
    <rPh sb="7" eb="9">
      <t>ヒヅケ</t>
    </rPh>
    <rPh sb="10" eb="12">
      <t>ジョウケン</t>
    </rPh>
    <rPh sb="12" eb="14">
      <t>ミア</t>
    </rPh>
    <phoneticPr fontId="15"/>
  </si>
  <si>
    <t>商品マスタ_商品</t>
    <rPh sb="0" eb="2">
      <t>ショウヒン</t>
    </rPh>
    <rPh sb="6" eb="8">
      <t>ショウヒン</t>
    </rPh>
    <phoneticPr fontId="15"/>
  </si>
  <si>
    <t>商品マスタ_生</t>
    <rPh sb="0" eb="2">
      <t>ショウヒン</t>
    </rPh>
    <rPh sb="6" eb="7">
      <t>ナマ</t>
    </rPh>
    <phoneticPr fontId="15"/>
  </si>
  <si>
    <t>商品マスタ_生.商品CD</t>
    <rPh sb="0" eb="2">
      <t>ショウヒン</t>
    </rPh>
    <rPh sb="6" eb="7">
      <t>ナマ</t>
    </rPh>
    <rPh sb="8" eb="10">
      <t>ショウヒン</t>
    </rPh>
    <phoneticPr fontId="15"/>
  </si>
  <si>
    <t>商品マスタ_生</t>
    <rPh sb="0" eb="2">
      <t>ショウヒン</t>
    </rPh>
    <rPh sb="6" eb="7">
      <t>ナマ</t>
    </rPh>
    <phoneticPr fontId="20"/>
  </si>
  <si>
    <t>商品マスタ_商品.商品CD</t>
    <rPh sb="0" eb="2">
      <t>ショウヒン</t>
    </rPh>
    <rPh sb="6" eb="8">
      <t>ショウヒン</t>
    </rPh>
    <rPh sb="9" eb="11">
      <t>ショウヒン</t>
    </rPh>
    <phoneticPr fontId="15"/>
  </si>
  <si>
    <t>カード定価マスタ
商品マスタ_商品</t>
    <rPh sb="3" eb="5">
      <t>テイカ</t>
    </rPh>
    <rPh sb="9" eb="11">
      <t>ショウヒン</t>
    </rPh>
    <rPh sb="15" eb="17">
      <t>ショウヒン</t>
    </rPh>
    <phoneticPr fontId="20"/>
  </si>
  <si>
    <t>カード本体の画面.商品名</t>
    <rPh sb="3" eb="5">
      <t>ホンタイ</t>
    </rPh>
    <rPh sb="6" eb="8">
      <t>ガメン</t>
    </rPh>
    <rPh sb="9" eb="12">
      <t>ショウヒンメイ</t>
    </rPh>
    <phoneticPr fontId="15"/>
  </si>
  <si>
    <t>版下・デザイン代の画面.商品名</t>
    <rPh sb="0" eb="2">
      <t>ハンシタ</t>
    </rPh>
    <rPh sb="7" eb="8">
      <t>ダイ</t>
    </rPh>
    <rPh sb="9" eb="11">
      <t>ガメン</t>
    </rPh>
    <rPh sb="12" eb="15">
      <t>ショウヒンメイ</t>
    </rPh>
    <phoneticPr fontId="15"/>
  </si>
  <si>
    <t>Q_CKT0302_0010</t>
    <phoneticPr fontId="17"/>
  </si>
  <si>
    <t>MTM3380_PL_CORP_STL</t>
    <phoneticPr fontId="15"/>
  </si>
  <si>
    <t>ZIP_CD1_CORP</t>
    <phoneticPr fontId="15"/>
  </si>
  <si>
    <t>ZIP_CD2_CORP</t>
    <phoneticPr fontId="15"/>
  </si>
  <si>
    <t>ADDR_INF1_CORP</t>
    <phoneticPr fontId="15"/>
  </si>
  <si>
    <t>ADDR_INF2_CORP</t>
    <phoneticPr fontId="15"/>
  </si>
  <si>
    <t>ADDR_INF3_CORP</t>
    <phoneticPr fontId="15"/>
  </si>
  <si>
    <t>TEL_NO_AREA_CORP</t>
    <phoneticPr fontId="15"/>
  </si>
  <si>
    <t>TEL_NO_LOCAL_CORP</t>
    <phoneticPr fontId="15"/>
  </si>
  <si>
    <t>TEL_NO_SBSCRB_CORP</t>
    <phoneticPr fontId="15"/>
  </si>
  <si>
    <t>FAX_NO_AREA_CORP</t>
    <phoneticPr fontId="15"/>
  </si>
  <si>
    <t>FAX_NO_LOCAL_CORP</t>
    <phoneticPr fontId="15"/>
  </si>
  <si>
    <t>FAX_NO_SBSCRB_CORP</t>
    <phoneticPr fontId="15"/>
  </si>
  <si>
    <t>MTM3180_HL_CORP_EMP</t>
    <phoneticPr fontId="15"/>
  </si>
  <si>
    <t>MTM3080_HALL</t>
    <phoneticPr fontId="15"/>
  </si>
  <si>
    <t>ZIP_CD1_HALL</t>
    <phoneticPr fontId="15"/>
  </si>
  <si>
    <t>ZIP_CD2_HALL</t>
    <phoneticPr fontId="15"/>
  </si>
  <si>
    <t>ADDR_INF1_HALL</t>
    <phoneticPr fontId="15"/>
  </si>
  <si>
    <t>ADDR_INF2_HALL</t>
    <phoneticPr fontId="15"/>
  </si>
  <si>
    <t>ADDR_INF3_HALL</t>
    <phoneticPr fontId="15"/>
  </si>
  <si>
    <t>TEL_NO_AREA_HALL</t>
    <phoneticPr fontId="15"/>
  </si>
  <si>
    <t>TEL_NO_LOCAL_HALL</t>
    <phoneticPr fontId="15"/>
  </si>
  <si>
    <t>TEL_NO_SBSCRB_HALL</t>
    <phoneticPr fontId="15"/>
  </si>
  <si>
    <t>FAX_NO_AREA_HALL</t>
    <phoneticPr fontId="15"/>
  </si>
  <si>
    <t>FAX_NO_LOCAL_HALL</t>
    <phoneticPr fontId="15"/>
  </si>
  <si>
    <t>FAX_NO_SBSCRB_HALL</t>
    <phoneticPr fontId="15"/>
  </si>
  <si>
    <t>1 = 1</t>
    <phoneticPr fontId="15"/>
  </si>
  <si>
    <t xml:space="preserve"> AND カード受注ヘッダ.ホールCD = パラメータ.ホールCD</t>
    <phoneticPr fontId="15"/>
  </si>
  <si>
    <t>AND カード受注明細.受注No = パラメータ.受注No</t>
    <rPh sb="7" eb="11">
      <t>ジュチュウメイサイ</t>
    </rPh>
    <rPh sb="12" eb="14">
      <t>ジュチュウ</t>
    </rPh>
    <rPh sb="25" eb="27">
      <t>ジュチュウ</t>
    </rPh>
    <phoneticPr fontId="20"/>
  </si>
  <si>
    <t>※備考参照</t>
    <rPh sb="1" eb="5">
      <t>ビコウサンショウ</t>
    </rPh>
    <phoneticPr fontId="15"/>
  </si>
  <si>
    <t>ホール自社担当者マスタ</t>
  </si>
  <si>
    <t>会員管理会社管理マスタ</t>
  </si>
  <si>
    <t>住所マスタ</t>
  </si>
  <si>
    <t>・結合条件</t>
    <rPh sb="1" eb="5">
      <t>ケツゴウジョウケン</t>
    </rPh>
    <phoneticPr fontId="15"/>
  </si>
  <si>
    <t>３．補足　参照</t>
    <rPh sb="2" eb="4">
      <t>ホソク</t>
    </rPh>
    <rPh sb="5" eb="7">
      <t>サンショウ</t>
    </rPh>
    <phoneticPr fontId="15"/>
  </si>
  <si>
    <t>■カード配送先CD</t>
    <phoneticPr fontId="15"/>
  </si>
  <si>
    <t>カード配送先取得元区分が</t>
    <phoneticPr fontId="15"/>
  </si>
  <si>
    <t>カード配送先ホールCD</t>
  </si>
  <si>
    <t>カード配送先取引先CD</t>
  </si>
  <si>
    <t>上記以外の場合</t>
  </si>
  <si>
    <t>上記以外の場合</t>
    <rPh sb="0" eb="4">
      <t>ジョウキイガイ</t>
    </rPh>
    <rPh sb="5" eb="7">
      <t>バアイ</t>
    </rPh>
    <phoneticPr fontId="15"/>
  </si>
  <si>
    <t>NULL</t>
    <phoneticPr fontId="15"/>
  </si>
  <si>
    <t>03：ヒューテックTYPE A　の場合</t>
  </si>
  <si>
    <t>汎用マスタ_会員会社タイプ_CK191</t>
  </si>
  <si>
    <t>18：ヒューテックTYPE S　の場合</t>
  </si>
  <si>
    <t>汎用マスタ_会員会社タイプ_CK198</t>
  </si>
  <si>
    <t>08：大都販売　の場合</t>
  </si>
  <si>
    <t>汎用マスタ_会員会社タイプ_CK062</t>
  </si>
  <si>
    <t>07：アイゲート(旧 アイ電子) の場合</t>
  </si>
  <si>
    <t>汎用マスタ_会員会社タイプ_CK063</t>
  </si>
  <si>
    <t>@NULL</t>
  </si>
  <si>
    <t>2（その他）の場合</t>
    <phoneticPr fontId="15"/>
  </si>
  <si>
    <t>1（ホール）の場合</t>
    <phoneticPr fontId="15"/>
  </si>
  <si>
    <t>会員管理会社管理マスタ.会員会社CDが</t>
    <phoneticPr fontId="15"/>
  </si>
  <si>
    <t>案件ステータスCDが90：取消済の場合、案件ステータスCD</t>
  </si>
  <si>
    <t>上記以外の場合、受注ステータスCD</t>
  </si>
  <si>
    <t>上記以外の場合、受付ステータスCD</t>
  </si>
  <si>
    <t>■商品名</t>
    <rPh sb="1" eb="4">
      <t>ショウヒンメイ</t>
    </rPh>
    <phoneticPr fontId="15"/>
  </si>
  <si>
    <t>商品CD(営業)がNULLではない場合、</t>
  </si>
  <si>
    <t>　カード定価マスタ.カード受注商品名</t>
  </si>
  <si>
    <t>　商品マスタ.商品名</t>
  </si>
  <si>
    <t>■ソート順</t>
    <rPh sb="4" eb="5">
      <t>ジュン</t>
    </rPh>
    <phoneticPr fontId="15"/>
  </si>
  <si>
    <t>上記参照（概要　２．結合条件）</t>
    <rPh sb="0" eb="4">
      <t>ジョウキサンショウ</t>
    </rPh>
    <rPh sb="5" eb="7">
      <t>ガイヨウ</t>
    </rPh>
    <phoneticPr fontId="15"/>
  </si>
  <si>
    <t>MAX(会員番号枠依頼状態区分CD)</t>
  </si>
  <si>
    <t>■取得項目</t>
    <rPh sb="1" eb="5">
      <t>シュトクコウモク</t>
    </rPh>
    <phoneticPr fontId="15"/>
  </si>
  <si>
    <t>会員番号枠依頼状態区分CD、会員番号枠回答状態区分CDを、受注明細単位の情報から集約する</t>
    <rPh sb="14" eb="19">
      <t>カイインバンゴウワク</t>
    </rPh>
    <rPh sb="19" eb="23">
      <t>カイトウジョウタイ</t>
    </rPh>
    <rPh sb="23" eb="25">
      <t>クブン</t>
    </rPh>
    <rPh sb="29" eb="33">
      <t>ジュチュウメイサイ</t>
    </rPh>
    <rPh sb="33" eb="35">
      <t>タンイ</t>
    </rPh>
    <rPh sb="36" eb="38">
      <t>ジョウホウ</t>
    </rPh>
    <rPh sb="40" eb="42">
      <t>シュウヤク</t>
    </rPh>
    <phoneticPr fontId="15"/>
  </si>
  <si>
    <t>2：確定済　が1つもない場合</t>
    <rPh sb="2" eb="5">
      <t>カクテイズミ</t>
    </rPh>
    <rPh sb="12" eb="14">
      <t>バアイ</t>
    </rPh>
    <phoneticPr fontId="15"/>
  </si>
  <si>
    <t>すべて　2：確定済　の場合</t>
    <rPh sb="6" eb="9">
      <t>カクテイズミ</t>
    </rPh>
    <rPh sb="11" eb="13">
      <t>バアイ</t>
    </rPh>
    <phoneticPr fontId="15"/>
  </si>
  <si>
    <t>上記以外（2：確定済を含む混在）の場合</t>
    <rPh sb="0" eb="4">
      <t>ジョウキイガイ</t>
    </rPh>
    <rPh sb="7" eb="10">
      <t>カクテイズミ</t>
    </rPh>
    <rPh sb="11" eb="12">
      <t>フク</t>
    </rPh>
    <rPh sb="13" eb="15">
      <t>コンザイ</t>
    </rPh>
    <rPh sb="17" eb="19">
      <t>バアイ</t>
    </rPh>
    <phoneticPr fontId="15"/>
  </si>
  <si>
    <t>会員番号枠回答状態区分CD　に</t>
    <phoneticPr fontId="15"/>
  </si>
  <si>
    <t>■対象テーブル</t>
    <rPh sb="1" eb="3">
      <t>タイショウ</t>
    </rPh>
    <phoneticPr fontId="15"/>
  </si>
  <si>
    <t>■集約条件</t>
    <rPh sb="1" eb="5">
      <t>シュウヤクジョウケン</t>
    </rPh>
    <phoneticPr fontId="15"/>
  </si>
  <si>
    <t>上記参照（概要　１．対象テーブル、２．結合条件）</t>
    <rPh sb="0" eb="4">
      <t>ジョウキサンショウ</t>
    </rPh>
    <rPh sb="5" eb="7">
      <t>ガイヨウ</t>
    </rPh>
    <phoneticPr fontId="15"/>
  </si>
  <si>
    <t>カード定価マスタ_選択リスト用</t>
    <phoneticPr fontId="1"/>
  </si>
  <si>
    <t>Q_MTM1041_XXXX</t>
    <phoneticPr fontId="1"/>
  </si>
  <si>
    <t>SELECT_LIST_CD</t>
    <phoneticPr fontId="1"/>
  </si>
  <si>
    <t>選択リスト用CD</t>
    <rPh sb="0" eb="2">
      <t>センタク</t>
    </rPh>
    <rPh sb="5" eb="6">
      <t>ヨウ</t>
    </rPh>
    <phoneticPr fontId="15"/>
  </si>
  <si>
    <t>カード定価マスタ
商品マスタ</t>
    <rPh sb="9" eb="11">
      <t>ショウヒン</t>
    </rPh>
    <phoneticPr fontId="15"/>
  </si>
  <si>
    <t>文字列結合してCODE型にする</t>
    <rPh sb="0" eb="5">
      <t>モジレツケツゴウ</t>
    </rPh>
    <rPh sb="11" eb="12">
      <t>ガタ</t>
    </rPh>
    <phoneticPr fontId="1"/>
  </si>
  <si>
    <t>カード受注商品名
商品名</t>
    <rPh sb="9" eb="12">
      <t>ショウヒンメイ</t>
    </rPh>
    <phoneticPr fontId="1"/>
  </si>
  <si>
    <t>CARD_UPRICE_MNG_CD</t>
  </si>
  <si>
    <t>定価管理CD</t>
    <rPh sb="0" eb="4">
      <t>テイカカンリ</t>
    </rPh>
    <phoneticPr fontId="15"/>
  </si>
  <si>
    <t>商品(商品)の場合、NULL</t>
    <rPh sb="0" eb="2">
      <t>ショウヒン</t>
    </rPh>
    <rPh sb="3" eb="5">
      <t>ショウヒン</t>
    </rPh>
    <rPh sb="7" eb="9">
      <t>バアイ</t>
    </rPh>
    <phoneticPr fontId="1"/>
  </si>
  <si>
    <t>カード定価管理CD</t>
    <phoneticPr fontId="1"/>
  </si>
  <si>
    <t>ITEM_CD</t>
  </si>
  <si>
    <t>商品CD</t>
    <rPh sb="0" eb="2">
      <t>ショウヒン</t>
    </rPh>
    <phoneticPr fontId="1"/>
  </si>
  <si>
    <t>商品(営業)の場合、NULL</t>
    <rPh sb="0" eb="2">
      <t>ショウヒン</t>
    </rPh>
    <rPh sb="3" eb="5">
      <t>エイギョウ</t>
    </rPh>
    <rPh sb="7" eb="9">
      <t>バアイ</t>
    </rPh>
    <phoneticPr fontId="1"/>
  </si>
  <si>
    <t>※備考参照</t>
    <rPh sb="1" eb="5">
      <t>ビコウサンショウ</t>
    </rPh>
    <phoneticPr fontId="18"/>
  </si>
  <si>
    <t>■選択リスト用CD</t>
    <rPh sb="1" eb="3">
      <t>センタク</t>
    </rPh>
    <rPh sb="6" eb="7">
      <t>ヨウ</t>
    </rPh>
    <phoneticPr fontId="1"/>
  </si>
  <si>
    <t>固定値＋キー項目を文字列結合し、CODE型に変換する</t>
    <rPh sb="0" eb="3">
      <t>コテイチ</t>
    </rPh>
    <rPh sb="6" eb="8">
      <t>コウモク</t>
    </rPh>
    <rPh sb="9" eb="12">
      <t>モジレツ</t>
    </rPh>
    <rPh sb="12" eb="14">
      <t>ケツゴウ</t>
    </rPh>
    <rPh sb="20" eb="21">
      <t>ガタ</t>
    </rPh>
    <rPh sb="22" eb="24">
      <t>ヘンカン</t>
    </rPh>
    <phoneticPr fontId="1"/>
  </si>
  <si>
    <t>画面の選択リストのキーとして利用する</t>
    <rPh sb="0" eb="2">
      <t>ガメン</t>
    </rPh>
    <rPh sb="3" eb="5">
      <t>センタク</t>
    </rPh>
    <rPh sb="14" eb="16">
      <t>リヨウ</t>
    </rPh>
    <phoneticPr fontId="1"/>
  </si>
  <si>
    <t>SALES_+カード定価管理CD</t>
  </si>
  <si>
    <t>※元の値はNUM型</t>
    <rPh sb="1" eb="2">
      <t>モト</t>
    </rPh>
    <rPh sb="3" eb="4">
      <t>アタイ</t>
    </rPh>
    <rPh sb="8" eb="9">
      <t>ガタ</t>
    </rPh>
    <phoneticPr fontId="1"/>
  </si>
  <si>
    <t>ITEM_+商品CD</t>
  </si>
  <si>
    <t>UNION ALL結果に対してはソートしない</t>
    <rPh sb="9" eb="11">
      <t>ケッカ</t>
    </rPh>
    <rPh sb="12" eb="13">
      <t>タイ</t>
    </rPh>
    <phoneticPr fontId="26"/>
  </si>
  <si>
    <t>■パラメータ</t>
    <phoneticPr fontId="15"/>
  </si>
  <si>
    <t>・p_basic_dt</t>
  </si>
  <si>
    <t>基準日</t>
    <rPh sb="0" eb="3">
      <t>キジュンビ</t>
    </rPh>
    <phoneticPr fontId="1"/>
  </si>
  <si>
    <t>・p_introduce_system_kbn</t>
  </si>
  <si>
    <t>導入システム区分</t>
    <rPh sb="0" eb="2">
      <t>ドウニュウ</t>
    </rPh>
    <rPh sb="6" eb="8">
      <t>クブン</t>
    </rPh>
    <phoneticPr fontId="15"/>
  </si>
  <si>
    <t>・p_general_mnbr_kbn</t>
  </si>
  <si>
    <t>・p_card_management_cd</t>
  </si>
  <si>
    <t>カード管理種別CD</t>
    <rPh sb="3" eb="7">
      <t>カンリシュベツ</t>
    </rPh>
    <phoneticPr fontId="1"/>
  </si>
  <si>
    <t>★商品(営業)クエリ</t>
  </si>
  <si>
    <t>UNION ALL</t>
    <phoneticPr fontId="15"/>
  </si>
  <si>
    <t>★商品(商品)クエリ</t>
  </si>
  <si>
    <t>・取得するテーブルについて</t>
    <rPh sb="1" eb="3">
      <t>シュトク</t>
    </rPh>
    <phoneticPr fontId="1"/>
  </si>
  <si>
    <t>★商品(営業)クエリ、★商品(商品)クエリをUNION ALLする</t>
    <rPh sb="15" eb="17">
      <t>ショウヒン</t>
    </rPh>
    <phoneticPr fontId="15"/>
  </si>
  <si>
    <t>★商品(営業)クエリ</t>
    <phoneticPr fontId="15"/>
  </si>
  <si>
    <t>カード定価マスタ</t>
    <phoneticPr fontId="15"/>
  </si>
  <si>
    <t>汎用マスタ.汎用データ区分</t>
    <rPh sb="6" eb="8">
      <t>ハンヨウ</t>
    </rPh>
    <rPh sb="11" eb="13">
      <t>クブン</t>
    </rPh>
    <phoneticPr fontId="18"/>
  </si>
  <si>
    <t>CK209</t>
  </si>
  <si>
    <t>カード管理種別_一般／会員紐づけ</t>
    <rPh sb="8" eb="13">
      <t>イッパン･カイイン</t>
    </rPh>
    <rPh sb="13" eb="14">
      <t>ヒモ</t>
    </rPh>
    <phoneticPr fontId="1"/>
  </si>
  <si>
    <t>汎用マスタ.汎用CD</t>
    <rPh sb="6" eb="8">
      <t>ハンヨウ</t>
    </rPh>
    <phoneticPr fontId="18"/>
  </si>
  <si>
    <t>カード定価マスタ.カード管理種別CD</t>
    <phoneticPr fontId="15"/>
  </si>
  <si>
    <t>■絞込条件</t>
    <rPh sb="1" eb="3">
      <t>シボリコミ</t>
    </rPh>
    <rPh sb="3" eb="5">
      <t>ジョウケン</t>
    </rPh>
    <phoneticPr fontId="15"/>
  </si>
  <si>
    <t>カード定価マスタ.分類種別区分</t>
    <rPh sb="3" eb="5">
      <t>テイカ</t>
    </rPh>
    <rPh sb="9" eb="11">
      <t>ブンルイ</t>
    </rPh>
    <rPh sb="11" eb="13">
      <t>シュベツ</t>
    </rPh>
    <rPh sb="13" eb="15">
      <t>クブン</t>
    </rPh>
    <phoneticPr fontId="1"/>
  </si>
  <si>
    <t>02：商品（カード）</t>
    <phoneticPr fontId="1"/>
  </si>
  <si>
    <t>AND</t>
    <phoneticPr fontId="1"/>
  </si>
  <si>
    <t>カード定価マスタ.商品分類1CD</t>
    <rPh sb="3" eb="5">
      <t>テイカ</t>
    </rPh>
    <rPh sb="9" eb="11">
      <t>ショウヒン</t>
    </rPh>
    <rPh sb="11" eb="13">
      <t>ブンルイ</t>
    </rPh>
    <phoneticPr fontId="1"/>
  </si>
  <si>
    <t>10：カード</t>
    <phoneticPr fontId="1"/>
  </si>
  <si>
    <t>カード定価マスタ.商品分類2CD</t>
    <rPh sb="3" eb="5">
      <t>テイカ</t>
    </rPh>
    <rPh sb="9" eb="11">
      <t>ショウヒン</t>
    </rPh>
    <rPh sb="11" eb="13">
      <t>ブンルイ</t>
    </rPh>
    <phoneticPr fontId="1"/>
  </si>
  <si>
    <t>パラメータ.導入システム区分</t>
  </si>
  <si>
    <t>カード定価マスタ.カード管理種別CD</t>
    <rPh sb="3" eb="5">
      <t>テイカ</t>
    </rPh>
    <rPh sb="12" eb="14">
      <t>カンリ</t>
    </rPh>
    <rPh sb="14" eb="16">
      <t>シュベツ</t>
    </rPh>
    <phoneticPr fontId="1"/>
  </si>
  <si>
    <t>パラメータ.カード管理種別CD</t>
    <rPh sb="9" eb="11">
      <t>カンリ</t>
    </rPh>
    <rPh sb="11" eb="13">
      <t>シュベツ</t>
    </rPh>
    <phoneticPr fontId="1"/>
  </si>
  <si>
    <t>汎用マスタ.汎用区分1</t>
    <rPh sb="0" eb="2">
      <t>ハンヨウ</t>
    </rPh>
    <rPh sb="6" eb="10">
      <t>ハンヨウクブン</t>
    </rPh>
    <phoneticPr fontId="1"/>
  </si>
  <si>
    <t>パラメータ.一般／会員区分</t>
    <rPh sb="6" eb="8">
      <t>イッパン</t>
    </rPh>
    <rPh sb="9" eb="11">
      <t>カイイン</t>
    </rPh>
    <rPh sb="11" eb="13">
      <t>クブン</t>
    </rPh>
    <phoneticPr fontId="1"/>
  </si>
  <si>
    <t>カード定価マスタ.適用開始日</t>
    <rPh sb="3" eb="5">
      <t>テイカ</t>
    </rPh>
    <rPh sb="9" eb="11">
      <t>テキヨウ</t>
    </rPh>
    <rPh sb="11" eb="14">
      <t>カイシビ</t>
    </rPh>
    <phoneticPr fontId="1"/>
  </si>
  <si>
    <t>&lt;=</t>
  </si>
  <si>
    <t>パラメータ.基準日</t>
    <rPh sb="6" eb="9">
      <t>キジュンビ</t>
    </rPh>
    <phoneticPr fontId="1"/>
  </si>
  <si>
    <t>カード定価マスタ.適用終了日</t>
    <rPh sb="3" eb="5">
      <t>テイカ</t>
    </rPh>
    <rPh sb="9" eb="11">
      <t>テキヨウ</t>
    </rPh>
    <rPh sb="11" eb="14">
      <t>シュウリョウビ</t>
    </rPh>
    <phoneticPr fontId="1"/>
  </si>
  <si>
    <t>&gt;=</t>
  </si>
  <si>
    <t>カード定価マスタ.削除FLG</t>
    <rPh sb="3" eb="5">
      <t>テイカ</t>
    </rPh>
    <rPh sb="9" eb="11">
      <t>サクジョ</t>
    </rPh>
    <phoneticPr fontId="1"/>
  </si>
  <si>
    <t>0：有効</t>
    <phoneticPr fontId="1"/>
  </si>
  <si>
    <t>■ソート条件</t>
    <rPh sb="4" eb="6">
      <t>ジョウケン</t>
    </rPh>
    <phoneticPr fontId="15"/>
  </si>
  <si>
    <t>カード定価マスタ.ソート順</t>
    <rPh sb="12" eb="13">
      <t>ジュン</t>
    </rPh>
    <phoneticPr fontId="15"/>
  </si>
  <si>
    <t>（昇順）</t>
    <rPh sb="1" eb="3">
      <t>ショウジュン</t>
    </rPh>
    <phoneticPr fontId="15"/>
  </si>
  <si>
    <t>★商品(商品)クエリ</t>
    <phoneticPr fontId="15"/>
  </si>
  <si>
    <t>商品マスタ.分類種別区分</t>
    <rPh sb="0" eb="2">
      <t>ショウヒン</t>
    </rPh>
    <rPh sb="6" eb="8">
      <t>ブンルイ</t>
    </rPh>
    <rPh sb="8" eb="10">
      <t>シュベツ</t>
    </rPh>
    <rPh sb="10" eb="12">
      <t>クブン</t>
    </rPh>
    <phoneticPr fontId="1"/>
  </si>
  <si>
    <t>02：商品（カード）</t>
  </si>
  <si>
    <t>商品マスタ.商品分類1CD</t>
    <rPh sb="0" eb="2">
      <t>ショウヒン</t>
    </rPh>
    <rPh sb="6" eb="8">
      <t>ショウヒン</t>
    </rPh>
    <rPh sb="8" eb="10">
      <t>ブンルイ</t>
    </rPh>
    <phoneticPr fontId="1"/>
  </si>
  <si>
    <t>10：カード</t>
  </si>
  <si>
    <t>商品マスタ.商品分類2CD</t>
    <rPh sb="0" eb="2">
      <t>ショウヒン</t>
    </rPh>
    <rPh sb="6" eb="8">
      <t>ショウヒン</t>
    </rPh>
    <rPh sb="8" eb="10">
      <t>ブンルイ</t>
    </rPh>
    <phoneticPr fontId="1"/>
  </si>
  <si>
    <t>パラメータ.導入システム区分</t>
    <rPh sb="6" eb="8">
      <t>ドウニュウ</t>
    </rPh>
    <rPh sb="12" eb="14">
      <t>クブン</t>
    </rPh>
    <phoneticPr fontId="1"/>
  </si>
  <si>
    <t>商品マスタ.カード分類１CD</t>
    <rPh sb="0" eb="2">
      <t>ショウヒン</t>
    </rPh>
    <rPh sb="9" eb="11">
      <t>ブンルイ</t>
    </rPh>
    <phoneticPr fontId="1"/>
  </si>
  <si>
    <t>04：デザイン・版下</t>
  </si>
  <si>
    <t>商品マスタ.適用開始日</t>
    <rPh sb="0" eb="2">
      <t>ショウヒン</t>
    </rPh>
    <rPh sb="6" eb="8">
      <t>テキヨウ</t>
    </rPh>
    <rPh sb="8" eb="11">
      <t>カイシビ</t>
    </rPh>
    <phoneticPr fontId="1"/>
  </si>
  <si>
    <t>商品マスタ.適用終了日</t>
    <rPh sb="0" eb="2">
      <t>ショウヒン</t>
    </rPh>
    <rPh sb="6" eb="8">
      <t>テキヨウ</t>
    </rPh>
    <rPh sb="8" eb="11">
      <t>シュウリョウビ</t>
    </rPh>
    <phoneticPr fontId="1"/>
  </si>
  <si>
    <t>商品マスタ.削除FLG</t>
    <rPh sb="0" eb="2">
      <t>ショウヒン</t>
    </rPh>
    <rPh sb="6" eb="8">
      <t>サクジョ</t>
    </rPh>
    <phoneticPr fontId="1"/>
  </si>
  <si>
    <t>0：有効</t>
  </si>
  <si>
    <t>商品マスタ.商品CD</t>
    <rPh sb="0" eb="2">
      <t>ショウヒン</t>
    </rPh>
    <rPh sb="6" eb="8">
      <t>ショウヒン</t>
    </rPh>
    <phoneticPr fontId="15"/>
  </si>
  <si>
    <t>会員管理会社管理マスタ.会員会社CD　が
・03：ヒューテックTYPE A　の場合：　　　汎用マスタ_会員会社タイプ_CK191.汎用名
・18：ヒューテックTYPE S　の場合：　　　汎用マスタ_会員会社タイプ_CK198.汎用名
・08：大都販売　の場合：　　　　　　　　汎用マスタ_会員会社タイプ_CK062.汎用名
・07：アイゲート(旧 アイ電子) の場合：　汎用マスタ_会員会社タイプ_CK063.汎用名
・上記以外の場合：　　　　　　　　　　　NULL</t>
    <phoneticPr fontId="15"/>
  </si>
  <si>
    <t>カード案件ヘッダ.案件ステータスCDが
・90：取消済の場合： カード案件ヘッダ.案件ステータスCD
・上記以外の場合：カード受注ヘッダ.受付ステータスCD</t>
    <rPh sb="3" eb="5">
      <t>アンケン</t>
    </rPh>
    <rPh sb="9" eb="11">
      <t>アンケン</t>
    </rPh>
    <rPh sb="24" eb="26">
      <t>トリケシ</t>
    </rPh>
    <rPh sb="26" eb="27">
      <t>ズミ</t>
    </rPh>
    <rPh sb="28" eb="30">
      <t>バアイ</t>
    </rPh>
    <rPh sb="35" eb="37">
      <t>アンケン</t>
    </rPh>
    <rPh sb="41" eb="43">
      <t>アンケン</t>
    </rPh>
    <rPh sb="52" eb="54">
      <t>ジョウキ</t>
    </rPh>
    <rPh sb="54" eb="56">
      <t>イガイ</t>
    </rPh>
    <rPh sb="57" eb="59">
      <t>バアイ</t>
    </rPh>
    <rPh sb="63" eb="65">
      <t>ジュチュウ</t>
    </rPh>
    <rPh sb="69" eb="71">
      <t>ウケツケ</t>
    </rPh>
    <phoneticPr fontId="15"/>
  </si>
  <si>
    <r>
      <t>カード受注ヘッダ</t>
    </r>
    <r>
      <rPr>
        <sz val="11"/>
        <color rgb="FF0000FF"/>
        <rFont val="Microsoft YaHei"/>
        <family val="3"/>
        <charset val="134"/>
      </rPr>
      <t>.</t>
    </r>
    <r>
      <rPr>
        <sz val="11"/>
        <color rgb="FF0000FF"/>
        <rFont val="Meiryo UI"/>
        <family val="3"/>
        <charset val="128"/>
      </rPr>
      <t>カード配送先取得元区分　が
・1</t>
    </r>
    <r>
      <rPr>
        <sz val="11"/>
        <color rgb="FF0000FF"/>
        <rFont val="Microsoft YaHei"/>
        <family val="3"/>
        <charset val="134"/>
      </rPr>
      <t>：</t>
    </r>
    <r>
      <rPr>
        <sz val="11"/>
        <color rgb="FF0000FF"/>
        <rFont val="Meiryo UI"/>
        <family val="3"/>
        <charset val="128"/>
      </rPr>
      <t>（ホール）の場合：　　　　　　　　カード受注ヘッダ.カード配送先ホールCD
・</t>
    </r>
    <r>
      <rPr>
        <sz val="11"/>
        <color rgb="FF0000FF"/>
        <rFont val="Microsoft YaHei"/>
        <family val="3"/>
        <charset val="134"/>
      </rPr>
      <t>2：</t>
    </r>
    <r>
      <rPr>
        <sz val="11"/>
        <color rgb="FF0000FF"/>
        <rFont val="Meiryo UI"/>
        <family val="3"/>
        <charset val="128"/>
      </rPr>
      <t>（その他）の場合：　カード受注ヘッダ.カード配送先取引先CD
・上記以外の場合：　　　　　　　　　　　NULL</t>
    </r>
    <rPh sb="3" eb="5">
      <t>ジュチュウ</t>
    </rPh>
    <phoneticPr fontId="15"/>
  </si>
  <si>
    <r>
      <t>'</t>
    </r>
    <r>
      <rPr>
        <sz val="11"/>
        <rFont val="Meiryo UI"/>
        <family val="3"/>
        <charset val="128"/>
      </rPr>
      <t>SALES_</t>
    </r>
    <r>
      <rPr>
        <sz val="11"/>
        <rFont val="Microsoft YaHei"/>
        <family val="3"/>
        <charset val="134"/>
      </rPr>
      <t xml:space="preserve">' || </t>
    </r>
    <r>
      <rPr>
        <sz val="11"/>
        <rFont val="Meiryo UI"/>
        <family val="3"/>
        <charset val="128"/>
      </rPr>
      <t xml:space="preserve">カード定価管理CD
</t>
    </r>
    <r>
      <rPr>
        <sz val="11"/>
        <rFont val="Microsoft YaHei"/>
        <family val="3"/>
        <charset val="134"/>
      </rPr>
      <t>'</t>
    </r>
    <r>
      <rPr>
        <sz val="11"/>
        <rFont val="Meiryo UI"/>
        <family val="3"/>
        <charset val="128"/>
      </rPr>
      <t>ITEM_</t>
    </r>
    <r>
      <rPr>
        <sz val="11"/>
        <rFont val="Microsoft YaHei"/>
        <family val="3"/>
        <charset val="134"/>
      </rPr>
      <t xml:space="preserve">' || </t>
    </r>
    <r>
      <rPr>
        <sz val="11"/>
        <rFont val="Meiryo UI"/>
        <family val="3"/>
        <charset val="128"/>
      </rPr>
      <t>商品CD</t>
    </r>
    <rPh sb="35" eb="37">
      <t>ショウヒン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</si>
</sst>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176" formatCode="&quot;¥&quot;#,##0_);[Red]\(&quot;¥&quot;#,##0\)"/>
    <numFmt numFmtId="177" formatCode="&quot;¥&quot;#,##0.00_);[Red]\(&quot;¥&quot;#,##0.00\)"/>
    <numFmt numFmtId="178" formatCode="_(* #,##0_);_(* \(#,##0\);_(* &quot;-&quot;_);_(@_)"/>
    <numFmt numFmtId="179" formatCode="0%;\(0%\)"/>
    <numFmt numFmtId="180" formatCode="0.0%"/>
    <numFmt numFmtId="181" formatCode="&quot;$&quot;#,##0_);\(&quot;$&quot;#,##0\)"/>
    <numFmt numFmtId="182" formatCode="#,##0;\-#,##0;&quot;-&quot;"/>
    <numFmt numFmtId="183" formatCode="#,##0.0_);\(#,##0.0\)"/>
    <numFmt numFmtId="184" formatCode="_(* #,##0.0000_);_(* \(#,##0.0000\);_(* &quot;-&quot;??_);_(@_)"/>
    <numFmt numFmtId="185" formatCode="_-* #,##0.0_-;\-* #,##0.0_-;_-* &quot;-&quot;??_-;_-@_-"/>
    <numFmt numFmtId="186" formatCode="_-* #,##0_-;\-* #,##0_-;_-* &quot;-&quot;??_-;_-@_-"/>
    <numFmt numFmtId="187" formatCode="0000000000000"/>
    <numFmt numFmtId="188" formatCode="0.0%;\(0.0%\)"/>
    <numFmt numFmtId="189" formatCode="&quot;¥&quot;&quot;¥&quot;&quot;¥&quot;&quot;¥&quot;&quot;¥&quot;&quot;¥&quot;&quot;¥&quot;\$#,##0_);[Red]&quot;¥&quot;&quot;¥&quot;&quot;¥&quot;&quot;¥&quot;&quot;¥&quot;&quot;¥&quot;&quot;¥&quot;\(&quot;¥&quot;&quot;¥&quot;&quot;¥&quot;&quot;¥&quot;&quot;¥&quot;&quot;¥&quot;&quot;¥&quot;\$#,##0&quot;¥&quot;&quot;¥&quot;&quot;¥&quot;&quot;¥&quot;&quot;¥&quot;&quot;¥&quot;&quot;¥&quot;\)"/>
    <numFmt numFmtId="190" formatCode="_ * #,##0.00_)&quot;￡&quot;_ ;_ * \(#,##0.00\)&quot;￡&quot;_ ;_ * &quot;-&quot;??_)&quot;￡&quot;_ ;_ @_ "/>
    <numFmt numFmtId="191" formatCode="_(&quot;$&quot;* #,##0_);_(&quot;$&quot;* \(#,##0\);_(&quot;$&quot;* &quot;-&quot;_);_(@_)"/>
    <numFmt numFmtId="192" formatCode="&quot;$&quot;#,##0.00_);\(&quot;$&quot;#,##0.00\)"/>
    <numFmt numFmtId="193" formatCode="_ * #,##0_ ;_ * &quot;¥&quot;&quot;¥&quot;&quot;¥&quot;&quot;¥&quot;&quot;¥&quot;&quot;¥&quot;\-#,##0_ ;_ * &quot;-&quot;_ ;_ @_ "/>
    <numFmt numFmtId="194" formatCode="&quot;$&quot;#,##0"/>
    <numFmt numFmtId="195" formatCode="_ * #,##0.00_ ;_ * &quot;¥&quot;&quot;¥&quot;&quot;¥&quot;&quot;¥&quot;&quot;¥&quot;&quot;¥&quot;\-#,##0.00_ ;_ * &quot;-&quot;??_ ;_ @_ "/>
    <numFmt numFmtId="196" formatCode="#,##0.0;\-#,##0.0"/>
    <numFmt numFmtId="197" formatCode="&quot;$&quot;#,##0_);[Red]\(&quot;$&quot;#,##0\)"/>
    <numFmt numFmtId="198" formatCode="&quot;$&quot;#,##0.00_);[Red]\(&quot;$&quot;#,##0.00\)"/>
    <numFmt numFmtId="199" formatCode="&quot;$&quot;#,##0.00;[Red]&quot;$&quot;#,##0.00"/>
    <numFmt numFmtId="200" formatCode="[&lt;=999]000;000\-00"/>
    <numFmt numFmtId="201" formatCode="#,##0.0;[Red]\(#,##0.0\)"/>
    <numFmt numFmtId="202" formatCode="0.0%;[Red]\(0.0%\)"/>
    <numFmt numFmtId="203" formatCode="0_ "/>
    <numFmt numFmtId="204" formatCode="&quot;¥&quot;#,##0;&quot;¥&quot;&quot;¥&quot;\-#,##0"/>
    <numFmt numFmtId="205" formatCode="_-&quot;$&quot;* #,##0_-;\-&quot;$&quot;* #,##0_-;_-&quot;$&quot;* &quot;-&quot;_-;_-@_-"/>
    <numFmt numFmtId="206" formatCode="&quot;$&quot;#,##0.00;[Red]\-&quot;$&quot;#,##0.00"/>
    <numFmt numFmtId="207" formatCode="#,##0_ ;[Red]&quot;¥&quot;\!\-#,##0&quot;¥&quot;\!\ "/>
    <numFmt numFmtId="208" formatCode="0_ ;[Red]&quot;¥&quot;\!\-0&quot;¥&quot;\!\ "/>
    <numFmt numFmtId="209" formatCode="0_ ;[Red]\-0\ "/>
    <numFmt numFmtId="210" formatCode="#,##0_ "/>
    <numFmt numFmtId="211" formatCode="hh:mm\ \T\K"/>
    <numFmt numFmtId="212" formatCode="yyyy/mm/dd"/>
    <numFmt numFmtId="213" formatCode="0.0"/>
  </numFmts>
  <fonts count="16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ＭＳ Ｐゴシック"/>
      <family val="3"/>
      <charset val="128"/>
    </font>
    <font>
      <sz val="6"/>
      <name val="ＭＳ Ｐゴシック"/>
      <family val="2"/>
      <charset val="128"/>
      <scheme val="minor"/>
    </font>
    <font>
      <sz val="9"/>
      <name val="ＭＳ Ｐゴシック"/>
      <family val="3"/>
      <charset val="128"/>
    </font>
    <font>
      <u/>
      <sz val="11"/>
      <color indexed="12"/>
      <name val="ＭＳ Ｐゴシック"/>
      <family val="3"/>
      <charset val="128"/>
    </font>
    <font>
      <sz val="9"/>
      <name val="ＭＳ 明朝"/>
      <family val="1"/>
      <charset val="128"/>
    </font>
    <font>
      <b/>
      <sz val="11"/>
      <name val="ＭＳ Ｐゴシック"/>
      <family val="3"/>
      <charset val="128"/>
    </font>
    <font>
      <sz val="12"/>
      <name val="ＭＳ 明朝"/>
      <family val="1"/>
      <charset val="128"/>
    </font>
    <font>
      <sz val="11"/>
      <name val="ＭＳ 明朝"/>
      <family val="1"/>
      <charset val="128"/>
    </font>
    <font>
      <sz val="9"/>
      <name val="ＭＳ ゴシック"/>
      <family val="3"/>
      <charset val="128"/>
    </font>
    <font>
      <sz val="10"/>
      <name val="ＭＳ 明朝"/>
      <family val="1"/>
      <charset val="128"/>
    </font>
    <font>
      <sz val="11"/>
      <name val="明朝"/>
      <family val="1"/>
      <charset val="128"/>
    </font>
    <font>
      <sz val="12"/>
      <name val="Times New Roman"/>
      <family val="1"/>
    </font>
    <font>
      <sz val="10"/>
      <name val="Arial"/>
      <family val="2"/>
    </font>
    <font>
      <sz val="14"/>
      <name val="Terminal"/>
      <family val="3"/>
      <charset val="255"/>
    </font>
    <font>
      <sz val="13"/>
      <name val="Tms Rmn"/>
      <family val="1"/>
    </font>
    <font>
      <sz val="11"/>
      <name val="標準明朝"/>
      <family val="1"/>
      <charset val="128"/>
    </font>
    <font>
      <sz val="9"/>
      <color indexed="8"/>
      <name val="ＭＳ ゴシック"/>
      <family val="3"/>
      <charset val="128"/>
    </font>
    <font>
      <sz val="9"/>
      <color indexed="8"/>
      <name val="ＭＳ Ｐゴシック"/>
      <family val="3"/>
      <charset val="128"/>
    </font>
    <font>
      <sz val="11"/>
      <color indexed="8"/>
      <name val="ＭＳ Ｐゴシック"/>
      <family val="3"/>
      <charset val="128"/>
    </font>
    <font>
      <sz val="9"/>
      <color indexed="9"/>
      <name val="ＭＳ ゴシック"/>
      <family val="3"/>
      <charset val="128"/>
    </font>
    <font>
      <sz val="9"/>
      <color indexed="9"/>
      <name val="ＭＳ Ｐゴシック"/>
      <family val="3"/>
      <charset val="128"/>
    </font>
    <font>
      <sz val="11"/>
      <color indexed="9"/>
      <name val="ＭＳ Ｐゴシック"/>
      <family val="3"/>
      <charset val="128"/>
    </font>
    <font>
      <sz val="10"/>
      <name val="ＭＳ Ｐ明朝"/>
      <family val="1"/>
      <charset val="128"/>
    </font>
    <font>
      <sz val="9"/>
      <color indexed="27"/>
      <name val="明朝"/>
      <family val="1"/>
      <charset val="128"/>
    </font>
    <font>
      <sz val="12"/>
      <name val="Tms Rmn"/>
      <family val="1"/>
    </font>
    <font>
      <b/>
      <sz val="10"/>
      <name val="MS Sans Serif"/>
      <family val="2"/>
    </font>
    <font>
      <sz val="10"/>
      <color indexed="8"/>
      <name val="Arial"/>
      <family val="2"/>
    </font>
    <font>
      <sz val="10"/>
      <name val="Helv"/>
      <family val="2"/>
    </font>
    <font>
      <b/>
      <sz val="10"/>
      <name val="Helv"/>
      <family val="2"/>
    </font>
    <font>
      <b/>
      <sz val="13"/>
      <name val="Tms Rmn"/>
      <family val="1"/>
    </font>
    <font>
      <sz val="12"/>
      <name val="Arial"/>
      <family val="2"/>
    </font>
    <font>
      <sz val="11"/>
      <name val="ＭＳ ゴシック"/>
      <family val="3"/>
      <charset val="128"/>
    </font>
    <font>
      <sz val="9"/>
      <name val="Times New Roman"/>
      <family val="1"/>
    </font>
    <font>
      <u/>
      <sz val="10"/>
      <color indexed="14"/>
      <name val="MS Sans Serif"/>
      <family val="2"/>
    </font>
    <font>
      <sz val="8"/>
      <name val="Arial"/>
      <family val="2"/>
    </font>
    <font>
      <b/>
      <sz val="12"/>
      <color indexed="9"/>
      <name val="Tms Rmn"/>
      <family val="1"/>
    </font>
    <font>
      <b/>
      <sz val="12"/>
      <name val="Helv"/>
      <family val="2"/>
    </font>
    <font>
      <b/>
      <sz val="12"/>
      <name val="Arial"/>
      <family val="2"/>
    </font>
    <font>
      <u/>
      <sz val="8"/>
      <color indexed="12"/>
      <name val="Times New Roman"/>
      <family val="1"/>
    </font>
    <font>
      <sz val="10"/>
      <name val="ＭＳ ゴシック"/>
      <family val="3"/>
      <charset val="128"/>
    </font>
    <font>
      <sz val="10"/>
      <name val="MS Sans Serif"/>
      <family val="2"/>
    </font>
    <font>
      <b/>
      <sz val="11"/>
      <name val="Helv"/>
      <family val="2"/>
    </font>
    <font>
      <sz val="7"/>
      <name val="Small Fonts"/>
      <family val="3"/>
      <charset val="128"/>
    </font>
    <font>
      <sz val="9"/>
      <name val="ｺﾞｼｯｸ"/>
      <family val="3"/>
      <charset val="128"/>
    </font>
    <font>
      <sz val="11"/>
      <name val="FixedSys"/>
      <charset val="128"/>
    </font>
    <font>
      <sz val="8"/>
      <color indexed="16"/>
      <name val="Century Schoolbook"/>
      <family val="1"/>
    </font>
    <font>
      <b/>
      <sz val="10"/>
      <color indexed="8"/>
      <name val="Arial"/>
      <family val="2"/>
    </font>
    <font>
      <b/>
      <sz val="11"/>
      <color indexed="18"/>
      <name val="Arial"/>
      <family val="2"/>
    </font>
    <font>
      <b/>
      <sz val="10"/>
      <color indexed="39"/>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2"/>
      <color indexed="8"/>
      <name val="Arial"/>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sz val="10"/>
      <color indexed="39"/>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9"/>
      <color indexed="48"/>
      <name val="Arial"/>
      <family val="2"/>
    </font>
    <font>
      <sz val="18"/>
      <color indexed="18"/>
      <name val="Arial"/>
      <family val="2"/>
    </font>
    <font>
      <sz val="10"/>
      <color indexed="10"/>
      <name val="Arial"/>
      <family val="2"/>
    </font>
    <font>
      <sz val="11"/>
      <color indexed="10"/>
      <name val="Arial"/>
      <family val="2"/>
    </font>
    <font>
      <b/>
      <i/>
      <sz val="10"/>
      <name val="Times New Roman"/>
      <family val="1"/>
    </font>
    <font>
      <sz val="8"/>
      <color indexed="10"/>
      <name val="Arial"/>
      <family val="2"/>
    </font>
    <font>
      <b/>
      <sz val="9"/>
      <name val="Times New Roman"/>
      <family val="1"/>
    </font>
    <font>
      <u/>
      <sz val="11"/>
      <name val="ＭＳ Ｐゴシック"/>
      <family val="3"/>
      <charset val="128"/>
    </font>
    <font>
      <i/>
      <sz val="11"/>
      <name val="ＭＳ Ｐゴシック"/>
      <family val="3"/>
      <charset val="128"/>
    </font>
    <font>
      <b/>
      <sz val="18"/>
      <color indexed="56"/>
      <name val="ＭＳ Ｐゴシック"/>
      <family val="3"/>
      <charset val="128"/>
    </font>
    <font>
      <b/>
      <sz val="9"/>
      <color indexed="9"/>
      <name val="ＭＳ ゴシック"/>
      <family val="3"/>
      <charset val="128"/>
    </font>
    <font>
      <b/>
      <sz val="9"/>
      <color indexed="9"/>
      <name val="ＭＳ Ｐゴシック"/>
      <family val="3"/>
      <charset val="128"/>
    </font>
    <font>
      <b/>
      <sz val="11"/>
      <color indexed="9"/>
      <name val="ＭＳ Ｐゴシック"/>
      <family val="3"/>
      <charset val="128"/>
    </font>
    <font>
      <sz val="9"/>
      <color indexed="60"/>
      <name val="ＭＳ ゴシック"/>
      <family val="3"/>
      <charset val="128"/>
    </font>
    <font>
      <sz val="9"/>
      <color indexed="60"/>
      <name val="ＭＳ Ｐゴシック"/>
      <family val="3"/>
      <charset val="128"/>
    </font>
    <font>
      <sz val="11"/>
      <color indexed="60"/>
      <name val="ＭＳ Ｐゴシック"/>
      <family val="3"/>
      <charset val="128"/>
    </font>
    <font>
      <u/>
      <sz val="9"/>
      <color indexed="12"/>
      <name val="ＭＳ ゴシック"/>
      <family val="3"/>
      <charset val="128"/>
    </font>
    <font>
      <sz val="9"/>
      <color indexed="52"/>
      <name val="ＭＳ ゴシック"/>
      <family val="3"/>
      <charset val="128"/>
    </font>
    <font>
      <sz val="9"/>
      <color indexed="52"/>
      <name val="ＭＳ Ｐゴシック"/>
      <family val="3"/>
      <charset val="128"/>
    </font>
    <font>
      <sz val="11"/>
      <color indexed="52"/>
      <name val="ＭＳ Ｐゴシック"/>
      <family val="3"/>
      <charset val="128"/>
    </font>
    <font>
      <sz val="9"/>
      <color indexed="20"/>
      <name val="ＭＳ ゴシック"/>
      <family val="3"/>
      <charset val="128"/>
    </font>
    <font>
      <sz val="9"/>
      <color indexed="20"/>
      <name val="ＭＳ Ｐゴシック"/>
      <family val="3"/>
      <charset val="128"/>
    </font>
    <font>
      <sz val="11"/>
      <color indexed="20"/>
      <name val="ＭＳ Ｐゴシック"/>
      <family val="3"/>
      <charset val="128"/>
    </font>
    <font>
      <b/>
      <sz val="9"/>
      <color indexed="52"/>
      <name val="ＭＳ ゴシック"/>
      <family val="3"/>
      <charset val="128"/>
    </font>
    <font>
      <b/>
      <sz val="9"/>
      <color indexed="52"/>
      <name val="ＭＳ Ｐゴシック"/>
      <family val="3"/>
      <charset val="128"/>
    </font>
    <font>
      <b/>
      <sz val="11"/>
      <color indexed="52"/>
      <name val="ＭＳ Ｐゴシック"/>
      <family val="3"/>
      <charset val="128"/>
    </font>
    <font>
      <sz val="9"/>
      <color indexed="10"/>
      <name val="ＭＳ ゴシック"/>
      <family val="3"/>
      <charset val="128"/>
    </font>
    <font>
      <sz val="9"/>
      <color indexed="10"/>
      <name val="ＭＳ Ｐゴシック"/>
      <family val="3"/>
      <charset val="128"/>
    </font>
    <font>
      <sz val="11"/>
      <color indexed="10"/>
      <name val="ＭＳ Ｐゴシック"/>
      <family val="3"/>
      <charset val="128"/>
    </font>
    <font>
      <b/>
      <sz val="15"/>
      <color indexed="56"/>
      <name val="ＭＳ Ｐゴシック"/>
      <family val="3"/>
      <charset val="128"/>
    </font>
    <font>
      <b/>
      <sz val="15"/>
      <color indexed="56"/>
      <name val="ＭＳ ゴシック"/>
      <family val="3"/>
      <charset val="128"/>
    </font>
    <font>
      <b/>
      <sz val="13"/>
      <color indexed="56"/>
      <name val="ＭＳ ゴシック"/>
      <family val="3"/>
      <charset val="128"/>
    </font>
    <font>
      <b/>
      <sz val="13"/>
      <color indexed="56"/>
      <name val="ＭＳ Ｐゴシック"/>
      <family val="3"/>
      <charset val="128"/>
    </font>
    <font>
      <b/>
      <sz val="11"/>
      <color indexed="56"/>
      <name val="ＭＳ ゴシック"/>
      <family val="3"/>
      <charset val="128"/>
    </font>
    <font>
      <b/>
      <sz val="11"/>
      <color indexed="56"/>
      <name val="ＭＳ Ｐゴシック"/>
      <family val="3"/>
      <charset val="128"/>
    </font>
    <font>
      <b/>
      <sz val="16"/>
      <name val="ＭＳ 明朝"/>
      <family val="1"/>
      <charset val="128"/>
    </font>
    <font>
      <strike/>
      <sz val="11"/>
      <name val="ＭＳ Ｐゴシック"/>
      <family val="3"/>
      <charset val="128"/>
    </font>
    <font>
      <b/>
      <sz val="9"/>
      <color indexed="8"/>
      <name val="ＭＳ ゴシック"/>
      <family val="3"/>
      <charset val="128"/>
    </font>
    <font>
      <b/>
      <sz val="9"/>
      <color indexed="8"/>
      <name val="ＭＳ Ｐゴシック"/>
      <family val="3"/>
      <charset val="128"/>
    </font>
    <font>
      <b/>
      <sz val="11"/>
      <color indexed="8"/>
      <name val="ＭＳ Ｐゴシック"/>
      <family val="3"/>
      <charset val="128"/>
    </font>
    <font>
      <b/>
      <sz val="9"/>
      <color indexed="63"/>
      <name val="ＭＳ ゴシック"/>
      <family val="3"/>
      <charset val="128"/>
    </font>
    <font>
      <b/>
      <sz val="9"/>
      <color indexed="63"/>
      <name val="ＭＳ Ｐゴシック"/>
      <family val="3"/>
      <charset val="128"/>
    </font>
    <font>
      <b/>
      <sz val="11"/>
      <color indexed="63"/>
      <name val="ＭＳ Ｐゴシック"/>
      <family val="3"/>
      <charset val="128"/>
    </font>
    <font>
      <i/>
      <sz val="9"/>
      <color indexed="23"/>
      <name val="ＭＳ ゴシック"/>
      <family val="3"/>
      <charset val="128"/>
    </font>
    <font>
      <i/>
      <sz val="9"/>
      <color indexed="23"/>
      <name val="ＭＳ Ｐゴシック"/>
      <family val="3"/>
      <charset val="128"/>
    </font>
    <font>
      <i/>
      <sz val="11"/>
      <color indexed="23"/>
      <name val="ＭＳ Ｐゴシック"/>
      <family val="3"/>
      <charset val="128"/>
    </font>
    <font>
      <sz val="10"/>
      <name val="ＭＳ Ｐ・団"/>
      <family val="1"/>
      <charset val="128"/>
    </font>
    <font>
      <sz val="9"/>
      <color indexed="62"/>
      <name val="ＭＳ ゴシック"/>
      <family val="3"/>
      <charset val="128"/>
    </font>
    <font>
      <sz val="9"/>
      <color indexed="62"/>
      <name val="ＭＳ Ｐゴシック"/>
      <family val="3"/>
      <charset val="128"/>
    </font>
    <font>
      <sz val="11"/>
      <color indexed="62"/>
      <name val="ＭＳ Ｐゴシック"/>
      <family val="3"/>
      <charset val="128"/>
    </font>
    <font>
      <sz val="10"/>
      <color theme="1"/>
      <name val="ＭＳ 明朝"/>
      <family val="1"/>
      <charset val="128"/>
    </font>
    <font>
      <sz val="12"/>
      <name val="ＭＳ ゴシック"/>
      <family val="3"/>
      <charset val="128"/>
    </font>
    <font>
      <sz val="14"/>
      <name val="ＭＳ 明朝"/>
      <family val="1"/>
      <charset val="128"/>
    </font>
    <font>
      <b/>
      <i/>
      <sz val="11"/>
      <name val="ＭＳ Ｐゴシック"/>
      <family val="3"/>
      <charset val="128"/>
    </font>
    <font>
      <sz val="9"/>
      <color indexed="17"/>
      <name val="ＭＳ ゴシック"/>
      <family val="3"/>
      <charset val="128"/>
    </font>
    <font>
      <sz val="9"/>
      <color indexed="17"/>
      <name val="ＭＳ Ｐゴシック"/>
      <family val="3"/>
      <charset val="128"/>
    </font>
    <font>
      <sz val="11"/>
      <color indexed="17"/>
      <name val="ＭＳ Ｐゴシック"/>
      <family val="3"/>
      <charset val="128"/>
    </font>
    <font>
      <sz val="11"/>
      <color theme="1"/>
      <name val="ＭＳ Ｐゴシック"/>
      <family val="3"/>
      <charset val="128"/>
      <scheme val="minor"/>
    </font>
    <font>
      <sz val="11"/>
      <color theme="1"/>
      <name val="ＭＳ Ｐゴシック"/>
      <family val="2"/>
      <scheme val="minor"/>
    </font>
    <font>
      <sz val="10"/>
      <name val="Meiryo UI"/>
      <family val="3"/>
      <charset val="128"/>
    </font>
    <font>
      <sz val="11"/>
      <name val="Meiryo UI"/>
      <family val="3"/>
      <charset val="128"/>
    </font>
    <font>
      <b/>
      <sz val="11"/>
      <name val="Meiryo UI"/>
      <family val="3"/>
      <charset val="128"/>
    </font>
    <font>
      <b/>
      <sz val="16"/>
      <name val="Meiryo UI"/>
      <family val="3"/>
      <charset val="128"/>
    </font>
    <font>
      <sz val="11"/>
      <color theme="1"/>
      <name val="Meiryo UI"/>
      <family val="3"/>
      <charset val="128"/>
    </font>
    <font>
      <b/>
      <sz val="9"/>
      <name val="Meiryo UI"/>
      <family val="3"/>
      <charset val="128"/>
    </font>
    <font>
      <b/>
      <sz val="9"/>
      <color theme="1"/>
      <name val="Meiryo UI"/>
      <family val="3"/>
      <charset val="128"/>
    </font>
    <font>
      <sz val="6"/>
      <name val="ＭＳ Ｐゴシック"/>
      <family val="3"/>
      <charset val="128"/>
      <scheme val="minor"/>
    </font>
    <font>
      <sz val="9"/>
      <name val="Meiryo UI"/>
      <family val="3"/>
      <charset val="128"/>
    </font>
    <font>
      <sz val="11"/>
      <color rgb="FF00B0F0"/>
      <name val="Meiryo UI"/>
      <family val="3"/>
      <charset val="128"/>
    </font>
    <font>
      <sz val="11"/>
      <color rgb="FF0070C0"/>
      <name val="Meiryo UI"/>
      <family val="3"/>
      <charset val="128"/>
    </font>
    <font>
      <sz val="11"/>
      <color rgb="FF0000FF"/>
      <name val="Meiryo UI"/>
      <family val="3"/>
      <charset val="128"/>
    </font>
    <font>
      <sz val="12"/>
      <name val="Osaka"/>
      <family val="3"/>
      <charset val="128"/>
    </font>
    <font>
      <sz val="10"/>
      <color indexed="12"/>
      <name val="ＭＳ Ｐゴシック"/>
      <family val="3"/>
      <charset val="128"/>
    </font>
    <font>
      <sz val="11"/>
      <color rgb="FFFF0000"/>
      <name val="Meiryo UI"/>
      <family val="3"/>
      <charset val="128"/>
    </font>
    <font>
      <sz val="11"/>
      <color rgb="FF0000FF"/>
      <name val="Microsoft YaHei"/>
      <family val="3"/>
      <charset val="134"/>
    </font>
    <font>
      <sz val="11"/>
      <name val="Microsoft YaHei"/>
      <family val="3"/>
      <charset val="134"/>
    </font>
  </fonts>
  <fills count="60">
    <fill>
      <patternFill patternType="none"/>
    </fill>
    <fill>
      <patternFill patternType="gray125"/>
    </fill>
    <fill>
      <patternFill patternType="solid">
        <fgColor indexed="41"/>
        <bgColor indexed="64"/>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22"/>
        <bgColor indexed="64"/>
      </patternFill>
    </fill>
    <fill>
      <patternFill patternType="solid">
        <fgColor indexed="65"/>
        <bgColor indexed="64"/>
      </patternFill>
    </fill>
    <fill>
      <patternFill patternType="mediumGray">
        <fgColor indexed="35"/>
        <bgColor indexed="9"/>
      </patternFill>
    </fill>
    <fill>
      <patternFill patternType="mediumGray">
        <fgColor indexed="9"/>
        <bgColor indexed="11"/>
      </patternFill>
    </fill>
    <fill>
      <patternFill patternType="solid">
        <fgColor indexed="11"/>
        <bgColor indexed="64"/>
      </patternFill>
    </fill>
    <fill>
      <patternFill patternType="solid">
        <fgColor indexed="14"/>
        <bgColor indexed="64"/>
      </patternFill>
    </fill>
    <fill>
      <patternFill patternType="gray0625">
        <bgColor indexed="15"/>
      </patternFill>
    </fill>
    <fill>
      <patternFill patternType="solid">
        <fgColor indexed="26"/>
        <bgColor indexed="64"/>
      </patternFill>
    </fill>
    <fill>
      <patternFill patternType="solid">
        <fgColor indexed="15"/>
        <bgColor indexed="64"/>
      </patternFill>
    </fill>
    <fill>
      <patternFill patternType="solid">
        <fgColor indexed="9"/>
        <bgColor indexed="11"/>
      </patternFill>
    </fill>
    <fill>
      <patternFill patternType="solid">
        <fgColor indexed="13"/>
        <bgColor indexed="64"/>
      </patternFill>
    </fill>
    <fill>
      <patternFill patternType="solid">
        <fgColor indexed="43"/>
      </patternFill>
    </fill>
    <fill>
      <patternFill patternType="solid">
        <fgColor indexed="43"/>
        <bgColor indexed="64"/>
      </patternFill>
    </fill>
    <fill>
      <patternFill patternType="solid">
        <fgColor indexed="40"/>
        <bgColor indexed="64"/>
      </patternFill>
    </fill>
    <fill>
      <patternFill patternType="solid">
        <fgColor indexed="54"/>
        <bgColor indexed="64"/>
      </patternFill>
    </fill>
    <fill>
      <patternFill patternType="solid">
        <fgColor indexed="10"/>
        <bgColor indexed="64"/>
      </patternFill>
    </fill>
    <fill>
      <patternFill patternType="solid">
        <fgColor indexed="10"/>
      </patternFill>
    </fill>
    <fill>
      <patternFill patternType="solid">
        <fgColor indexed="53"/>
      </patternFill>
    </fill>
    <fill>
      <patternFill patternType="solid">
        <fgColor indexed="21"/>
        <bgColor indexed="64"/>
      </patternFill>
    </fill>
    <fill>
      <patternFill patternType="solid">
        <fgColor indexed="57"/>
      </patternFill>
    </fill>
    <fill>
      <patternFill patternType="solid">
        <fgColor indexed="50"/>
      </patternFill>
    </fill>
    <fill>
      <patternFill patternType="lightUp">
        <fgColor indexed="48"/>
        <bgColor indexed="41"/>
      </patternFill>
    </fill>
    <fill>
      <patternFill patternType="lightUp">
        <fgColor indexed="54"/>
        <bgColor indexed="41"/>
      </patternFill>
    </fill>
    <fill>
      <patternFill patternType="solid">
        <fgColor indexed="41"/>
      </patternFill>
    </fill>
    <fill>
      <patternFill patternType="solid">
        <fgColor indexed="40"/>
      </patternFill>
    </fill>
    <fill>
      <patternFill patternType="solid">
        <fgColor indexed="44"/>
        <bgColor indexed="64"/>
      </patternFill>
    </fill>
    <fill>
      <patternFill patternType="solid">
        <fgColor indexed="9"/>
        <bgColor indexed="64"/>
      </patternFill>
    </fill>
    <fill>
      <patternFill patternType="solid">
        <fgColor indexed="15"/>
      </patternFill>
    </fill>
    <fill>
      <patternFill patternType="solid">
        <fgColor indexed="62"/>
      </patternFill>
    </fill>
    <fill>
      <patternFill patternType="solid">
        <fgColor indexed="55"/>
      </patternFill>
    </fill>
    <fill>
      <patternFill patternType="solid">
        <fgColor indexed="26"/>
      </patternFill>
    </fill>
    <fill>
      <patternFill patternType="solid">
        <fgColor indexed="22"/>
      </patternFill>
    </fill>
    <fill>
      <patternFill patternType="solid">
        <fgColor indexed="9"/>
      </patternFill>
    </fill>
    <fill>
      <patternFill patternType="lightGray"/>
    </fill>
    <fill>
      <patternFill patternType="solid">
        <fgColor rgb="FF99CCFF"/>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59999389629810485"/>
        <bgColor indexed="64"/>
      </patternFill>
    </fill>
    <fill>
      <patternFill patternType="solid">
        <fgColor theme="8" tint="0.79998168889431442"/>
        <bgColor indexed="64"/>
      </patternFill>
    </fill>
  </fills>
  <borders count="78">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hair">
        <color auto="1"/>
      </top>
      <bottom style="double">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style="hair">
        <color auto="1"/>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double">
        <color auto="1"/>
      </top>
      <bottom style="hair">
        <color indexed="64"/>
      </bottom>
      <diagonal/>
    </border>
    <border>
      <left style="thin">
        <color auto="1"/>
      </left>
      <right style="thin">
        <color auto="1"/>
      </right>
      <top/>
      <bottom style="double">
        <color auto="1"/>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top style="thin">
        <color indexed="64"/>
      </top>
      <bottom/>
      <diagonal/>
    </border>
    <border>
      <left/>
      <right/>
      <top style="thin">
        <color indexed="64"/>
      </top>
      <bottom/>
      <diagonal/>
    </border>
    <border>
      <left style="thin">
        <color auto="1"/>
      </left>
      <right/>
      <top/>
      <bottom style="double">
        <color auto="1"/>
      </bottom>
      <diagonal/>
    </border>
    <border>
      <left style="thin">
        <color indexed="64"/>
      </left>
      <right style="thin">
        <color indexed="64"/>
      </right>
      <top style="double">
        <color auto="1"/>
      </top>
      <bottom style="hair">
        <color indexed="64"/>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dotted">
        <color indexed="64"/>
      </bottom>
      <diagonal/>
    </border>
    <border>
      <left style="medium">
        <color indexed="64"/>
      </left>
      <right/>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auto="1"/>
      </left>
      <right style="thin">
        <color auto="1"/>
      </right>
      <top/>
      <bottom/>
      <diagonal/>
    </border>
  </borders>
  <cellStyleXfs count="507">
    <xf numFmtId="0" fontId="0" fillId="0" borderId="0"/>
    <xf numFmtId="0" fontId="13" fillId="0" borderId="0">
      <alignment vertical="center"/>
    </xf>
    <xf numFmtId="0" fontId="14" fillId="0" borderId="0"/>
    <xf numFmtId="0" fontId="14" fillId="0" borderId="0"/>
    <xf numFmtId="49" fontId="26" fillId="0" borderId="0"/>
    <xf numFmtId="0" fontId="27" fillId="0" borderId="0"/>
    <xf numFmtId="9" fontId="28" fillId="3" borderId="0"/>
    <xf numFmtId="0" fontId="29" fillId="0" borderId="0"/>
    <xf numFmtId="179" fontId="30" fillId="0" borderId="0" applyFont="0" applyFill="0" applyBorder="0" applyAlignment="0" applyProtection="0"/>
    <xf numFmtId="180" fontId="30" fillId="0" borderId="0" applyFont="0" applyFill="0" applyBorder="0" applyAlignment="0" applyProtection="0"/>
    <xf numFmtId="10" fontId="30" fillId="0" borderId="0" applyFont="0" applyFill="0" applyBorder="0" applyAlignment="0" applyProtection="0"/>
    <xf numFmtId="0" fontId="31" fillId="0" borderId="0" applyFont="0"/>
    <xf numFmtId="0" fontId="32" fillId="4" borderId="0" applyNumberFormat="0" applyBorder="0" applyAlignment="0" applyProtection="0">
      <alignment vertical="center"/>
    </xf>
    <xf numFmtId="0" fontId="33" fillId="4" borderId="0" applyNumberFormat="0" applyBorder="0" applyAlignment="0" applyProtection="0">
      <alignment vertical="center"/>
    </xf>
    <xf numFmtId="0" fontId="33" fillId="4" borderId="0" applyNumberFormat="0" applyBorder="0" applyAlignment="0" applyProtection="0">
      <alignment vertical="center"/>
    </xf>
    <xf numFmtId="0" fontId="34" fillId="4" borderId="0" applyNumberFormat="0" applyBorder="0" applyAlignment="0" applyProtection="0">
      <alignment vertical="center"/>
    </xf>
    <xf numFmtId="0" fontId="32" fillId="4" borderId="0" applyNumberFormat="0" applyBorder="0" applyAlignment="0" applyProtection="0">
      <alignment vertical="center"/>
    </xf>
    <xf numFmtId="0" fontId="32"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4" fillId="5" borderId="0" applyNumberFormat="0" applyBorder="0" applyAlignment="0" applyProtection="0">
      <alignment vertical="center"/>
    </xf>
    <xf numFmtId="0" fontId="32" fillId="5" borderId="0" applyNumberFormat="0" applyBorder="0" applyAlignment="0" applyProtection="0">
      <alignment vertical="center"/>
    </xf>
    <xf numFmtId="0" fontId="32"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4" fillId="6" borderId="0" applyNumberFormat="0" applyBorder="0" applyAlignment="0" applyProtection="0">
      <alignment vertical="center"/>
    </xf>
    <xf numFmtId="0" fontId="32" fillId="6" borderId="0" applyNumberFormat="0" applyBorder="0" applyAlignment="0" applyProtection="0">
      <alignment vertical="center"/>
    </xf>
    <xf numFmtId="0" fontId="32" fillId="7" borderId="0" applyNumberFormat="0" applyBorder="0" applyAlignment="0" applyProtection="0">
      <alignment vertical="center"/>
    </xf>
    <xf numFmtId="0" fontId="33" fillId="7" borderId="0" applyNumberFormat="0" applyBorder="0" applyAlignment="0" applyProtection="0">
      <alignment vertical="center"/>
    </xf>
    <xf numFmtId="0" fontId="33" fillId="7" borderId="0" applyNumberFormat="0" applyBorder="0" applyAlignment="0" applyProtection="0">
      <alignment vertical="center"/>
    </xf>
    <xf numFmtId="0" fontId="34" fillId="7"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4" fillId="8"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4" fillId="9"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4" fillId="10"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3" fillId="11" borderId="0" applyNumberFormat="0" applyBorder="0" applyAlignment="0" applyProtection="0">
      <alignment vertical="center"/>
    </xf>
    <xf numFmtId="0" fontId="33" fillId="11" borderId="0" applyNumberFormat="0" applyBorder="0" applyAlignment="0" applyProtection="0">
      <alignment vertical="center"/>
    </xf>
    <xf numFmtId="0" fontId="34" fillId="11"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4" fillId="12" borderId="0" applyNumberFormat="0" applyBorder="0" applyAlignment="0" applyProtection="0">
      <alignment vertical="center"/>
    </xf>
    <xf numFmtId="0" fontId="32" fillId="12" borderId="0" applyNumberFormat="0" applyBorder="0" applyAlignment="0" applyProtection="0">
      <alignment vertical="center"/>
    </xf>
    <xf numFmtId="0" fontId="32" fillId="7" borderId="0" applyNumberFormat="0" applyBorder="0" applyAlignment="0" applyProtection="0">
      <alignment vertical="center"/>
    </xf>
    <xf numFmtId="0" fontId="33" fillId="7" borderId="0" applyNumberFormat="0" applyBorder="0" applyAlignment="0" applyProtection="0">
      <alignment vertical="center"/>
    </xf>
    <xf numFmtId="0" fontId="33" fillId="7" borderId="0" applyNumberFormat="0" applyBorder="0" applyAlignment="0" applyProtection="0">
      <alignment vertical="center"/>
    </xf>
    <xf numFmtId="0" fontId="34" fillId="7" borderId="0" applyNumberFormat="0" applyBorder="0" applyAlignment="0" applyProtection="0">
      <alignment vertical="center"/>
    </xf>
    <xf numFmtId="0" fontId="32" fillId="7" borderId="0" applyNumberFormat="0" applyBorder="0" applyAlignment="0" applyProtection="0">
      <alignment vertical="center"/>
    </xf>
    <xf numFmtId="0" fontId="32"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4" fillId="10" borderId="0" applyNumberFormat="0" applyBorder="0" applyAlignment="0" applyProtection="0">
      <alignment vertical="center"/>
    </xf>
    <xf numFmtId="0" fontId="32" fillId="10" borderId="0" applyNumberFormat="0" applyBorder="0" applyAlignment="0" applyProtection="0">
      <alignment vertical="center"/>
    </xf>
    <xf numFmtId="0" fontId="32"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4" fillId="13" borderId="0" applyNumberFormat="0" applyBorder="0" applyAlignment="0" applyProtection="0">
      <alignment vertical="center"/>
    </xf>
    <xf numFmtId="0" fontId="32" fillId="13" borderId="0" applyNumberFormat="0" applyBorder="0" applyAlignment="0" applyProtection="0">
      <alignment vertical="center"/>
    </xf>
    <xf numFmtId="0" fontId="35" fillId="14" borderId="0" applyNumberFormat="0" applyBorder="0" applyAlignment="0" applyProtection="0">
      <alignment vertical="center"/>
    </xf>
    <xf numFmtId="0" fontId="36" fillId="14" borderId="0" applyNumberFormat="0" applyBorder="0" applyAlignment="0" applyProtection="0">
      <alignment vertical="center"/>
    </xf>
    <xf numFmtId="0" fontId="36" fillId="14" borderId="0" applyNumberFormat="0" applyBorder="0" applyAlignment="0" applyProtection="0">
      <alignment vertical="center"/>
    </xf>
    <xf numFmtId="0" fontId="37" fillId="14" borderId="0" applyNumberFormat="0" applyBorder="0" applyAlignment="0" applyProtection="0">
      <alignment vertical="center"/>
    </xf>
    <xf numFmtId="0" fontId="35" fillId="14"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7" fillId="17" borderId="0" applyNumberFormat="0" applyBorder="0" applyAlignment="0" applyProtection="0">
      <alignment vertical="center"/>
    </xf>
    <xf numFmtId="0" fontId="35" fillId="17" borderId="0" applyNumberFormat="0" applyBorder="0" applyAlignment="0" applyProtection="0">
      <alignment vertical="center"/>
    </xf>
    <xf numFmtId="0" fontId="38" fillId="0" borderId="0" applyNumberFormat="0" applyFill="0" applyBorder="0" applyProtection="0"/>
    <xf numFmtId="4" fontId="39" fillId="18" borderId="0" applyNumberFormat="0" applyBorder="0" applyAlignment="0" applyProtection="0">
      <alignment horizontal="left"/>
    </xf>
    <xf numFmtId="0" fontId="38" fillId="0" borderId="0">
      <alignment vertical="center" wrapText="1"/>
    </xf>
    <xf numFmtId="0" fontId="40" fillId="0" borderId="0" applyNumberFormat="0" applyFill="0" applyBorder="0" applyAlignment="0" applyProtection="0"/>
    <xf numFmtId="181" fontId="41" fillId="0" borderId="1" applyAlignment="0" applyProtection="0"/>
    <xf numFmtId="182" fontId="42" fillId="0" borderId="0" applyFill="0" applyBorder="0" applyAlignment="0"/>
    <xf numFmtId="183" fontId="43" fillId="0" borderId="0" applyFill="0" applyBorder="0" applyAlignment="0"/>
    <xf numFmtId="184" fontId="43" fillId="0" borderId="0" applyFill="0" applyBorder="0" applyAlignment="0"/>
    <xf numFmtId="185" fontId="14" fillId="0" borderId="0" applyFill="0" applyBorder="0" applyAlignment="0"/>
    <xf numFmtId="186" fontId="14" fillId="0" borderId="0" applyFill="0" applyBorder="0" applyAlignment="0"/>
    <xf numFmtId="187" fontId="14" fillId="0" borderId="0" applyFill="0" applyBorder="0" applyAlignment="0"/>
    <xf numFmtId="188" fontId="43" fillId="0" borderId="0" applyFill="0" applyBorder="0" applyAlignment="0"/>
    <xf numFmtId="183" fontId="43" fillId="0" borderId="0" applyFill="0" applyBorder="0" applyAlignment="0"/>
    <xf numFmtId="0" fontId="44" fillId="0" borderId="0"/>
    <xf numFmtId="0" fontId="45" fillId="0" borderId="4" applyNumberFormat="0" applyFill="0" applyProtection="0">
      <alignment horizontal="center"/>
    </xf>
    <xf numFmtId="178" fontId="46" fillId="0" borderId="0" applyFont="0" applyFill="0" applyBorder="0" applyAlignment="0" applyProtection="0"/>
    <xf numFmtId="187" fontId="14" fillId="0" borderId="0" applyFont="0" applyFill="0" applyBorder="0" applyAlignment="0" applyProtection="0"/>
    <xf numFmtId="189" fontId="47" fillId="0" borderId="0"/>
    <xf numFmtId="37" fontId="30" fillId="0" borderId="0" applyFont="0" applyFill="0" applyBorder="0" applyAlignment="0" applyProtection="0"/>
    <xf numFmtId="183" fontId="30" fillId="0" borderId="0" applyFont="0" applyFill="0" applyBorder="0" applyAlignment="0" applyProtection="0"/>
    <xf numFmtId="39" fontId="30" fillId="0" borderId="0" applyFont="0" applyFill="0" applyBorder="0" applyAlignment="0" applyProtection="0"/>
    <xf numFmtId="190" fontId="14" fillId="0" borderId="0" applyFont="0" applyFill="0" applyBorder="0" applyAlignment="0" applyProtection="0"/>
    <xf numFmtId="191" fontId="46" fillId="0" borderId="0" applyFont="0" applyFill="0" applyBorder="0" applyAlignment="0" applyProtection="0"/>
    <xf numFmtId="183" fontId="43" fillId="0" borderId="0" applyFont="0" applyFill="0" applyBorder="0" applyAlignment="0" applyProtection="0"/>
    <xf numFmtId="181" fontId="30" fillId="0" borderId="0" applyFont="0" applyFill="0" applyBorder="0" applyAlignment="0" applyProtection="0"/>
    <xf numFmtId="192" fontId="30" fillId="0" borderId="0" applyFont="0" applyFill="0" applyBorder="0" applyAlignment="0" applyProtection="0"/>
    <xf numFmtId="188" fontId="43" fillId="0" borderId="0" applyFont="0" applyFill="0" applyBorder="0" applyAlignment="0" applyProtection="0"/>
    <xf numFmtId="193" fontId="47" fillId="0" borderId="0"/>
    <xf numFmtId="194" fontId="26" fillId="19" borderId="0" applyFont="0" applyBorder="0"/>
    <xf numFmtId="14" fontId="42" fillId="0" borderId="0" applyFill="0" applyBorder="0" applyAlignment="0"/>
    <xf numFmtId="195" fontId="47" fillId="0" borderId="0"/>
    <xf numFmtId="187" fontId="14" fillId="0" borderId="0" applyFill="0" applyBorder="0" applyAlignment="0"/>
    <xf numFmtId="183" fontId="43" fillId="0" borderId="0" applyFill="0" applyBorder="0" applyAlignment="0"/>
    <xf numFmtId="187" fontId="14" fillId="0" borderId="0" applyFill="0" applyBorder="0" applyAlignment="0"/>
    <xf numFmtId="188" fontId="43" fillId="0" borderId="0" applyFill="0" applyBorder="0" applyAlignment="0"/>
    <xf numFmtId="183" fontId="43" fillId="0" borderId="0" applyFill="0" applyBorder="0" applyAlignment="0"/>
    <xf numFmtId="0" fontId="48" fillId="0" borderId="0">
      <alignment horizontal="left"/>
    </xf>
    <xf numFmtId="0" fontId="49" fillId="0" borderId="0" applyNumberFormat="0" applyFill="0" applyBorder="0" applyAlignment="0" applyProtection="0"/>
    <xf numFmtId="38" fontId="50" fillId="19" borderId="0" applyNumberFormat="0" applyBorder="0" applyAlignment="0" applyProtection="0"/>
    <xf numFmtId="0" fontId="51" fillId="20" borderId="0"/>
    <xf numFmtId="0" fontId="52" fillId="0" borderId="0">
      <alignment horizontal="left"/>
    </xf>
    <xf numFmtId="0" fontId="53" fillId="0" borderId="15" applyNumberFormat="0" applyAlignment="0" applyProtection="0">
      <alignment horizontal="left" vertical="center"/>
    </xf>
    <xf numFmtId="0" fontId="53" fillId="0" borderId="13">
      <alignment horizontal="left" vertical="center"/>
    </xf>
    <xf numFmtId="38" fontId="24" fillId="21" borderId="9" applyBorder="0"/>
    <xf numFmtId="0" fontId="24" fillId="0" borderId="0"/>
    <xf numFmtId="38" fontId="24" fillId="0" borderId="0" applyBorder="0"/>
    <xf numFmtId="38" fontId="24" fillId="22" borderId="0" applyBorder="0">
      <protection locked="0"/>
    </xf>
    <xf numFmtId="3" fontId="26" fillId="23" borderId="16" applyFont="0" applyBorder="0" applyAlignment="0">
      <protection locked="0"/>
    </xf>
    <xf numFmtId="3" fontId="26" fillId="24" borderId="0" applyFont="0" applyBorder="0" applyAlignment="0"/>
    <xf numFmtId="39" fontId="26" fillId="0" borderId="9" applyFont="0" applyFill="0" applyBorder="0" applyAlignment="0" applyProtection="0"/>
    <xf numFmtId="196" fontId="26" fillId="25" borderId="9" applyFont="0" applyBorder="0" applyAlignment="0" applyProtection="0"/>
    <xf numFmtId="0" fontId="54" fillId="0" borderId="0" applyNumberFormat="0" applyFill="0" applyBorder="0" applyAlignment="0" applyProtection="0">
      <alignment vertical="top"/>
      <protection locked="0"/>
    </xf>
    <xf numFmtId="0" fontId="55" fillId="0" borderId="0" applyBorder="0"/>
    <xf numFmtId="10" fontId="50" fillId="26" borderId="9" applyNumberFormat="0" applyBorder="0" applyAlignment="0" applyProtection="0"/>
    <xf numFmtId="0" fontId="55" fillId="0" borderId="0"/>
    <xf numFmtId="0" fontId="26" fillId="0" borderId="0"/>
    <xf numFmtId="1" fontId="55" fillId="0" borderId="0" applyProtection="0">
      <protection locked="0"/>
    </xf>
    <xf numFmtId="187" fontId="14" fillId="0" borderId="0" applyFill="0" applyBorder="0" applyAlignment="0"/>
    <xf numFmtId="183" fontId="43" fillId="0" borderId="0" applyFill="0" applyBorder="0" applyAlignment="0"/>
    <xf numFmtId="187" fontId="14" fillId="0" borderId="0" applyFill="0" applyBorder="0" applyAlignment="0"/>
    <xf numFmtId="188" fontId="43" fillId="0" borderId="0" applyFill="0" applyBorder="0" applyAlignment="0"/>
    <xf numFmtId="183" fontId="43" fillId="0" borderId="0" applyFill="0" applyBorder="0" applyAlignment="0"/>
    <xf numFmtId="38" fontId="56" fillId="0" borderId="0" applyFont="0" applyFill="0" applyBorder="0" applyAlignment="0" applyProtection="0"/>
    <xf numFmtId="40" fontId="56" fillId="0" borderId="0" applyFont="0" applyFill="0" applyBorder="0" applyAlignment="0" applyProtection="0"/>
    <xf numFmtId="0" fontId="57" fillId="0" borderId="17"/>
    <xf numFmtId="197" fontId="56" fillId="0" borderId="0" applyFont="0" applyFill="0" applyBorder="0" applyAlignment="0" applyProtection="0"/>
    <xf numFmtId="198" fontId="56" fillId="0" borderId="0" applyFont="0" applyFill="0" applyBorder="0" applyAlignment="0" applyProtection="0"/>
    <xf numFmtId="37" fontId="58" fillId="0" borderId="0"/>
    <xf numFmtId="199" fontId="28" fillId="0" borderId="0"/>
    <xf numFmtId="0" fontId="28" fillId="0" borderId="0"/>
    <xf numFmtId="0" fontId="26" fillId="0" borderId="0"/>
    <xf numFmtId="200" fontId="14" fillId="0" borderId="0" applyFont="0" applyFill="0" applyBorder="0" applyAlignment="0" applyProtection="0"/>
    <xf numFmtId="187" fontId="14" fillId="0" borderId="0" applyFont="0" applyFill="0" applyBorder="0" applyAlignment="0" applyProtection="0"/>
    <xf numFmtId="186" fontId="14" fillId="0" borderId="0" applyFont="0" applyFill="0" applyBorder="0" applyAlignment="0" applyProtection="0"/>
    <xf numFmtId="190" fontId="14" fillId="0" borderId="0" applyFont="0" applyFill="0" applyBorder="0" applyAlignment="0" applyProtection="0"/>
    <xf numFmtId="10" fontId="28" fillId="0" borderId="0" applyFont="0" applyFill="0" applyBorder="0" applyAlignment="0" applyProtection="0"/>
    <xf numFmtId="201" fontId="14" fillId="0" borderId="0" applyFont="0" applyFill="0" applyBorder="0" applyAlignment="0" applyProtection="0"/>
    <xf numFmtId="38" fontId="59" fillId="27" borderId="14" applyBorder="0"/>
    <xf numFmtId="38" fontId="59" fillId="22" borderId="14" applyBorder="0"/>
    <xf numFmtId="38" fontId="59" fillId="28" borderId="14" applyBorder="0">
      <protection locked="0"/>
    </xf>
    <xf numFmtId="0" fontId="24" fillId="0" borderId="14" applyBorder="0"/>
    <xf numFmtId="0" fontId="24" fillId="0" borderId="0"/>
    <xf numFmtId="187" fontId="14" fillId="0" borderId="0" applyFill="0" applyBorder="0" applyAlignment="0"/>
    <xf numFmtId="183" fontId="43" fillId="0" borderId="0" applyFill="0" applyBorder="0" applyAlignment="0"/>
    <xf numFmtId="187" fontId="14" fillId="0" borderId="0" applyFill="0" applyBorder="0" applyAlignment="0"/>
    <xf numFmtId="188" fontId="43" fillId="0" borderId="0" applyFill="0" applyBorder="0" applyAlignment="0"/>
    <xf numFmtId="183" fontId="43" fillId="0" borderId="0" applyFill="0" applyBorder="0" applyAlignment="0"/>
    <xf numFmtId="3" fontId="60" fillId="0" borderId="0" applyFont="0" applyFill="0" applyBorder="0" applyAlignment="0"/>
    <xf numFmtId="3" fontId="26" fillId="29" borderId="18" applyFont="0" applyBorder="0" applyAlignment="0"/>
    <xf numFmtId="4" fontId="48" fillId="0" borderId="0">
      <alignment horizontal="right"/>
    </xf>
    <xf numFmtId="0" fontId="56" fillId="0" borderId="0" applyNumberFormat="0" applyFont="0" applyFill="0" applyBorder="0" applyAlignment="0" applyProtection="0">
      <alignment horizontal="left"/>
    </xf>
    <xf numFmtId="4" fontId="61" fillId="0" borderId="0">
      <alignment horizontal="right"/>
    </xf>
    <xf numFmtId="4" fontId="62" fillId="30" borderId="19" applyNumberFormat="0" applyProtection="0">
      <alignment vertical="center"/>
    </xf>
    <xf numFmtId="4" fontId="63" fillId="31" borderId="20" applyNumberFormat="0" applyProtection="0">
      <alignment vertical="center"/>
    </xf>
    <xf numFmtId="4" fontId="62" fillId="30" borderId="19" applyNumberFormat="0" applyProtection="0">
      <alignment vertical="center"/>
    </xf>
    <xf numFmtId="4" fontId="63" fillId="31" borderId="20" applyNumberFormat="0" applyProtection="0">
      <alignment vertical="center"/>
    </xf>
    <xf numFmtId="4" fontId="64" fillId="31" borderId="19" applyNumberFormat="0" applyProtection="0">
      <alignment vertical="center"/>
    </xf>
    <xf numFmtId="4" fontId="65" fillId="31" borderId="20" applyNumberFormat="0" applyProtection="0">
      <alignment vertical="center"/>
    </xf>
    <xf numFmtId="4" fontId="64" fillId="31" borderId="19" applyNumberFormat="0" applyProtection="0">
      <alignment vertical="center"/>
    </xf>
    <xf numFmtId="4" fontId="65" fillId="31" borderId="20" applyNumberFormat="0" applyProtection="0">
      <alignment vertical="center"/>
    </xf>
    <xf numFmtId="4" fontId="62" fillId="31" borderId="19" applyNumberFormat="0" applyProtection="0">
      <alignment horizontal="left" vertical="center" indent="1"/>
    </xf>
    <xf numFmtId="4" fontId="66" fillId="31" borderId="20" applyNumberFormat="0" applyProtection="0">
      <alignment horizontal="left" vertical="center"/>
    </xf>
    <xf numFmtId="4" fontId="62" fillId="31" borderId="19" applyNumberFormat="0" applyProtection="0">
      <alignment horizontal="left" vertical="center" indent="1"/>
    </xf>
    <xf numFmtId="4" fontId="66" fillId="31" borderId="20" applyNumberFormat="0" applyProtection="0">
      <alignment horizontal="left" vertical="center"/>
    </xf>
    <xf numFmtId="0" fontId="62" fillId="31" borderId="19" applyNumberFormat="0" applyProtection="0">
      <alignment horizontal="left" vertical="top" indent="1"/>
    </xf>
    <xf numFmtId="4" fontId="62" fillId="32" borderId="0" applyNumberFormat="0" applyProtection="0">
      <alignment horizontal="left" vertical="center" indent="1"/>
    </xf>
    <xf numFmtId="4" fontId="67" fillId="33" borderId="20" applyNumberFormat="0" applyProtection="0">
      <alignment horizontal="left" vertical="center"/>
    </xf>
    <xf numFmtId="4" fontId="62" fillId="32" borderId="0" applyNumberFormat="0" applyProtection="0">
      <alignment horizontal="left" vertical="center" indent="1"/>
    </xf>
    <xf numFmtId="4" fontId="67" fillId="33" borderId="20" applyNumberFormat="0" applyProtection="0">
      <alignment horizontal="left" vertical="center"/>
    </xf>
    <xf numFmtId="4" fontId="68" fillId="34" borderId="20" applyNumberFormat="0" applyProtection="0">
      <alignment vertical="center"/>
    </xf>
    <xf numFmtId="4" fontId="42" fillId="5" borderId="19" applyNumberFormat="0" applyProtection="0">
      <alignment horizontal="right" vertical="center"/>
    </xf>
    <xf numFmtId="4" fontId="42" fillId="11" borderId="19" applyNumberFormat="0" applyProtection="0">
      <alignment horizontal="right" vertical="center"/>
    </xf>
    <xf numFmtId="4" fontId="42" fillId="35" borderId="19" applyNumberFormat="0" applyProtection="0">
      <alignment horizontal="right" vertical="center"/>
    </xf>
    <xf numFmtId="4" fontId="69" fillId="19" borderId="20" applyNumberFormat="0" applyProtection="0">
      <alignment vertical="center"/>
    </xf>
    <xf numFmtId="4" fontId="42" fillId="13" borderId="19" applyNumberFormat="0" applyProtection="0">
      <alignment horizontal="right" vertical="center"/>
    </xf>
    <xf numFmtId="4" fontId="42" fillId="17" borderId="19" applyNumberFormat="0" applyProtection="0">
      <alignment horizontal="right" vertical="center"/>
    </xf>
    <xf numFmtId="4" fontId="42" fillId="36" borderId="19" applyNumberFormat="0" applyProtection="0">
      <alignment horizontal="right" vertical="center"/>
    </xf>
    <xf numFmtId="4" fontId="68" fillId="37" borderId="20" applyNumberFormat="0" applyProtection="0">
      <alignment vertical="center"/>
    </xf>
    <xf numFmtId="4" fontId="42" fillId="38" borderId="19" applyNumberFormat="0" applyProtection="0">
      <alignment horizontal="right" vertical="center"/>
    </xf>
    <xf numFmtId="4" fontId="42" fillId="39" borderId="19" applyNumberFormat="0" applyProtection="0">
      <alignment horizontal="right" vertical="center"/>
    </xf>
    <xf numFmtId="4" fontId="42" fillId="12" borderId="19" applyNumberFormat="0" applyProtection="0">
      <alignment horizontal="right" vertical="center"/>
    </xf>
    <xf numFmtId="4" fontId="70" fillId="34" borderId="20" applyNumberFormat="0" applyProtection="0">
      <alignment vertical="center"/>
    </xf>
    <xf numFmtId="4" fontId="62" fillId="40" borderId="21" applyNumberFormat="0" applyProtection="0">
      <alignment horizontal="left" vertical="center" indent="1"/>
    </xf>
    <xf numFmtId="4" fontId="71" fillId="41" borderId="20" applyNumberFormat="0" applyProtection="0">
      <alignment horizontal="left" vertical="center"/>
    </xf>
    <xf numFmtId="4" fontId="62" fillId="40" borderId="21" applyNumberFormat="0" applyProtection="0">
      <alignment horizontal="left" vertical="center" indent="1"/>
    </xf>
    <xf numFmtId="4" fontId="71" fillId="41" borderId="20" applyNumberFormat="0" applyProtection="0">
      <alignment horizontal="left" vertical="center"/>
    </xf>
    <xf numFmtId="4" fontId="42" fillId="42" borderId="0" applyNumberFormat="0" applyProtection="0">
      <alignment horizontal="left" vertical="center" indent="1"/>
    </xf>
    <xf numFmtId="4" fontId="71" fillId="2" borderId="20" applyNumberFormat="0" applyProtection="0">
      <alignment horizontal="left" vertical="center"/>
    </xf>
    <xf numFmtId="4" fontId="42" fillId="42" borderId="0" applyNumberFormat="0" applyProtection="0">
      <alignment horizontal="left" vertical="center" indent="1"/>
    </xf>
    <xf numFmtId="4" fontId="71" fillId="2" borderId="20" applyNumberFormat="0" applyProtection="0">
      <alignment horizontal="left" vertical="center"/>
    </xf>
    <xf numFmtId="4" fontId="72" fillId="33" borderId="0" applyNumberFormat="0" applyProtection="0">
      <alignment horizontal="left" vertical="center" indent="1"/>
    </xf>
    <xf numFmtId="4" fontId="73" fillId="33" borderId="20" applyNumberFormat="0" applyProtection="0">
      <alignment horizontal="left" vertical="center"/>
    </xf>
    <xf numFmtId="4" fontId="72" fillId="33" borderId="0" applyNumberFormat="0" applyProtection="0">
      <alignment horizontal="left" vertical="center" indent="1"/>
    </xf>
    <xf numFmtId="4" fontId="73" fillId="33" borderId="20" applyNumberFormat="0" applyProtection="0">
      <alignment horizontal="left" vertical="center"/>
    </xf>
    <xf numFmtId="4" fontId="42" fillId="43" borderId="19" applyNumberFormat="0" applyProtection="0">
      <alignment horizontal="right" vertical="center"/>
    </xf>
    <xf numFmtId="4" fontId="74" fillId="44" borderId="20" applyNumberFormat="0" applyProtection="0">
      <alignment vertical="center"/>
    </xf>
    <xf numFmtId="4" fontId="42" fillId="43" borderId="19" applyNumberFormat="0" applyProtection="0">
      <alignment horizontal="right" vertical="center"/>
    </xf>
    <xf numFmtId="4" fontId="74" fillId="44" borderId="20" applyNumberFormat="0" applyProtection="0">
      <alignment vertical="center"/>
    </xf>
    <xf numFmtId="4" fontId="75" fillId="45" borderId="20" applyNumberFormat="0" applyProtection="0">
      <alignment horizontal="left" vertical="center"/>
    </xf>
    <xf numFmtId="4" fontId="42" fillId="42" borderId="0" applyNumberFormat="0" applyProtection="0">
      <alignment horizontal="left" vertical="center" indent="1"/>
    </xf>
    <xf numFmtId="4" fontId="76" fillId="2" borderId="20" applyNumberFormat="0" applyProtection="0">
      <alignment horizontal="left" vertical="center"/>
    </xf>
    <xf numFmtId="4" fontId="42" fillId="42" borderId="0" applyNumberFormat="0" applyProtection="0">
      <alignment horizontal="left" vertical="center" indent="1"/>
    </xf>
    <xf numFmtId="4" fontId="76" fillId="2" borderId="20" applyNumberFormat="0" applyProtection="0">
      <alignment horizontal="left" vertical="center"/>
    </xf>
    <xf numFmtId="4" fontId="42" fillId="32" borderId="0" applyNumberFormat="0" applyProtection="0">
      <alignment horizontal="left" vertical="center" indent="1"/>
    </xf>
    <xf numFmtId="4" fontId="77" fillId="33" borderId="20" applyNumberFormat="0" applyProtection="0">
      <alignment horizontal="left" vertical="center"/>
    </xf>
    <xf numFmtId="4" fontId="42" fillId="32" borderId="0" applyNumberFormat="0" applyProtection="0">
      <alignment horizontal="left" vertical="center" indent="1"/>
    </xf>
    <xf numFmtId="4" fontId="77" fillId="33" borderId="20" applyNumberFormat="0" applyProtection="0">
      <alignment horizontal="left" vertical="center"/>
    </xf>
    <xf numFmtId="0" fontId="28" fillId="33" borderId="19" applyNumberFormat="0" applyProtection="0">
      <alignment horizontal="left" vertical="center" indent="1"/>
    </xf>
    <xf numFmtId="0" fontId="28" fillId="33" borderId="19" applyNumberFormat="0" applyProtection="0">
      <alignment horizontal="left" vertical="top" indent="1"/>
    </xf>
    <xf numFmtId="0" fontId="28" fillId="32" borderId="19" applyNumberFormat="0" applyProtection="0">
      <alignment horizontal="left" vertical="center" indent="1"/>
    </xf>
    <xf numFmtId="0" fontId="28" fillId="32" borderId="19" applyNumberFormat="0" applyProtection="0">
      <alignment horizontal="left" vertical="top" indent="1"/>
    </xf>
    <xf numFmtId="0" fontId="28" fillId="44" borderId="19" applyNumberFormat="0" applyProtection="0">
      <alignment horizontal="left" vertical="center" indent="1"/>
    </xf>
    <xf numFmtId="0" fontId="28" fillId="44" borderId="19" applyNumberFormat="0" applyProtection="0">
      <alignment horizontal="left" vertical="top" indent="1"/>
    </xf>
    <xf numFmtId="0" fontId="28" fillId="2" borderId="19" applyNumberFormat="0" applyProtection="0">
      <alignment horizontal="left" vertical="center" indent="1"/>
    </xf>
    <xf numFmtId="0" fontId="28" fillId="2" borderId="19" applyNumberFormat="0" applyProtection="0">
      <alignment horizontal="left" vertical="top" indent="1"/>
    </xf>
    <xf numFmtId="4" fontId="42" fillId="26" borderId="19" applyNumberFormat="0" applyProtection="0">
      <alignment vertical="center"/>
    </xf>
    <xf numFmtId="4" fontId="78" fillId="45" borderId="20" applyNumberFormat="0" applyProtection="0">
      <alignment vertical="center"/>
    </xf>
    <xf numFmtId="4" fontId="42" fillId="26" borderId="19" applyNumberFormat="0" applyProtection="0">
      <alignment vertical="center"/>
    </xf>
    <xf numFmtId="4" fontId="78" fillId="45" borderId="20" applyNumberFormat="0" applyProtection="0">
      <alignment vertical="center"/>
    </xf>
    <xf numFmtId="4" fontId="79" fillId="26" borderId="19" applyNumberFormat="0" applyProtection="0">
      <alignment vertical="center"/>
    </xf>
    <xf numFmtId="4" fontId="80" fillId="45" borderId="20" applyNumberFormat="0" applyProtection="0">
      <alignment vertical="center"/>
    </xf>
    <xf numFmtId="4" fontId="79" fillId="26" borderId="19" applyNumberFormat="0" applyProtection="0">
      <alignment vertical="center"/>
    </xf>
    <xf numFmtId="4" fontId="80" fillId="45" borderId="20" applyNumberFormat="0" applyProtection="0">
      <alignment vertical="center"/>
    </xf>
    <xf numFmtId="4" fontId="42" fillId="26" borderId="19" applyNumberFormat="0" applyProtection="0">
      <alignment horizontal="left" vertical="center" indent="1"/>
    </xf>
    <xf numFmtId="4" fontId="71" fillId="2" borderId="20" applyNumberFormat="0" applyProtection="0">
      <alignment horizontal="left" vertical="center"/>
    </xf>
    <xf numFmtId="4" fontId="42" fillId="26" borderId="19" applyNumberFormat="0" applyProtection="0">
      <alignment horizontal="left" vertical="center" indent="1"/>
    </xf>
    <xf numFmtId="4" fontId="71" fillId="2" borderId="20" applyNumberFormat="0" applyProtection="0">
      <alignment horizontal="left" vertical="center"/>
    </xf>
    <xf numFmtId="0" fontId="42" fillId="26" borderId="19" applyNumberFormat="0" applyProtection="0">
      <alignment horizontal="left" vertical="top" indent="1"/>
    </xf>
    <xf numFmtId="4" fontId="42" fillId="42" borderId="19" applyNumberFormat="0" applyProtection="0">
      <alignment horizontal="right" vertical="center"/>
    </xf>
    <xf numFmtId="4" fontId="81" fillId="45" borderId="20" applyNumberFormat="0" applyProtection="0">
      <alignment vertical="center"/>
    </xf>
    <xf numFmtId="4" fontId="42" fillId="42" borderId="19" applyNumberFormat="0" applyProtection="0">
      <alignment horizontal="right" vertical="center"/>
    </xf>
    <xf numFmtId="4" fontId="81" fillId="45" borderId="20" applyNumberFormat="0" applyProtection="0">
      <alignment vertical="center"/>
    </xf>
    <xf numFmtId="4" fontId="79" fillId="42" borderId="19" applyNumberFormat="0" applyProtection="0">
      <alignment horizontal="right" vertical="center"/>
    </xf>
    <xf numFmtId="4" fontId="82" fillId="45" borderId="20" applyNumberFormat="0" applyProtection="0">
      <alignment vertical="center"/>
    </xf>
    <xf numFmtId="4" fontId="79" fillId="42" borderId="19" applyNumberFormat="0" applyProtection="0">
      <alignment horizontal="right" vertical="center"/>
    </xf>
    <xf numFmtId="4" fontId="82" fillId="45" borderId="20" applyNumberFormat="0" applyProtection="0">
      <alignment vertical="center"/>
    </xf>
    <xf numFmtId="4" fontId="42" fillId="43" borderId="19" applyNumberFormat="0" applyProtection="0">
      <alignment horizontal="left" vertical="center" indent="1"/>
    </xf>
    <xf numFmtId="4" fontId="71" fillId="2" borderId="20" applyNumberFormat="0" applyProtection="0">
      <alignment horizontal="left" vertical="center"/>
    </xf>
    <xf numFmtId="4" fontId="42" fillId="43" borderId="19" applyNumberFormat="0" applyProtection="0">
      <alignment horizontal="left" vertical="center" indent="1"/>
    </xf>
    <xf numFmtId="4" fontId="71" fillId="2" borderId="20" applyNumberFormat="0" applyProtection="0">
      <alignment horizontal="left" vertical="center"/>
    </xf>
    <xf numFmtId="0" fontId="42" fillId="32" borderId="19" applyNumberFormat="0" applyProtection="0">
      <alignment horizontal="left" vertical="top" indent="1"/>
    </xf>
    <xf numFmtId="4" fontId="83" fillId="45" borderId="20" applyNumberFormat="0" applyProtection="0">
      <alignment vertical="center"/>
    </xf>
    <xf numFmtId="4" fontId="84" fillId="45" borderId="20" applyNumberFormat="0" applyProtection="0">
      <alignment vertical="center"/>
    </xf>
    <xf numFmtId="4" fontId="71" fillId="26" borderId="20" applyNumberFormat="0" applyProtection="0">
      <alignment horizontal="left" vertical="center"/>
    </xf>
    <xf numFmtId="4" fontId="85" fillId="46" borderId="0" applyNumberFormat="0" applyProtection="0">
      <alignment horizontal="left" vertical="center" indent="1"/>
    </xf>
    <xf numFmtId="4" fontId="86" fillId="44" borderId="20" applyNumberFormat="0" applyProtection="0">
      <alignment horizontal="left"/>
    </xf>
    <xf numFmtId="4" fontId="85" fillId="46" borderId="0" applyNumberFormat="0" applyProtection="0">
      <alignment horizontal="left" vertical="center" indent="1"/>
    </xf>
    <xf numFmtId="4" fontId="86" fillId="44" borderId="20" applyNumberFormat="0" applyProtection="0">
      <alignment horizontal="left"/>
    </xf>
    <xf numFmtId="4" fontId="87" fillId="42" borderId="19" applyNumberFormat="0" applyProtection="0">
      <alignment horizontal="right" vertical="center"/>
    </xf>
    <xf numFmtId="4" fontId="88" fillId="45" borderId="20" applyNumberFormat="0" applyProtection="0">
      <alignment vertical="center"/>
    </xf>
    <xf numFmtId="4" fontId="87" fillId="42" borderId="19" applyNumberFormat="0" applyProtection="0">
      <alignment horizontal="right" vertical="center"/>
    </xf>
    <xf numFmtId="4" fontId="88" fillId="45" borderId="20" applyNumberFormat="0" applyProtection="0">
      <alignment vertical="center"/>
    </xf>
    <xf numFmtId="0" fontId="89" fillId="0" borderId="0">
      <alignment horizontal="left"/>
    </xf>
    <xf numFmtId="0" fontId="50" fillId="0" borderId="0" applyNumberFormat="0" applyFill="0" applyBorder="0" applyProtection="0">
      <alignment vertical="top" wrapText="1"/>
    </xf>
    <xf numFmtId="3" fontId="50" fillId="0" borderId="0" applyFill="0" applyBorder="0" applyProtection="0">
      <alignment horizontal="right" vertical="top" wrapText="1"/>
    </xf>
    <xf numFmtId="3" fontId="90" fillId="0" borderId="0" applyFill="0" applyBorder="0" applyProtection="0">
      <alignment horizontal="right" vertical="top" wrapText="1"/>
    </xf>
    <xf numFmtId="0" fontId="57" fillId="0" borderId="0"/>
    <xf numFmtId="49" fontId="42" fillId="0" borderId="0" applyFill="0" applyBorder="0" applyAlignment="0"/>
    <xf numFmtId="201" fontId="14" fillId="0" borderId="0" applyFill="0" applyBorder="0" applyAlignment="0"/>
    <xf numFmtId="202" fontId="14" fillId="0" borderId="0" applyFill="0" applyBorder="0" applyAlignment="0"/>
    <xf numFmtId="0" fontId="91" fillId="0" borderId="0">
      <alignment horizontal="center"/>
    </xf>
    <xf numFmtId="203" fontId="14" fillId="0" borderId="0" applyFont="0" applyFill="0" applyBorder="0" applyAlignment="0" applyProtection="0"/>
    <xf numFmtId="204" fontId="14" fillId="0" borderId="0" applyFont="0" applyFill="0" applyBorder="0" applyAlignment="0" applyProtection="0"/>
    <xf numFmtId="0" fontId="35" fillId="47" borderId="0" applyNumberFormat="0" applyBorder="0" applyAlignment="0" applyProtection="0">
      <alignment vertical="center"/>
    </xf>
    <xf numFmtId="0" fontId="36" fillId="47" borderId="0" applyNumberFormat="0" applyBorder="0" applyAlignment="0" applyProtection="0">
      <alignment vertical="center"/>
    </xf>
    <xf numFmtId="0" fontId="36" fillId="47" borderId="0" applyNumberFormat="0" applyBorder="0" applyAlignment="0" applyProtection="0">
      <alignment vertical="center"/>
    </xf>
    <xf numFmtId="0" fontId="37" fillId="47" borderId="0" applyNumberFormat="0" applyBorder="0" applyAlignment="0" applyProtection="0">
      <alignment vertical="center"/>
    </xf>
    <xf numFmtId="0" fontId="35" fillId="47" borderId="0" applyNumberFormat="0" applyBorder="0" applyAlignment="0" applyProtection="0">
      <alignment vertical="center"/>
    </xf>
    <xf numFmtId="0" fontId="35" fillId="35"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7" fillId="35" borderId="0" applyNumberFormat="0" applyBorder="0" applyAlignment="0" applyProtection="0">
      <alignment vertical="center"/>
    </xf>
    <xf numFmtId="0" fontId="35" fillId="35" borderId="0" applyNumberFormat="0" applyBorder="0" applyAlignment="0" applyProtection="0">
      <alignment vertical="center"/>
    </xf>
    <xf numFmtId="0" fontId="35"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7" fillId="38" borderId="0" applyNumberFormat="0" applyBorder="0" applyAlignment="0" applyProtection="0">
      <alignment vertical="center"/>
    </xf>
    <xf numFmtId="0" fontId="35" fillId="38"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5" fillId="16" borderId="0" applyNumberFormat="0" applyBorder="0" applyAlignment="0" applyProtection="0">
      <alignment vertical="center"/>
    </xf>
    <xf numFmtId="0" fontId="35"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7" fillId="36" borderId="0" applyNumberFormat="0" applyBorder="0" applyAlignment="0" applyProtection="0">
      <alignment vertical="center"/>
    </xf>
    <xf numFmtId="0" fontId="35" fillId="36" borderId="0" applyNumberFormat="0" applyBorder="0" applyAlignment="0" applyProtection="0">
      <alignment vertical="center"/>
    </xf>
    <xf numFmtId="0" fontId="92" fillId="0" borderId="0" applyNumberFormat="0" applyFill="0" applyBorder="0" applyAlignment="0" applyProtection="0"/>
    <xf numFmtId="0" fontId="93" fillId="0" borderId="0" applyNumberFormat="0" applyFill="0" applyBorder="0" applyAlignment="0" applyProtection="0"/>
    <xf numFmtId="0" fontId="43" fillId="0" borderId="0"/>
    <xf numFmtId="191" fontId="46" fillId="0" borderId="0" applyFont="0" applyFill="0" applyBorder="0" applyAlignment="0" applyProtection="0"/>
    <xf numFmtId="191" fontId="46" fillId="0" borderId="0" applyFont="0" applyFill="0" applyBorder="0" applyAlignment="0" applyProtection="0"/>
    <xf numFmtId="0" fontId="14" fillId="0" borderId="0" applyFont="0" applyFill="0" applyBorder="0" applyAlignment="0" applyProtection="0"/>
    <xf numFmtId="191" fontId="46" fillId="0" borderId="0" applyFont="0" applyFill="0" applyBorder="0" applyAlignment="0" applyProtection="0"/>
    <xf numFmtId="191" fontId="46" fillId="0" borderId="0" applyFont="0" applyFill="0" applyBorder="0" applyAlignment="0" applyProtection="0"/>
    <xf numFmtId="191" fontId="46" fillId="0" borderId="0" applyFont="0" applyFill="0" applyBorder="0" applyAlignment="0" applyProtection="0"/>
    <xf numFmtId="0" fontId="14" fillId="0" borderId="0" applyFont="0" applyFill="0" applyBorder="0" applyAlignment="0" applyProtection="0"/>
    <xf numFmtId="191" fontId="46" fillId="0" borderId="0" applyFont="0" applyFill="0" applyBorder="0" applyAlignment="0" applyProtection="0"/>
    <xf numFmtId="0" fontId="94"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95" fillId="48" borderId="22" applyNumberFormat="0" applyAlignment="0" applyProtection="0">
      <alignment vertical="center"/>
    </xf>
    <xf numFmtId="0" fontId="96" fillId="48" borderId="22" applyNumberFormat="0" applyAlignment="0" applyProtection="0">
      <alignment vertical="center"/>
    </xf>
    <xf numFmtId="0" fontId="96" fillId="48" borderId="22" applyNumberFormat="0" applyAlignment="0" applyProtection="0">
      <alignment vertical="center"/>
    </xf>
    <xf numFmtId="0" fontId="97" fillId="48" borderId="22" applyNumberFormat="0" applyAlignment="0" applyProtection="0">
      <alignment vertical="center"/>
    </xf>
    <xf numFmtId="0" fontId="95" fillId="48" borderId="22" applyNumberFormat="0" applyAlignment="0" applyProtection="0">
      <alignment vertical="center"/>
    </xf>
    <xf numFmtId="0" fontId="98"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100" fillId="30" borderId="0" applyNumberFormat="0" applyBorder="0" applyAlignment="0" applyProtection="0">
      <alignment vertical="center"/>
    </xf>
    <xf numFmtId="0" fontId="98" fillId="30" borderId="0" applyNumberFormat="0" applyBorder="0" applyAlignment="0" applyProtection="0">
      <alignment vertical="center"/>
    </xf>
    <xf numFmtId="205" fontId="28" fillId="0" borderId="0" applyFont="0" applyFill="0" applyBorder="0" applyAlignment="0" applyProtection="0"/>
    <xf numFmtId="206" fontId="43" fillId="0" borderId="0" applyFont="0" applyFill="0" applyBorder="0" applyAlignment="0" applyProtection="0"/>
    <xf numFmtId="56" fontId="15" fillId="0" borderId="0" applyNumberFormat="0" applyFill="0" applyBorder="0" applyAlignment="0" applyProtection="0">
      <alignment horizontal="center"/>
    </xf>
    <xf numFmtId="56" fontId="15" fillId="0" borderId="0" applyNumberFormat="0" applyFill="0" applyBorder="0" applyAlignment="0" applyProtection="0">
      <alignment horizontal="center"/>
    </xf>
    <xf numFmtId="56" fontId="15" fillId="0" borderId="0" applyNumberFormat="0" applyFill="0" applyBorder="0" applyAlignment="0" applyProtection="0">
      <alignment horizontal="center"/>
    </xf>
    <xf numFmtId="0" fontId="101"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1" fillId="0" borderId="0" applyNumberFormat="0" applyFill="0" applyBorder="0" applyAlignment="0" applyProtection="0"/>
    <xf numFmtId="0" fontId="43" fillId="0" borderId="0"/>
    <xf numFmtId="0" fontId="32" fillId="49" borderId="23" applyNumberFormat="0" applyFont="0" applyAlignment="0" applyProtection="0">
      <alignment vertical="center"/>
    </xf>
    <xf numFmtId="0" fontId="18" fillId="49" borderId="23" applyNumberFormat="0" applyFont="0" applyAlignment="0" applyProtection="0">
      <alignment vertical="center"/>
    </xf>
    <xf numFmtId="0" fontId="34" fillId="49" borderId="23" applyNumberFormat="0" applyFont="0" applyAlignment="0" applyProtection="0">
      <alignment vertical="center"/>
    </xf>
    <xf numFmtId="0" fontId="14" fillId="49" borderId="23" applyNumberFormat="0" applyFont="0" applyAlignment="0" applyProtection="0">
      <alignment vertical="center"/>
    </xf>
    <xf numFmtId="178" fontId="28" fillId="0" borderId="0" applyFont="0" applyFill="0" applyBorder="0" applyAlignment="0" applyProtection="0"/>
    <xf numFmtId="4" fontId="43" fillId="0" borderId="0" applyFont="0" applyFill="0" applyBorder="0" applyAlignment="0" applyProtection="0"/>
    <xf numFmtId="0" fontId="102" fillId="0" borderId="24" applyNumberFormat="0" applyFill="0" applyAlignment="0" applyProtection="0">
      <alignment vertical="center"/>
    </xf>
    <xf numFmtId="0" fontId="103" fillId="0" borderId="24" applyNumberFormat="0" applyFill="0" applyAlignment="0" applyProtection="0">
      <alignment vertical="center"/>
    </xf>
    <xf numFmtId="0" fontId="103" fillId="0" borderId="24" applyNumberFormat="0" applyFill="0" applyAlignment="0" applyProtection="0">
      <alignment vertical="center"/>
    </xf>
    <xf numFmtId="0" fontId="104" fillId="0" borderId="24" applyNumberFormat="0" applyFill="0" applyAlignment="0" applyProtection="0">
      <alignment vertical="center"/>
    </xf>
    <xf numFmtId="0" fontId="102" fillId="0" borderId="24" applyNumberFormat="0" applyFill="0" applyAlignment="0" applyProtection="0">
      <alignment vertical="center"/>
    </xf>
    <xf numFmtId="0" fontId="105" fillId="5" borderId="0" applyNumberFormat="0" applyBorder="0" applyAlignment="0" applyProtection="0">
      <alignment vertical="center"/>
    </xf>
    <xf numFmtId="0" fontId="106" fillId="5" borderId="0" applyNumberFormat="0" applyBorder="0" applyAlignment="0" applyProtection="0">
      <alignment vertical="center"/>
    </xf>
    <xf numFmtId="0" fontId="106" fillId="5" borderId="0" applyNumberFormat="0" applyBorder="0" applyAlignment="0" applyProtection="0">
      <alignment vertical="center"/>
    </xf>
    <xf numFmtId="0" fontId="107" fillId="5" borderId="0" applyNumberFormat="0" applyBorder="0" applyAlignment="0" applyProtection="0">
      <alignment vertical="center"/>
    </xf>
    <xf numFmtId="0" fontId="105" fillId="5" borderId="0" applyNumberFormat="0" applyBorder="0" applyAlignment="0" applyProtection="0">
      <alignment vertical="center"/>
    </xf>
    <xf numFmtId="207" fontId="16" fillId="0" borderId="0" applyBorder="0">
      <alignment horizontal="right"/>
    </xf>
    <xf numFmtId="0" fontId="25" fillId="0" borderId="0">
      <alignment vertical="center"/>
    </xf>
    <xf numFmtId="0" fontId="108" fillId="50" borderId="25" applyNumberFormat="0" applyAlignment="0" applyProtection="0">
      <alignment vertical="center"/>
    </xf>
    <xf numFmtId="0" fontId="109" fillId="50" borderId="25" applyNumberFormat="0" applyAlignment="0" applyProtection="0">
      <alignment vertical="center"/>
    </xf>
    <xf numFmtId="0" fontId="109" fillId="50" borderId="25" applyNumberFormat="0" applyAlignment="0" applyProtection="0">
      <alignment vertical="center"/>
    </xf>
    <xf numFmtId="0" fontId="110" fillId="50" borderId="25" applyNumberFormat="0" applyAlignment="0" applyProtection="0">
      <alignment vertical="center"/>
    </xf>
    <xf numFmtId="0" fontId="108" fillId="50" borderId="25" applyNumberFormat="0" applyAlignment="0" applyProtection="0">
      <alignment vertical="center"/>
    </xf>
    <xf numFmtId="0" fontId="111"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4" fillId="0" borderId="26" applyNumberFormat="0" applyFill="0" applyAlignment="0" applyProtection="0"/>
    <xf numFmtId="0" fontId="115" fillId="0" borderId="26" applyNumberFormat="0" applyFill="0" applyAlignment="0" applyProtection="0">
      <alignment vertical="center"/>
    </xf>
    <xf numFmtId="0" fontId="114" fillId="0" borderId="26" applyNumberFormat="0" applyFill="0" applyAlignment="0" applyProtection="0">
      <alignment vertical="center"/>
    </xf>
    <xf numFmtId="0" fontId="115" fillId="0" borderId="26" applyNumberFormat="0" applyFill="0" applyAlignment="0" applyProtection="0">
      <alignment vertical="center"/>
    </xf>
    <xf numFmtId="0" fontId="116" fillId="0" borderId="27" applyNumberFormat="0" applyFill="0" applyAlignment="0" applyProtection="0">
      <alignment vertical="center"/>
    </xf>
    <xf numFmtId="0" fontId="117" fillId="0" borderId="27" applyNumberFormat="0" applyFill="0" applyAlignment="0" applyProtection="0">
      <alignment vertical="center"/>
    </xf>
    <xf numFmtId="0" fontId="116" fillId="0" borderId="27" applyNumberFormat="0" applyFill="0" applyAlignment="0" applyProtection="0">
      <alignment vertical="center"/>
    </xf>
    <xf numFmtId="0" fontId="118" fillId="0" borderId="28" applyNumberFormat="0" applyFill="0" applyAlignment="0" applyProtection="0">
      <alignment vertical="center"/>
    </xf>
    <xf numFmtId="0" fontId="119" fillId="0" borderId="28" applyNumberFormat="0" applyFill="0" applyAlignment="0" applyProtection="0">
      <alignment vertical="center"/>
    </xf>
    <xf numFmtId="0" fontId="118" fillId="0" borderId="28" applyNumberFormat="0" applyFill="0" applyAlignment="0" applyProtection="0">
      <alignment vertical="center"/>
    </xf>
    <xf numFmtId="0" fontId="118"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20" fillId="0" borderId="0">
      <alignment horizontal="center"/>
    </xf>
    <xf numFmtId="0" fontId="22" fillId="51" borderId="0"/>
    <xf numFmtId="0" fontId="121" fillId="0" borderId="0" applyNumberFormat="0" applyFill="0" applyBorder="0" applyAlignment="0" applyProtection="0"/>
    <xf numFmtId="0" fontId="122" fillId="0" borderId="29" applyNumberFormat="0" applyFill="0" applyAlignment="0" applyProtection="0">
      <alignment vertical="center"/>
    </xf>
    <xf numFmtId="0" fontId="123" fillId="0" borderId="29" applyNumberFormat="0" applyFill="0" applyAlignment="0" applyProtection="0">
      <alignment vertical="center"/>
    </xf>
    <xf numFmtId="0" fontId="123" fillId="0" borderId="29" applyNumberFormat="0" applyFill="0" applyAlignment="0" applyProtection="0">
      <alignment vertical="center"/>
    </xf>
    <xf numFmtId="0" fontId="124" fillId="0" borderId="29" applyNumberFormat="0" applyFill="0" applyAlignment="0" applyProtection="0">
      <alignment vertical="center"/>
    </xf>
    <xf numFmtId="0" fontId="122" fillId="0" borderId="29" applyNumberFormat="0" applyFill="0" applyAlignment="0" applyProtection="0">
      <alignment vertical="center"/>
    </xf>
    <xf numFmtId="0" fontId="125" fillId="50" borderId="30" applyNumberFormat="0" applyAlignment="0" applyProtection="0">
      <alignment vertical="center"/>
    </xf>
    <xf numFmtId="0" fontId="126" fillId="50" borderId="30" applyNumberFormat="0" applyAlignment="0" applyProtection="0">
      <alignment vertical="center"/>
    </xf>
    <xf numFmtId="0" fontId="126" fillId="50" borderId="30" applyNumberFormat="0" applyAlignment="0" applyProtection="0">
      <alignment vertical="center"/>
    </xf>
    <xf numFmtId="0" fontId="127" fillId="50" borderId="30" applyNumberFormat="0" applyAlignment="0" applyProtection="0">
      <alignment vertical="center"/>
    </xf>
    <xf numFmtId="0" fontId="125" fillId="50" borderId="30" applyNumberFormat="0" applyAlignment="0" applyProtection="0">
      <alignment vertical="center"/>
    </xf>
    <xf numFmtId="0" fontId="14" fillId="0" borderId="0" applyNumberFormat="0" applyFont="0" applyFill="0" applyBorder="0" applyProtection="0">
      <alignment vertical="top"/>
    </xf>
    <xf numFmtId="0" fontId="14" fillId="0" borderId="1" applyNumberFormat="0" applyFont="0" applyFill="0" applyBorder="0" applyProtection="0">
      <alignment vertical="top" wrapText="1"/>
      <protection locked="0"/>
    </xf>
    <xf numFmtId="208" fontId="16" fillId="0" borderId="0" applyFill="0" applyBorder="0"/>
    <xf numFmtId="207" fontId="16" fillId="0" borderId="0" applyFill="0" applyBorder="0"/>
    <xf numFmtId="209" fontId="16" fillId="0" borderId="0" applyFill="0" applyBorder="0"/>
    <xf numFmtId="49" fontId="16" fillId="45" borderId="7">
      <alignment horizontal="center"/>
    </xf>
    <xf numFmtId="210" fontId="16" fillId="45" borderId="7">
      <alignment horizontal="right"/>
    </xf>
    <xf numFmtId="14" fontId="16" fillId="45" borderId="0" applyBorder="0">
      <alignment horizontal="center"/>
    </xf>
    <xf numFmtId="49" fontId="16" fillId="0" borderId="7"/>
    <xf numFmtId="0" fontId="128"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28" fillId="0" borderId="0" applyNumberFormat="0" applyFill="0" applyBorder="0" applyAlignment="0" applyProtection="0">
      <alignment vertical="center"/>
    </xf>
    <xf numFmtId="177" fontId="131" fillId="0" borderId="0" applyFont="0" applyFill="0" applyBorder="0" applyAlignment="0" applyProtection="0"/>
    <xf numFmtId="176" fontId="131" fillId="0" borderId="0" applyFont="0" applyFill="0" applyBorder="0" applyAlignment="0" applyProtection="0"/>
    <xf numFmtId="0" fontId="14" fillId="0" borderId="0" applyNumberFormat="0" applyFont="0" applyFill="0" applyBorder="0" applyProtection="0">
      <alignment vertical="center"/>
    </xf>
    <xf numFmtId="0" fontId="14" fillId="0" borderId="0" applyNumberFormat="0" applyFont="0" applyFill="0" applyBorder="0" applyProtection="0">
      <alignment vertical="center" wrapText="1"/>
    </xf>
    <xf numFmtId="0" fontId="28" fillId="0" borderId="0" applyFont="0" applyFill="0" applyBorder="0" applyAlignment="0" applyProtection="0"/>
    <xf numFmtId="0" fontId="28" fillId="0" borderId="0" applyFont="0" applyFill="0" applyBorder="0" applyAlignment="0" applyProtection="0"/>
    <xf numFmtId="176" fontId="14" fillId="0" borderId="0" applyFont="0" applyFill="0" applyBorder="0" applyAlignment="0" applyProtection="0"/>
    <xf numFmtId="14" fontId="16" fillId="0" borderId="2" applyBorder="0">
      <alignment horizontal="left"/>
    </xf>
    <xf numFmtId="0" fontId="132" fillId="9" borderId="25" applyNumberFormat="0" applyAlignment="0" applyProtection="0">
      <alignment vertical="center"/>
    </xf>
    <xf numFmtId="0" fontId="133" fillId="9" borderId="25" applyNumberFormat="0" applyAlignment="0" applyProtection="0">
      <alignment vertical="center"/>
    </xf>
    <xf numFmtId="0" fontId="133" fillId="9" borderId="25" applyNumberFormat="0" applyAlignment="0" applyProtection="0">
      <alignment vertical="center"/>
    </xf>
    <xf numFmtId="0" fontId="134" fillId="9" borderId="25" applyNumberFormat="0" applyAlignment="0" applyProtection="0">
      <alignment vertical="center"/>
    </xf>
    <xf numFmtId="0" fontId="132" fillId="9" borderId="25" applyNumberFormat="0" applyAlignment="0" applyProtection="0">
      <alignment vertical="center"/>
    </xf>
    <xf numFmtId="14" fontId="16" fillId="0" borderId="0" applyFill="0" applyBorder="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4" fillId="0" borderId="0"/>
    <xf numFmtId="0" fontId="14" fillId="0" borderId="0"/>
    <xf numFmtId="0" fontId="14" fillId="0" borderId="0">
      <alignment vertical="center"/>
    </xf>
    <xf numFmtId="0" fontId="14" fillId="0" borderId="0">
      <alignment vertical="center"/>
    </xf>
    <xf numFmtId="0" fontId="14" fillId="0" borderId="0">
      <alignment vertical="center"/>
    </xf>
    <xf numFmtId="0" fontId="24" fillId="0" borderId="0">
      <alignment vertical="center"/>
    </xf>
    <xf numFmtId="0" fontId="24" fillId="0" borderId="0">
      <alignment vertical="top"/>
    </xf>
    <xf numFmtId="0" fontId="20" fillId="0" borderId="0"/>
    <xf numFmtId="0" fontId="14" fillId="0" borderId="0"/>
    <xf numFmtId="0" fontId="135" fillId="0" borderId="0">
      <alignment vertical="center"/>
    </xf>
    <xf numFmtId="0" fontId="14" fillId="0" borderId="0"/>
    <xf numFmtId="0" fontId="32" fillId="0" borderId="0">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2" fillId="0" borderId="0">
      <alignment vertical="center"/>
    </xf>
    <xf numFmtId="0" fontId="24" fillId="0" borderId="0">
      <alignment vertical="top"/>
    </xf>
    <xf numFmtId="211" fontId="23" fillId="0" borderId="0"/>
    <xf numFmtId="0" fontId="14" fillId="0" borderId="0">
      <alignment horizontal="center" vertical="center" wrapText="1"/>
    </xf>
    <xf numFmtId="0" fontId="136" fillId="0" borderId="0">
      <alignment vertical="center"/>
    </xf>
    <xf numFmtId="49" fontId="16" fillId="0" borderId="0"/>
    <xf numFmtId="0" fontId="137" fillId="0" borderId="0"/>
    <xf numFmtId="0" fontId="138" fillId="52" borderId="0">
      <alignment horizontal="center"/>
    </xf>
    <xf numFmtId="0" fontId="139" fillId="6" borderId="0" applyNumberFormat="0" applyBorder="0" applyAlignment="0" applyProtection="0">
      <alignment vertical="center"/>
    </xf>
    <xf numFmtId="0" fontId="140" fillId="6" borderId="0" applyNumberFormat="0" applyBorder="0" applyAlignment="0" applyProtection="0">
      <alignment vertical="center"/>
    </xf>
    <xf numFmtId="0" fontId="140" fillId="6" borderId="0" applyNumberFormat="0" applyBorder="0" applyAlignment="0" applyProtection="0">
      <alignment vertical="center"/>
    </xf>
    <xf numFmtId="0" fontId="141" fillId="6" borderId="0" applyNumberFormat="0" applyBorder="0" applyAlignment="0" applyProtection="0">
      <alignment vertical="center"/>
    </xf>
    <xf numFmtId="0" fontId="139" fillId="6" borderId="0" applyNumberFormat="0" applyBorder="0" applyAlignment="0" applyProtection="0">
      <alignment vertical="center"/>
    </xf>
    <xf numFmtId="0" fontId="25" fillId="0" borderId="0"/>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142" fillId="0" borderId="0">
      <alignment vertical="center"/>
    </xf>
    <xf numFmtId="0" fontId="143" fillId="0" borderId="0"/>
    <xf numFmtId="0" fontId="18" fillId="0" borderId="0"/>
    <xf numFmtId="0" fontId="8" fillId="0" borderId="0">
      <alignment vertical="center"/>
    </xf>
    <xf numFmtId="0" fontId="144" fillId="0" borderId="0">
      <alignment vertical="top"/>
    </xf>
    <xf numFmtId="0" fontId="142" fillId="0" borderId="0"/>
    <xf numFmtId="0" fontId="14"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156" fillId="0" borderId="0"/>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cellStyleXfs>
  <cellXfs count="743">
    <xf numFmtId="0" fontId="0" fillId="0" borderId="0" xfId="0"/>
    <xf numFmtId="0" fontId="145" fillId="0" borderId="0" xfId="449" applyFont="1">
      <alignment vertical="center"/>
    </xf>
    <xf numFmtId="0" fontId="145" fillId="0" borderId="6" xfId="449" applyFont="1" applyBorder="1">
      <alignment vertical="center"/>
    </xf>
    <xf numFmtId="0" fontId="145" fillId="0" borderId="10" xfId="449" applyFont="1" applyBorder="1">
      <alignment vertical="center"/>
    </xf>
    <xf numFmtId="0" fontId="145" fillId="0" borderId="10" xfId="449" applyFont="1" applyBorder="1" applyAlignment="1">
      <alignment horizontal="center" vertical="center"/>
    </xf>
    <xf numFmtId="0" fontId="145" fillId="0" borderId="11" xfId="449" applyFont="1" applyBorder="1">
      <alignment vertical="center"/>
    </xf>
    <xf numFmtId="0" fontId="145" fillId="0" borderId="8" xfId="449" applyFont="1" applyBorder="1">
      <alignment vertical="center"/>
    </xf>
    <xf numFmtId="0" fontId="145" fillId="0" borderId="41" xfId="449" applyFont="1" applyBorder="1">
      <alignment vertical="center"/>
    </xf>
    <xf numFmtId="0" fontId="145" fillId="0" borderId="46" xfId="449" applyFont="1" applyBorder="1">
      <alignment vertical="center"/>
    </xf>
    <xf numFmtId="0" fontId="145" fillId="0" borderId="47" xfId="449" applyFont="1" applyBorder="1">
      <alignment vertical="center"/>
    </xf>
    <xf numFmtId="0" fontId="145" fillId="0" borderId="47" xfId="449" applyFont="1" applyBorder="1" applyAlignment="1">
      <alignment horizontal="center" vertical="center"/>
    </xf>
    <xf numFmtId="0" fontId="145" fillId="0" borderId="39" xfId="449" applyFont="1" applyBorder="1">
      <alignment vertical="center"/>
    </xf>
    <xf numFmtId="0" fontId="145" fillId="0" borderId="37" xfId="449" applyFont="1" applyBorder="1">
      <alignment vertical="center"/>
    </xf>
    <xf numFmtId="0" fontId="145" fillId="0" borderId="38" xfId="449" applyFont="1" applyBorder="1">
      <alignment vertical="center"/>
    </xf>
    <xf numFmtId="0" fontId="145" fillId="0" borderId="3" xfId="449" applyFont="1" applyBorder="1">
      <alignment vertical="center"/>
    </xf>
    <xf numFmtId="0" fontId="145" fillId="0" borderId="4" xfId="449" applyFont="1" applyBorder="1">
      <alignment vertical="center"/>
    </xf>
    <xf numFmtId="0" fontId="145" fillId="0" borderId="5" xfId="449" applyFont="1" applyBorder="1">
      <alignment vertical="center"/>
    </xf>
    <xf numFmtId="0" fontId="145" fillId="0" borderId="49" xfId="449" applyFont="1" applyBorder="1">
      <alignment vertical="center"/>
    </xf>
    <xf numFmtId="0" fontId="144" fillId="0" borderId="0" xfId="494" applyAlignment="1">
      <alignment vertical="center"/>
    </xf>
    <xf numFmtId="0" fontId="144" fillId="0" borderId="0" xfId="494">
      <alignment vertical="top"/>
    </xf>
    <xf numFmtId="0" fontId="144" fillId="0" borderId="0" xfId="494" applyAlignment="1">
      <alignment horizontal="center" vertical="center"/>
    </xf>
    <xf numFmtId="212" fontId="144" fillId="0" borderId="0" xfId="494" applyNumberFormat="1" applyAlignment="1">
      <alignment horizontal="center" vertical="center"/>
    </xf>
    <xf numFmtId="0" fontId="144" fillId="0" borderId="0" xfId="494" applyAlignment="1">
      <alignment wrapText="1"/>
    </xf>
    <xf numFmtId="212" fontId="144" fillId="0" borderId="0" xfId="494" applyNumberFormat="1" applyAlignment="1">
      <alignment vertical="center"/>
    </xf>
    <xf numFmtId="0" fontId="144" fillId="45" borderId="0" xfId="496" applyFont="1" applyFill="1">
      <alignment vertical="center"/>
    </xf>
    <xf numFmtId="212" fontId="144" fillId="45" borderId="0" xfId="496" applyNumberFormat="1" applyFont="1" applyFill="1">
      <alignment vertical="center"/>
    </xf>
    <xf numFmtId="0" fontId="144" fillId="55" borderId="13" xfId="496" applyFont="1" applyFill="1" applyBorder="1">
      <alignment vertical="center"/>
    </xf>
    <xf numFmtId="0" fontId="149" fillId="53" borderId="46" xfId="449" applyFont="1" applyFill="1" applyBorder="1">
      <alignment vertical="center"/>
    </xf>
    <xf numFmtId="0" fontId="149" fillId="53" borderId="32" xfId="449" applyFont="1" applyFill="1" applyBorder="1">
      <alignment vertical="center"/>
    </xf>
    <xf numFmtId="0" fontId="149" fillId="53" borderId="33" xfId="449" applyFont="1" applyFill="1" applyBorder="1">
      <alignment vertical="center"/>
    </xf>
    <xf numFmtId="0" fontId="149" fillId="53" borderId="34" xfId="449" applyFont="1" applyFill="1" applyBorder="1">
      <alignment vertical="center"/>
    </xf>
    <xf numFmtId="0" fontId="149" fillId="53" borderId="48" xfId="449" applyFont="1" applyFill="1" applyBorder="1">
      <alignment vertical="center"/>
    </xf>
    <xf numFmtId="0" fontId="146" fillId="0" borderId="0" xfId="449" applyFont="1" applyAlignment="1">
      <alignment horizontal="center" vertical="center"/>
    </xf>
    <xf numFmtId="0" fontId="145" fillId="0" borderId="0" xfId="449" applyFont="1" applyAlignment="1">
      <alignment horizontal="left" vertical="center"/>
    </xf>
    <xf numFmtId="14" fontId="145" fillId="0" borderId="0" xfId="449" applyNumberFormat="1" applyFont="1" applyAlignment="1">
      <alignment horizontal="center" vertical="center"/>
    </xf>
    <xf numFmtId="0" fontId="145" fillId="0" borderId="0" xfId="449" applyFont="1" applyAlignment="1">
      <alignment horizontal="center" vertical="center"/>
    </xf>
    <xf numFmtId="0" fontId="144" fillId="55" borderId="72" xfId="496" applyFont="1" applyFill="1" applyBorder="1">
      <alignment vertical="center"/>
    </xf>
    <xf numFmtId="0" fontId="144" fillId="55" borderId="73" xfId="496" applyFont="1" applyFill="1" applyBorder="1">
      <alignment vertical="center"/>
    </xf>
    <xf numFmtId="0" fontId="145" fillId="0" borderId="72" xfId="449" applyFont="1" applyBorder="1">
      <alignment vertical="center"/>
    </xf>
    <xf numFmtId="0" fontId="145" fillId="0" borderId="13" xfId="449" applyFont="1" applyBorder="1">
      <alignment vertical="center"/>
    </xf>
    <xf numFmtId="0" fontId="145" fillId="0" borderId="73" xfId="449" applyFont="1" applyBorder="1">
      <alignment vertical="center"/>
    </xf>
    <xf numFmtId="0" fontId="145" fillId="0" borderId="0" xfId="449" applyFont="1" applyAlignment="1">
      <alignment vertical="center"/>
    </xf>
    <xf numFmtId="0" fontId="145" fillId="0" borderId="0" xfId="449" applyFont="1" applyAlignment="1">
      <alignment horizontal="center" vertical="center"/>
    </xf>
    <xf numFmtId="0" fontId="145" fillId="0" borderId="0" xfId="449" quotePrefix="1" applyFont="1">
      <alignment vertical="center"/>
    </xf>
    <xf numFmtId="0" fontId="145" fillId="0" borderId="0" xfId="497" applyFont="1">
      <alignment vertical="center"/>
    </xf>
    <xf numFmtId="0" fontId="146" fillId="0" borderId="0" xfId="497" applyFont="1" applyAlignment="1">
      <alignment horizontal="center" vertical="center"/>
    </xf>
    <xf numFmtId="0" fontId="145" fillId="0" borderId="0" xfId="497" applyFont="1" applyAlignment="1">
      <alignment horizontal="left" vertical="center"/>
    </xf>
    <xf numFmtId="14" fontId="145" fillId="0" borderId="0" xfId="497" applyNumberFormat="1" applyFont="1" applyAlignment="1">
      <alignment horizontal="center" vertical="center"/>
    </xf>
    <xf numFmtId="0" fontId="145" fillId="0" borderId="0" xfId="497" applyFont="1" applyAlignment="1">
      <alignment horizontal="center" vertical="center"/>
    </xf>
    <xf numFmtId="0" fontId="149" fillId="53" borderId="46" xfId="497" applyFont="1" applyFill="1" applyBorder="1">
      <alignment vertical="center"/>
    </xf>
    <xf numFmtId="0" fontId="149" fillId="53" borderId="32" xfId="497" applyFont="1" applyFill="1" applyBorder="1">
      <alignment vertical="center"/>
    </xf>
    <xf numFmtId="0" fontId="149" fillId="53" borderId="33" xfId="497" applyFont="1" applyFill="1" applyBorder="1">
      <alignment vertical="center"/>
    </xf>
    <xf numFmtId="0" fontId="149" fillId="53" borderId="34" xfId="497" applyFont="1" applyFill="1" applyBorder="1">
      <alignment vertical="center"/>
    </xf>
    <xf numFmtId="0" fontId="149" fillId="53" borderId="48" xfId="497" applyFont="1" applyFill="1" applyBorder="1">
      <alignment vertical="center"/>
    </xf>
    <xf numFmtId="0" fontId="145" fillId="0" borderId="6" xfId="497" applyFont="1" applyBorder="1">
      <alignment vertical="center"/>
    </xf>
    <xf numFmtId="0" fontId="145" fillId="0" borderId="49" xfId="497" applyFont="1" applyBorder="1">
      <alignment vertical="center"/>
    </xf>
    <xf numFmtId="0" fontId="145" fillId="0" borderId="10" xfId="497" applyFont="1" applyBorder="1" applyAlignment="1">
      <alignment horizontal="center" vertical="center"/>
    </xf>
    <xf numFmtId="0" fontId="145" fillId="0" borderId="10" xfId="497" applyFont="1" applyBorder="1">
      <alignment vertical="center"/>
    </xf>
    <xf numFmtId="0" fontId="145" fillId="0" borderId="11" xfId="497" applyFont="1" applyBorder="1">
      <alignment vertical="center"/>
    </xf>
    <xf numFmtId="0" fontId="145" fillId="0" borderId="8" xfId="497" applyFont="1" applyBorder="1">
      <alignment vertical="center"/>
    </xf>
    <xf numFmtId="0" fontId="145" fillId="0" borderId="41" xfId="497" applyFont="1" applyBorder="1">
      <alignment vertical="center"/>
    </xf>
    <xf numFmtId="0" fontId="145" fillId="0" borderId="36" xfId="497" applyFont="1" applyBorder="1">
      <alignment vertical="center"/>
    </xf>
    <xf numFmtId="0" fontId="145" fillId="0" borderId="12" xfId="497" applyFont="1" applyBorder="1">
      <alignment vertical="center"/>
    </xf>
    <xf numFmtId="0" fontId="145" fillId="0" borderId="36" xfId="497" applyFont="1" applyBorder="1" applyAlignment="1">
      <alignment horizontal="center" vertical="center"/>
    </xf>
    <xf numFmtId="0" fontId="145" fillId="0" borderId="43" xfId="497" applyFont="1" applyBorder="1">
      <alignment vertical="center"/>
    </xf>
    <xf numFmtId="0" fontId="145" fillId="0" borderId="44" xfId="497" applyFont="1" applyBorder="1">
      <alignment vertical="center"/>
    </xf>
    <xf numFmtId="0" fontId="145" fillId="0" borderId="45" xfId="497" applyFont="1" applyBorder="1">
      <alignment vertical="center"/>
    </xf>
    <xf numFmtId="0" fontId="145" fillId="0" borderId="46" xfId="497" applyFont="1" applyBorder="1">
      <alignment vertical="center"/>
    </xf>
    <xf numFmtId="0" fontId="145" fillId="0" borderId="47" xfId="497" applyFont="1" applyBorder="1">
      <alignment vertical="center"/>
    </xf>
    <xf numFmtId="0" fontId="145" fillId="0" borderId="47" xfId="497" applyFont="1" applyBorder="1" applyAlignment="1">
      <alignment horizontal="center" vertical="center"/>
    </xf>
    <xf numFmtId="0" fontId="145" fillId="0" borderId="39" xfId="497" applyFont="1" applyBorder="1">
      <alignment vertical="center"/>
    </xf>
    <xf numFmtId="0" fontId="145" fillId="0" borderId="37" xfId="497" applyFont="1" applyBorder="1">
      <alignment vertical="center"/>
    </xf>
    <xf numFmtId="0" fontId="145" fillId="0" borderId="38" xfId="497" applyFont="1" applyBorder="1">
      <alignment vertical="center"/>
    </xf>
    <xf numFmtId="0" fontId="145" fillId="0" borderId="3" xfId="497" applyFont="1" applyBorder="1">
      <alignment vertical="center"/>
    </xf>
    <xf numFmtId="0" fontId="145" fillId="0" borderId="4" xfId="497" applyFont="1" applyBorder="1">
      <alignment vertical="center"/>
    </xf>
    <xf numFmtId="0" fontId="145" fillId="0" borderId="5" xfId="497" applyFont="1" applyBorder="1">
      <alignment vertical="center"/>
    </xf>
    <xf numFmtId="0" fontId="152" fillId="0" borderId="10" xfId="449" applyFont="1" applyBorder="1">
      <alignment vertical="center"/>
    </xf>
    <xf numFmtId="0" fontId="145" fillId="0" borderId="10" xfId="449" applyFont="1" applyFill="1" applyBorder="1">
      <alignment vertical="center"/>
    </xf>
    <xf numFmtId="0" fontId="153" fillId="0" borderId="0" xfId="449" applyFont="1">
      <alignment vertical="center"/>
    </xf>
    <xf numFmtId="0" fontId="154" fillId="0" borderId="0" xfId="449" applyFont="1">
      <alignment vertical="center"/>
    </xf>
    <xf numFmtId="0" fontId="145" fillId="0" borderId="0" xfId="449" applyFont="1" applyAlignment="1">
      <alignment vertical="center"/>
    </xf>
    <xf numFmtId="0" fontId="145" fillId="0" borderId="4" xfId="497" applyFont="1" applyBorder="1">
      <alignment vertical="center"/>
    </xf>
    <xf numFmtId="0" fontId="145" fillId="0" borderId="0" xfId="497" applyFont="1">
      <alignment vertical="center"/>
    </xf>
    <xf numFmtId="0" fontId="145" fillId="0" borderId="10" xfId="497" applyFont="1" applyBorder="1">
      <alignment vertical="center"/>
    </xf>
    <xf numFmtId="0" fontId="145" fillId="0" borderId="47" xfId="497" applyFont="1" applyBorder="1">
      <alignment vertical="center"/>
    </xf>
    <xf numFmtId="0" fontId="145" fillId="0" borderId="0" xfId="497" applyFont="1" applyAlignment="1">
      <alignment horizontal="center" vertical="center"/>
    </xf>
    <xf numFmtId="0" fontId="146" fillId="0" borderId="0" xfId="497" applyFont="1" applyAlignment="1">
      <alignment horizontal="center" vertical="center"/>
    </xf>
    <xf numFmtId="0" fontId="145" fillId="0" borderId="0" xfId="497" applyFont="1" applyAlignment="1">
      <alignment horizontal="left" vertical="center"/>
    </xf>
    <xf numFmtId="14" fontId="145" fillId="0" borderId="0" xfId="497" applyNumberFormat="1" applyFont="1" applyAlignment="1">
      <alignment horizontal="center" vertical="center"/>
    </xf>
    <xf numFmtId="0" fontId="145" fillId="0" borderId="0" xfId="449" applyFont="1" applyAlignment="1">
      <alignment vertical="center" wrapText="1"/>
    </xf>
    <xf numFmtId="0" fontId="145" fillId="0" borderId="0" xfId="499" applyFont="1">
      <alignment vertical="center"/>
    </xf>
    <xf numFmtId="0" fontId="146" fillId="0" borderId="0" xfId="499" applyFont="1" applyAlignment="1">
      <alignment horizontal="center" vertical="center"/>
    </xf>
    <xf numFmtId="0" fontId="145" fillId="0" borderId="0" xfId="499" applyFont="1" applyAlignment="1">
      <alignment horizontal="left" vertical="center"/>
    </xf>
    <xf numFmtId="14" fontId="145" fillId="0" borderId="0" xfId="499" applyNumberFormat="1" applyFont="1" applyAlignment="1">
      <alignment horizontal="center" vertical="center"/>
    </xf>
    <xf numFmtId="0" fontId="145" fillId="0" borderId="0" xfId="499" applyFont="1" applyAlignment="1">
      <alignment horizontal="center" vertical="center"/>
    </xf>
    <xf numFmtId="0" fontId="149" fillId="53" borderId="46" xfId="499" applyFont="1" applyFill="1" applyBorder="1">
      <alignment vertical="center"/>
    </xf>
    <xf numFmtId="0" fontId="149" fillId="53" borderId="32" xfId="499" applyFont="1" applyFill="1" applyBorder="1">
      <alignment vertical="center"/>
    </xf>
    <xf numFmtId="0" fontId="149" fillId="53" borderId="33" xfId="499" applyFont="1" applyFill="1" applyBorder="1">
      <alignment vertical="center"/>
    </xf>
    <xf numFmtId="0" fontId="149" fillId="53" borderId="34" xfId="499" applyFont="1" applyFill="1" applyBorder="1">
      <alignment vertical="center"/>
    </xf>
    <xf numFmtId="0" fontId="149" fillId="53" borderId="48" xfId="499" applyFont="1" applyFill="1" applyBorder="1">
      <alignment vertical="center"/>
    </xf>
    <xf numFmtId="0" fontId="145" fillId="0" borderId="6" xfId="499" applyFont="1" applyBorder="1">
      <alignment vertical="center"/>
    </xf>
    <xf numFmtId="0" fontId="145" fillId="0" borderId="49" xfId="499" applyFont="1" applyBorder="1">
      <alignment vertical="center"/>
    </xf>
    <xf numFmtId="0" fontId="145" fillId="0" borderId="10" xfId="499" applyFont="1" applyBorder="1" applyAlignment="1">
      <alignment horizontal="center" vertical="center"/>
    </xf>
    <xf numFmtId="0" fontId="145" fillId="0" borderId="10" xfId="499" applyFont="1" applyBorder="1">
      <alignment vertical="center"/>
    </xf>
    <xf numFmtId="0" fontId="145" fillId="0" borderId="11" xfId="499" applyFont="1" applyBorder="1">
      <alignment vertical="center"/>
    </xf>
    <xf numFmtId="0" fontId="145" fillId="0" borderId="8" xfId="499" applyFont="1" applyBorder="1">
      <alignment vertical="center"/>
    </xf>
    <xf numFmtId="0" fontId="145" fillId="0" borderId="41" xfId="499" applyFont="1" applyBorder="1">
      <alignment vertical="center"/>
    </xf>
    <xf numFmtId="0" fontId="145" fillId="0" borderId="46" xfId="499" applyFont="1" applyBorder="1">
      <alignment vertical="center"/>
    </xf>
    <xf numFmtId="0" fontId="145" fillId="0" borderId="47" xfId="499" applyFont="1" applyBorder="1">
      <alignment vertical="center"/>
    </xf>
    <xf numFmtId="0" fontId="145" fillId="0" borderId="47" xfId="499" applyFont="1" applyBorder="1" applyAlignment="1">
      <alignment horizontal="center" vertical="center"/>
    </xf>
    <xf numFmtId="0" fontId="145" fillId="0" borderId="39" xfId="499" applyFont="1" applyBorder="1">
      <alignment vertical="center"/>
    </xf>
    <xf numFmtId="0" fontId="145" fillId="0" borderId="37" xfId="499" applyFont="1" applyBorder="1">
      <alignment vertical="center"/>
    </xf>
    <xf numFmtId="0" fontId="145" fillId="0" borderId="38" xfId="499" applyFont="1" applyBorder="1">
      <alignment vertical="center"/>
    </xf>
    <xf numFmtId="0" fontId="145" fillId="0" borderId="3" xfId="499" applyFont="1" applyBorder="1">
      <alignment vertical="center"/>
    </xf>
    <xf numFmtId="0" fontId="145" fillId="0" borderId="4" xfId="499" applyFont="1" applyBorder="1">
      <alignment vertical="center"/>
    </xf>
    <xf numFmtId="0" fontId="145" fillId="0" borderId="5" xfId="499" applyFont="1" applyBorder="1">
      <alignment vertical="center"/>
    </xf>
    <xf numFmtId="0" fontId="145" fillId="0" borderId="10" xfId="497" applyFont="1" applyBorder="1">
      <alignment vertical="center"/>
    </xf>
    <xf numFmtId="0" fontId="145" fillId="0" borderId="47" xfId="497" applyFont="1" applyBorder="1">
      <alignment vertical="center"/>
    </xf>
    <xf numFmtId="0" fontId="145" fillId="0" borderId="0" xfId="497" applyFont="1">
      <alignment vertical="center"/>
    </xf>
    <xf numFmtId="0" fontId="145" fillId="0" borderId="4" xfId="497" applyFont="1" applyBorder="1">
      <alignment vertical="center"/>
    </xf>
    <xf numFmtId="0" fontId="145" fillId="0" borderId="0" xfId="497" applyFont="1" applyAlignment="1">
      <alignment horizontal="center" vertical="center"/>
    </xf>
    <xf numFmtId="0" fontId="146" fillId="0" borderId="0" xfId="497" applyFont="1" applyAlignment="1">
      <alignment horizontal="center" vertical="center"/>
    </xf>
    <xf numFmtId="0" fontId="145" fillId="0" borderId="0" xfId="497" applyFont="1" applyAlignment="1">
      <alignment horizontal="left" vertical="center"/>
    </xf>
    <xf numFmtId="14" fontId="145" fillId="0" borderId="0" xfId="497" applyNumberFormat="1" applyFont="1" applyAlignment="1">
      <alignment horizontal="center" vertical="center"/>
    </xf>
    <xf numFmtId="0" fontId="145" fillId="0" borderId="36" xfId="497" applyFont="1" applyBorder="1">
      <alignment vertical="center"/>
    </xf>
    <xf numFmtId="0" fontId="145" fillId="0" borderId="0" xfId="500" applyFont="1">
      <alignment vertical="center"/>
    </xf>
    <xf numFmtId="0" fontId="146" fillId="0" borderId="0" xfId="500" applyFont="1" applyAlignment="1">
      <alignment horizontal="center" vertical="center"/>
    </xf>
    <xf numFmtId="0" fontId="145" fillId="0" borderId="0" xfId="500" applyFont="1" applyAlignment="1">
      <alignment horizontal="left" vertical="center"/>
    </xf>
    <xf numFmtId="14" fontId="145" fillId="0" borderId="0" xfId="500" applyNumberFormat="1" applyFont="1" applyAlignment="1">
      <alignment horizontal="center" vertical="center"/>
    </xf>
    <xf numFmtId="0" fontId="145" fillId="0" borderId="0" xfId="500" applyFont="1" applyAlignment="1">
      <alignment horizontal="center" vertical="center"/>
    </xf>
    <xf numFmtId="0" fontId="149" fillId="53" borderId="46" xfId="500" applyFont="1" applyFill="1" applyBorder="1">
      <alignment vertical="center"/>
    </xf>
    <xf numFmtId="0" fontId="149" fillId="53" borderId="32" xfId="500" applyFont="1" applyFill="1" applyBorder="1">
      <alignment vertical="center"/>
    </xf>
    <xf numFmtId="0" fontId="149" fillId="53" borderId="33" xfId="500" applyFont="1" applyFill="1" applyBorder="1">
      <alignment vertical="center"/>
    </xf>
    <xf numFmtId="0" fontId="149" fillId="53" borderId="34" xfId="500" applyFont="1" applyFill="1" applyBorder="1">
      <alignment vertical="center"/>
    </xf>
    <xf numFmtId="0" fontId="149" fillId="53" borderId="48" xfId="500" applyFont="1" applyFill="1" applyBorder="1">
      <alignment vertical="center"/>
    </xf>
    <xf numFmtId="0" fontId="145" fillId="0" borderId="6" xfId="500" applyFont="1" applyBorder="1">
      <alignment vertical="center"/>
    </xf>
    <xf numFmtId="0" fontId="145" fillId="0" borderId="10" xfId="500" applyFont="1" applyBorder="1" applyAlignment="1">
      <alignment horizontal="center" vertical="center"/>
    </xf>
    <xf numFmtId="0" fontId="145" fillId="0" borderId="10" xfId="500" applyFont="1" applyBorder="1">
      <alignment vertical="center"/>
    </xf>
    <xf numFmtId="0" fontId="145" fillId="0" borderId="8" xfId="500" applyFont="1" applyBorder="1">
      <alignment vertical="center"/>
    </xf>
    <xf numFmtId="0" fontId="145" fillId="0" borderId="41" xfId="500" applyFont="1" applyBorder="1">
      <alignment vertical="center"/>
    </xf>
    <xf numFmtId="0" fontId="145" fillId="0" borderId="11" xfId="500" applyFont="1" applyBorder="1">
      <alignment vertical="center"/>
    </xf>
    <xf numFmtId="0" fontId="155" fillId="0" borderId="0" xfId="500" applyFont="1" applyAlignment="1">
      <alignment vertical="center" wrapText="1"/>
    </xf>
    <xf numFmtId="0" fontId="155" fillId="0" borderId="0" xfId="500" applyFont="1">
      <alignment vertical="center"/>
    </xf>
    <xf numFmtId="0" fontId="145" fillId="0" borderId="0" xfId="500" applyFont="1" applyAlignment="1">
      <alignment vertical="center" wrapText="1"/>
    </xf>
    <xf numFmtId="0" fontId="145" fillId="0" borderId="36" xfId="500" applyFont="1" applyBorder="1">
      <alignment vertical="center"/>
    </xf>
    <xf numFmtId="0" fontId="145" fillId="0" borderId="12" xfId="500" applyFont="1" applyBorder="1">
      <alignment vertical="center"/>
    </xf>
    <xf numFmtId="0" fontId="145" fillId="0" borderId="36" xfId="500" applyFont="1" applyBorder="1" applyAlignment="1">
      <alignment horizontal="center" vertical="center"/>
    </xf>
    <xf numFmtId="0" fontId="145" fillId="0" borderId="43" xfId="500" applyFont="1" applyBorder="1">
      <alignment vertical="center"/>
    </xf>
    <xf numFmtId="0" fontId="145" fillId="0" borderId="44" xfId="500" applyFont="1" applyBorder="1">
      <alignment vertical="center"/>
    </xf>
    <xf numFmtId="0" fontId="145" fillId="0" borderId="45" xfId="500" applyFont="1" applyBorder="1">
      <alignment vertical="center"/>
    </xf>
    <xf numFmtId="0" fontId="145" fillId="0" borderId="46" xfId="500" applyFont="1" applyBorder="1">
      <alignment vertical="center"/>
    </xf>
    <xf numFmtId="0" fontId="145" fillId="0" borderId="47" xfId="500" applyFont="1" applyBorder="1">
      <alignment vertical="center"/>
    </xf>
    <xf numFmtId="0" fontId="145" fillId="0" borderId="47" xfId="500" applyFont="1" applyBorder="1" applyAlignment="1">
      <alignment horizontal="center" vertical="center"/>
    </xf>
    <xf numFmtId="0" fontId="145" fillId="0" borderId="39" xfId="500" applyFont="1" applyBorder="1">
      <alignment vertical="center"/>
    </xf>
    <xf numFmtId="0" fontId="145" fillId="0" borderId="37" xfId="500" applyFont="1" applyBorder="1">
      <alignment vertical="center"/>
    </xf>
    <xf numFmtId="0" fontId="145" fillId="0" borderId="0" xfId="500" applyFont="1">
      <alignment vertical="center"/>
    </xf>
    <xf numFmtId="0" fontId="145" fillId="0" borderId="38" xfId="500" applyFont="1" applyBorder="1">
      <alignment vertical="center"/>
    </xf>
    <xf numFmtId="0" fontId="145" fillId="53" borderId="9" xfId="500" applyFont="1" applyFill="1" applyBorder="1">
      <alignment vertical="center"/>
    </xf>
    <xf numFmtId="0" fontId="145" fillId="53" borderId="13" xfId="500" applyFont="1" applyFill="1" applyBorder="1">
      <alignment vertical="center"/>
    </xf>
    <xf numFmtId="0" fontId="145" fillId="53" borderId="13" xfId="500" applyFont="1" applyFill="1" applyBorder="1">
      <alignment vertical="center"/>
    </xf>
    <xf numFmtId="0" fontId="145" fillId="53" borderId="73" xfId="500" applyFont="1" applyFill="1" applyBorder="1">
      <alignment vertical="center"/>
    </xf>
    <xf numFmtId="0" fontId="145" fillId="0" borderId="9" xfId="500" applyFont="1" applyBorder="1">
      <alignment vertical="center"/>
    </xf>
    <xf numFmtId="0" fontId="145" fillId="0" borderId="13" xfId="500" applyFont="1" applyBorder="1">
      <alignment vertical="center"/>
    </xf>
    <xf numFmtId="0" fontId="145" fillId="55" borderId="9" xfId="500" applyFont="1" applyFill="1" applyBorder="1">
      <alignment vertical="center"/>
    </xf>
    <xf numFmtId="0" fontId="145" fillId="55" borderId="13" xfId="500" applyFont="1" applyFill="1" applyBorder="1">
      <alignment vertical="center"/>
    </xf>
    <xf numFmtId="0" fontId="145" fillId="55" borderId="73" xfId="500" applyFont="1" applyFill="1" applyBorder="1">
      <alignment vertical="center"/>
    </xf>
    <xf numFmtId="0" fontId="145" fillId="0" borderId="73" xfId="500" applyFont="1" applyBorder="1">
      <alignment vertical="center"/>
    </xf>
    <xf numFmtId="0" fontId="145" fillId="0" borderId="40" xfId="500" applyFont="1" applyBorder="1">
      <alignment vertical="center"/>
    </xf>
    <xf numFmtId="0" fontId="145" fillId="0" borderId="14" xfId="500" applyFont="1" applyBorder="1">
      <alignment vertical="center"/>
    </xf>
    <xf numFmtId="0" fontId="145" fillId="0" borderId="4" xfId="500" applyFont="1" applyBorder="1">
      <alignment vertical="center"/>
    </xf>
    <xf numFmtId="0" fontId="145" fillId="0" borderId="5" xfId="500" applyFont="1" applyBorder="1">
      <alignment vertical="center"/>
    </xf>
    <xf numFmtId="0" fontId="145" fillId="0" borderId="0" xfId="500" applyFont="1" applyAlignment="1">
      <alignment horizontal="left" vertical="center" indent="1"/>
    </xf>
    <xf numFmtId="0" fontId="145" fillId="0" borderId="3" xfId="500" applyFont="1" applyBorder="1">
      <alignment vertical="center"/>
    </xf>
    <xf numFmtId="0" fontId="145" fillId="57" borderId="8" xfId="500" applyFont="1" applyFill="1" applyBorder="1">
      <alignment vertical="center"/>
    </xf>
    <xf numFmtId="0" fontId="145" fillId="0" borderId="0" xfId="500" applyFont="1" applyAlignment="1">
      <alignment horizontal="left" vertical="center" indent="3"/>
    </xf>
    <xf numFmtId="0" fontId="152" fillId="58" borderId="9" xfId="501" applyFont="1" applyFill="1" applyBorder="1" applyAlignment="1">
      <alignment vertical="center" wrapText="1"/>
    </xf>
    <xf numFmtId="0" fontId="152" fillId="58" borderId="9" xfId="501" applyFont="1" applyFill="1" applyBorder="1" applyAlignment="1">
      <alignment vertical="center"/>
    </xf>
    <xf numFmtId="0" fontId="152" fillId="0" borderId="9" xfId="501" applyFont="1" applyBorder="1" applyAlignment="1">
      <alignment vertical="center"/>
    </xf>
    <xf numFmtId="0" fontId="145" fillId="0" borderId="0" xfId="500" applyFont="1">
      <alignment vertical="center"/>
    </xf>
    <xf numFmtId="0" fontId="145" fillId="0" borderId="10" xfId="500" applyFont="1" applyBorder="1">
      <alignment vertical="center"/>
    </xf>
    <xf numFmtId="0" fontId="145" fillId="0" borderId="0" xfId="500" applyFont="1" applyAlignment="1">
      <alignment horizontal="center" vertical="center"/>
    </xf>
    <xf numFmtId="0" fontId="145" fillId="0" borderId="0" xfId="500" applyFont="1" applyAlignment="1">
      <alignment horizontal="center" vertical="center"/>
    </xf>
    <xf numFmtId="0" fontId="145" fillId="0" borderId="0" xfId="500" applyFont="1">
      <alignment vertical="center"/>
    </xf>
    <xf numFmtId="0" fontId="145" fillId="0" borderId="47" xfId="500" applyFont="1" applyFill="1" applyBorder="1">
      <alignment vertical="center"/>
    </xf>
    <xf numFmtId="0" fontId="145" fillId="0" borderId="6" xfId="497" applyFont="1" applyFill="1" applyBorder="1">
      <alignment vertical="center"/>
    </xf>
    <xf numFmtId="0" fontId="145" fillId="0" borderId="49" xfId="500" applyFont="1" applyFill="1" applyBorder="1">
      <alignment vertical="center"/>
    </xf>
    <xf numFmtId="0" fontId="145" fillId="0" borderId="10" xfId="500" applyFont="1" applyFill="1" applyBorder="1" applyAlignment="1">
      <alignment horizontal="center" vertical="center"/>
    </xf>
    <xf numFmtId="0" fontId="145" fillId="0" borderId="10" xfId="500" applyFont="1" applyFill="1" applyBorder="1">
      <alignment vertical="center"/>
    </xf>
    <xf numFmtId="0" fontId="145" fillId="0" borderId="6" xfId="500" applyFont="1" applyFill="1" applyBorder="1">
      <alignment vertical="center"/>
    </xf>
    <xf numFmtId="0" fontId="145" fillId="0" borderId="11" xfId="500" applyFont="1" applyFill="1" applyBorder="1">
      <alignment vertical="center"/>
    </xf>
    <xf numFmtId="0" fontId="145" fillId="0" borderId="10" xfId="497" applyFont="1" applyFill="1" applyBorder="1">
      <alignment vertical="center"/>
    </xf>
    <xf numFmtId="0" fontId="145" fillId="0" borderId="8" xfId="497" applyFont="1" applyFill="1" applyBorder="1">
      <alignment vertical="center"/>
    </xf>
    <xf numFmtId="0" fontId="145" fillId="0" borderId="10" xfId="497" applyFont="1" applyFill="1" applyBorder="1" applyAlignment="1">
      <alignment horizontal="center" vertical="center"/>
    </xf>
    <xf numFmtId="0" fontId="145" fillId="0" borderId="11" xfId="497" applyFont="1" applyFill="1" applyBorder="1">
      <alignment vertical="center"/>
    </xf>
    <xf numFmtId="0" fontId="145" fillId="57" borderId="10" xfId="500" applyFont="1" applyFill="1" applyBorder="1">
      <alignment vertical="center"/>
    </xf>
    <xf numFmtId="0" fontId="145" fillId="57" borderId="6" xfId="500" applyFont="1" applyFill="1" applyBorder="1">
      <alignment vertical="center"/>
    </xf>
    <xf numFmtId="0" fontId="145" fillId="57" borderId="11" xfId="500" applyFont="1" applyFill="1" applyBorder="1">
      <alignment vertical="center"/>
    </xf>
    <xf numFmtId="0" fontId="145" fillId="0" borderId="4" xfId="500" applyFont="1" applyFill="1" applyBorder="1">
      <alignment vertical="center"/>
    </xf>
    <xf numFmtId="0" fontId="145" fillId="0" borderId="10" xfId="500" applyFont="1" applyFill="1" applyBorder="1" applyAlignment="1">
      <alignment vertical="center" shrinkToFit="1"/>
    </xf>
    <xf numFmtId="0" fontId="145" fillId="0" borderId="10" xfId="500" applyFont="1" applyBorder="1">
      <alignment vertical="center"/>
    </xf>
    <xf numFmtId="0" fontId="145" fillId="0" borderId="0" xfId="500" applyFont="1">
      <alignment vertical="center"/>
    </xf>
    <xf numFmtId="0" fontId="145" fillId="0" borderId="0" xfId="502" applyFont="1">
      <alignment vertical="center"/>
    </xf>
    <xf numFmtId="0" fontId="146" fillId="0" borderId="0" xfId="502" applyFont="1" applyAlignment="1">
      <alignment horizontal="center" vertical="center"/>
    </xf>
    <xf numFmtId="0" fontId="145" fillId="0" borderId="0" xfId="502" applyFont="1" applyAlignment="1">
      <alignment horizontal="left" vertical="center"/>
    </xf>
    <xf numFmtId="14" fontId="145" fillId="0" borderId="0" xfId="502" applyNumberFormat="1" applyFont="1" applyAlignment="1">
      <alignment horizontal="center" vertical="center"/>
    </xf>
    <xf numFmtId="0" fontId="145" fillId="0" borderId="0" xfId="502" applyFont="1" applyAlignment="1">
      <alignment horizontal="center" vertical="center"/>
    </xf>
    <xf numFmtId="0" fontId="145" fillId="0" borderId="72" xfId="502" applyFont="1" applyBorder="1">
      <alignment vertical="center"/>
    </xf>
    <xf numFmtId="0" fontId="145" fillId="0" borderId="13" xfId="502" applyFont="1" applyBorder="1">
      <alignment vertical="center"/>
    </xf>
    <xf numFmtId="0" fontId="145" fillId="0" borderId="73" xfId="502" applyFont="1" applyBorder="1">
      <alignment vertical="center"/>
    </xf>
    <xf numFmtId="0" fontId="149" fillId="53" borderId="46" xfId="502" applyFont="1" applyFill="1" applyBorder="1">
      <alignment vertical="center"/>
    </xf>
    <xf numFmtId="0" fontId="149" fillId="53" borderId="32" xfId="502" applyFont="1" applyFill="1" applyBorder="1">
      <alignment vertical="center"/>
    </xf>
    <xf numFmtId="0" fontId="149" fillId="53" borderId="33" xfId="502" applyFont="1" applyFill="1" applyBorder="1">
      <alignment vertical="center"/>
    </xf>
    <xf numFmtId="0" fontId="149" fillId="53" borderId="34" xfId="502" applyFont="1" applyFill="1" applyBorder="1">
      <alignment vertical="center"/>
    </xf>
    <xf numFmtId="0" fontId="149" fillId="53" borderId="48" xfId="502" applyFont="1" applyFill="1" applyBorder="1">
      <alignment vertical="center"/>
    </xf>
    <xf numFmtId="0" fontId="145" fillId="0" borderId="6" xfId="502" applyFont="1" applyBorder="1">
      <alignment vertical="center"/>
    </xf>
    <xf numFmtId="0" fontId="145" fillId="0" borderId="49" xfId="502" applyFont="1" applyBorder="1">
      <alignment vertical="center"/>
    </xf>
    <xf numFmtId="0" fontId="145" fillId="0" borderId="10" xfId="502" applyFont="1" applyBorder="1" applyAlignment="1">
      <alignment horizontal="center" vertical="center"/>
    </xf>
    <xf numFmtId="0" fontId="145" fillId="0" borderId="10" xfId="502" applyFont="1" applyBorder="1">
      <alignment vertical="center"/>
    </xf>
    <xf numFmtId="0" fontId="145" fillId="0" borderId="11" xfId="502" applyFont="1" applyBorder="1">
      <alignment vertical="center"/>
    </xf>
    <xf numFmtId="0" fontId="145" fillId="0" borderId="8" xfId="502" applyFont="1" applyBorder="1">
      <alignment vertical="center"/>
    </xf>
    <xf numFmtId="0" fontId="145" fillId="0" borderId="41" xfId="502" applyFont="1" applyBorder="1">
      <alignment vertical="center"/>
    </xf>
    <xf numFmtId="0" fontId="145" fillId="0" borderId="0" xfId="502" applyFont="1" applyAlignment="1">
      <alignment vertical="center" wrapText="1"/>
    </xf>
    <xf numFmtId="0" fontId="145" fillId="0" borderId="6" xfId="502" applyFont="1" applyBorder="1" applyAlignment="1">
      <alignment vertical="center" wrapText="1"/>
    </xf>
    <xf numFmtId="0" fontId="145" fillId="0" borderId="8" xfId="502" applyFont="1" applyBorder="1" applyAlignment="1">
      <alignment vertical="center" wrapText="1"/>
    </xf>
    <xf numFmtId="0" fontId="152" fillId="0" borderId="10" xfId="502" applyFont="1" applyBorder="1">
      <alignment vertical="center"/>
    </xf>
    <xf numFmtId="0" fontId="145" fillId="0" borderId="46" xfId="502" applyFont="1" applyBorder="1">
      <alignment vertical="center"/>
    </xf>
    <xf numFmtId="0" fontId="145" fillId="0" borderId="47" xfId="502" applyFont="1" applyBorder="1">
      <alignment vertical="center"/>
    </xf>
    <xf numFmtId="0" fontId="145" fillId="0" borderId="47" xfId="502" applyFont="1" applyBorder="1" applyAlignment="1">
      <alignment horizontal="center" vertical="center"/>
    </xf>
    <xf numFmtId="0" fontId="145" fillId="0" borderId="39" xfId="502" applyFont="1" applyBorder="1">
      <alignment vertical="center"/>
    </xf>
    <xf numFmtId="0" fontId="145" fillId="0" borderId="37" xfId="502" applyFont="1" applyBorder="1">
      <alignment vertical="center"/>
    </xf>
    <xf numFmtId="0" fontId="145" fillId="0" borderId="38" xfId="502" applyFont="1" applyBorder="1">
      <alignment vertical="center"/>
    </xf>
    <xf numFmtId="0" fontId="145" fillId="53" borderId="9" xfId="503" applyFont="1" applyFill="1" applyBorder="1">
      <alignment vertical="center"/>
    </xf>
    <xf numFmtId="0" fontId="145" fillId="53" borderId="13" xfId="503" applyFont="1" applyFill="1" applyBorder="1">
      <alignment vertical="center"/>
    </xf>
    <xf numFmtId="0" fontId="145" fillId="53" borderId="73" xfId="503" applyFont="1" applyFill="1" applyBorder="1">
      <alignment vertical="center"/>
    </xf>
    <xf numFmtId="0" fontId="145" fillId="0" borderId="9" xfId="502" applyFont="1" applyBorder="1">
      <alignment vertical="center"/>
    </xf>
    <xf numFmtId="0" fontId="145" fillId="0" borderId="13" xfId="503" applyFont="1" applyBorder="1">
      <alignment vertical="center"/>
    </xf>
    <xf numFmtId="0" fontId="145" fillId="55" borderId="9" xfId="503" applyFont="1" applyFill="1" applyBorder="1">
      <alignment vertical="center"/>
    </xf>
    <xf numFmtId="0" fontId="145" fillId="55" borderId="13" xfId="503" applyFont="1" applyFill="1" applyBorder="1">
      <alignment vertical="center"/>
    </xf>
    <xf numFmtId="0" fontId="145" fillId="55" borderId="73" xfId="503" applyFont="1" applyFill="1" applyBorder="1">
      <alignment vertical="center"/>
    </xf>
    <xf numFmtId="0" fontId="145" fillId="0" borderId="9" xfId="503" applyFont="1" applyBorder="1">
      <alignment vertical="center"/>
    </xf>
    <xf numFmtId="0" fontId="145" fillId="0" borderId="73" xfId="503" applyFont="1" applyBorder="1">
      <alignment vertical="center"/>
    </xf>
    <xf numFmtId="0" fontId="145" fillId="0" borderId="40" xfId="502" applyFont="1" applyBorder="1">
      <alignment vertical="center"/>
    </xf>
    <xf numFmtId="0" fontId="145" fillId="0" borderId="47" xfId="503" applyFont="1" applyBorder="1">
      <alignment vertical="center"/>
    </xf>
    <xf numFmtId="0" fontId="145" fillId="0" borderId="40" xfId="503" applyFont="1" applyBorder="1">
      <alignment vertical="center"/>
    </xf>
    <xf numFmtId="0" fontId="145" fillId="0" borderId="39" xfId="503" applyFont="1" applyBorder="1">
      <alignment vertical="center"/>
    </xf>
    <xf numFmtId="0" fontId="145" fillId="0" borderId="14" xfId="502" applyFont="1" applyBorder="1">
      <alignment vertical="center"/>
    </xf>
    <xf numFmtId="0" fontId="145" fillId="0" borderId="4" xfId="503" applyFont="1" applyBorder="1">
      <alignment vertical="center"/>
    </xf>
    <xf numFmtId="0" fontId="145" fillId="0" borderId="14" xfId="503" applyFont="1" applyBorder="1">
      <alignment vertical="center"/>
    </xf>
    <xf numFmtId="0" fontId="145" fillId="0" borderId="4" xfId="503" quotePrefix="1" applyFont="1" applyBorder="1">
      <alignment vertical="center"/>
    </xf>
    <xf numFmtId="0" fontId="145" fillId="0" borderId="5" xfId="503" applyFont="1" applyBorder="1">
      <alignment vertical="center"/>
    </xf>
    <xf numFmtId="0" fontId="145" fillId="0" borderId="77" xfId="502" applyFont="1" applyBorder="1">
      <alignment vertical="center"/>
    </xf>
    <xf numFmtId="0" fontId="145" fillId="0" borderId="0" xfId="503" applyFont="1">
      <alignment vertical="center"/>
    </xf>
    <xf numFmtId="0" fontId="145" fillId="0" borderId="77" xfId="503" applyFont="1" applyBorder="1">
      <alignment vertical="center"/>
    </xf>
    <xf numFmtId="0" fontId="145" fillId="0" borderId="38" xfId="503" applyFont="1" applyBorder="1">
      <alignment vertical="center"/>
    </xf>
    <xf numFmtId="0" fontId="146" fillId="53" borderId="0" xfId="503" applyFont="1" applyFill="1">
      <alignment vertical="center"/>
    </xf>
    <xf numFmtId="0" fontId="145" fillId="53" borderId="0" xfId="503" applyFont="1" applyFill="1">
      <alignment vertical="center"/>
    </xf>
    <xf numFmtId="0" fontId="145" fillId="53" borderId="0" xfId="503" applyFont="1" applyFill="1" applyAlignment="1">
      <alignment horizontal="center" vertical="center"/>
    </xf>
    <xf numFmtId="0" fontId="145" fillId="0" borderId="0" xfId="503" applyFont="1" applyAlignment="1">
      <alignment horizontal="left" vertical="center" indent="1"/>
    </xf>
    <xf numFmtId="0" fontId="145" fillId="0" borderId="0" xfId="502" quotePrefix="1" applyFont="1">
      <alignment vertical="center"/>
    </xf>
    <xf numFmtId="0" fontId="154" fillId="0" borderId="0" xfId="502" applyFont="1">
      <alignment vertical="center"/>
    </xf>
    <xf numFmtId="0" fontId="153" fillId="0" borderId="0" xfId="502" applyFont="1">
      <alignment vertical="center"/>
    </xf>
    <xf numFmtId="0" fontId="145" fillId="0" borderId="3" xfId="502" applyFont="1" applyBorder="1">
      <alignment vertical="center"/>
    </xf>
    <xf numFmtId="0" fontId="145" fillId="0" borderId="4" xfId="502" applyFont="1" applyBorder="1">
      <alignment vertical="center"/>
    </xf>
    <xf numFmtId="0" fontId="145" fillId="0" borderId="5" xfId="502" applyFont="1" applyBorder="1">
      <alignment vertical="center"/>
    </xf>
    <xf numFmtId="0" fontId="146" fillId="0" borderId="0" xfId="503" applyFont="1" applyAlignment="1">
      <alignment horizontal="center" vertical="center"/>
    </xf>
    <xf numFmtId="0" fontId="145" fillId="0" borderId="0" xfId="503" applyFont="1" applyAlignment="1">
      <alignment horizontal="left" vertical="center"/>
    </xf>
    <xf numFmtId="14" fontId="145" fillId="0" borderId="0" xfId="503" applyNumberFormat="1" applyFont="1" applyAlignment="1">
      <alignment horizontal="center" vertical="center"/>
    </xf>
    <xf numFmtId="0" fontId="145" fillId="0" borderId="0" xfId="503" applyFont="1" applyAlignment="1">
      <alignment horizontal="center" vertical="center"/>
    </xf>
    <xf numFmtId="0" fontId="149" fillId="53" borderId="46" xfId="503" applyFont="1" applyFill="1" applyBorder="1">
      <alignment vertical="center"/>
    </xf>
    <xf numFmtId="0" fontId="149" fillId="53" borderId="32" xfId="503" applyFont="1" applyFill="1" applyBorder="1">
      <alignment vertical="center"/>
    </xf>
    <xf numFmtId="0" fontId="149" fillId="53" borderId="33" xfId="503" applyFont="1" applyFill="1" applyBorder="1">
      <alignment vertical="center"/>
    </xf>
    <xf numFmtId="0" fontId="149" fillId="53" borderId="34" xfId="503" applyFont="1" applyFill="1" applyBorder="1">
      <alignment vertical="center"/>
    </xf>
    <xf numFmtId="0" fontId="149" fillId="53" borderId="48" xfId="503" applyFont="1" applyFill="1" applyBorder="1">
      <alignment vertical="center"/>
    </xf>
    <xf numFmtId="0" fontId="145" fillId="0" borderId="6" xfId="503" applyFont="1" applyBorder="1">
      <alignment vertical="center"/>
    </xf>
    <xf numFmtId="0" fontId="145" fillId="0" borderId="49" xfId="503" applyFont="1" applyBorder="1">
      <alignment vertical="center"/>
    </xf>
    <xf numFmtId="0" fontId="145" fillId="0" borderId="10" xfId="503" applyFont="1" applyBorder="1" applyAlignment="1">
      <alignment horizontal="center" vertical="center"/>
    </xf>
    <xf numFmtId="0" fontId="145" fillId="0" borderId="10" xfId="503" applyFont="1" applyBorder="1">
      <alignment vertical="center"/>
    </xf>
    <xf numFmtId="0" fontId="145" fillId="0" borderId="11" xfId="503" applyFont="1" applyBorder="1">
      <alignment vertical="center"/>
    </xf>
    <xf numFmtId="0" fontId="145" fillId="0" borderId="8" xfId="503" applyFont="1" applyBorder="1">
      <alignment vertical="center"/>
    </xf>
    <xf numFmtId="0" fontId="145" fillId="0" borderId="41" xfId="503" applyFont="1" applyBorder="1">
      <alignment vertical="center"/>
    </xf>
    <xf numFmtId="0" fontId="145" fillId="0" borderId="0" xfId="503" applyFont="1" applyAlignment="1">
      <alignment vertical="center" wrapText="1"/>
    </xf>
    <xf numFmtId="0" fontId="145" fillId="0" borderId="46" xfId="503" applyFont="1" applyBorder="1">
      <alignment vertical="center"/>
    </xf>
    <xf numFmtId="0" fontId="145" fillId="0" borderId="47" xfId="503" applyFont="1" applyBorder="1" applyAlignment="1">
      <alignment horizontal="center" vertical="center"/>
    </xf>
    <xf numFmtId="0" fontId="145" fillId="0" borderId="37" xfId="503" applyFont="1" applyBorder="1">
      <alignment vertical="center"/>
    </xf>
    <xf numFmtId="0" fontId="145" fillId="0" borderId="0" xfId="503" quotePrefix="1" applyFont="1">
      <alignment vertical="center"/>
    </xf>
    <xf numFmtId="0" fontId="154" fillId="0" borderId="0" xfId="503" applyFont="1">
      <alignment vertical="center"/>
    </xf>
    <xf numFmtId="0" fontId="153" fillId="0" borderId="0" xfId="503" applyFont="1">
      <alignment vertical="center"/>
    </xf>
    <xf numFmtId="0" fontId="145" fillId="0" borderId="3" xfId="503" applyFont="1" applyBorder="1">
      <alignment vertical="center"/>
    </xf>
    <xf numFmtId="0" fontId="145" fillId="0" borderId="0" xfId="500" applyFont="1">
      <alignment vertical="center"/>
    </xf>
    <xf numFmtId="0" fontId="155" fillId="0" borderId="10" xfId="500" applyFont="1" applyFill="1" applyBorder="1">
      <alignment vertical="center"/>
    </xf>
    <xf numFmtId="0" fontId="145" fillId="0" borderId="0" xfId="497" applyFont="1">
      <alignment vertical="center"/>
    </xf>
    <xf numFmtId="0" fontId="145" fillId="0" borderId="0" xfId="500" applyFont="1" applyAlignment="1">
      <alignment horizontal="center" vertical="center"/>
    </xf>
    <xf numFmtId="0" fontId="145" fillId="0" borderId="0" xfId="500" applyFont="1" applyAlignment="1">
      <alignment horizontal="left" vertical="center"/>
    </xf>
    <xf numFmtId="0" fontId="145" fillId="0" borderId="0" xfId="500" applyFont="1">
      <alignment vertical="center"/>
    </xf>
    <xf numFmtId="0" fontId="145" fillId="0" borderId="0" xfId="500" applyFont="1">
      <alignment vertical="center"/>
    </xf>
    <xf numFmtId="0" fontId="145" fillId="0" borderId="0" xfId="500" applyFont="1" applyAlignment="1">
      <alignment horizontal="center" vertical="center"/>
    </xf>
    <xf numFmtId="0" fontId="145" fillId="0" borderId="0" xfId="497" applyFont="1" applyAlignment="1">
      <alignment horizontal="left" vertical="center" indent="1"/>
    </xf>
    <xf numFmtId="0" fontId="145" fillId="0" borderId="0" xfId="449" applyFont="1" applyAlignment="1">
      <alignment vertical="center"/>
    </xf>
    <xf numFmtId="0" fontId="145" fillId="0" borderId="6" xfId="502" applyFont="1" applyBorder="1" applyAlignment="1">
      <alignment vertical="center" wrapText="1"/>
    </xf>
    <xf numFmtId="0" fontId="145" fillId="0" borderId="8" xfId="502" applyFont="1" applyBorder="1" applyAlignment="1">
      <alignment vertical="center" wrapText="1"/>
    </xf>
    <xf numFmtId="0" fontId="145" fillId="0" borderId="0" xfId="502" applyFont="1">
      <alignment vertical="center"/>
    </xf>
    <xf numFmtId="0" fontId="145" fillId="0" borderId="0" xfId="503" applyFont="1">
      <alignment vertical="center"/>
    </xf>
    <xf numFmtId="0" fontId="145" fillId="0" borderId="0" xfId="500" applyFont="1" applyAlignment="1">
      <alignment horizontal="center" vertical="center"/>
    </xf>
    <xf numFmtId="0" fontId="146" fillId="0" borderId="0" xfId="500" applyFont="1" applyAlignment="1">
      <alignment horizontal="center" vertical="center"/>
    </xf>
    <xf numFmtId="0" fontId="145" fillId="0" borderId="0" xfId="500" applyFont="1" applyAlignment="1">
      <alignment horizontal="left" vertical="center"/>
    </xf>
    <xf numFmtId="14" fontId="145" fillId="0" borderId="0" xfId="500" applyNumberFormat="1" applyFont="1" applyAlignment="1">
      <alignment horizontal="center" vertical="center"/>
    </xf>
    <xf numFmtId="0" fontId="145" fillId="0" borderId="10" xfId="500" applyFont="1" applyBorder="1">
      <alignment vertical="center"/>
    </xf>
    <xf numFmtId="0" fontId="145" fillId="0" borderId="47" xfId="500" applyFont="1" applyBorder="1">
      <alignment vertical="center"/>
    </xf>
    <xf numFmtId="0" fontId="145" fillId="0" borderId="0" xfId="500" applyFont="1">
      <alignment vertical="center"/>
    </xf>
    <xf numFmtId="0" fontId="145" fillId="53" borderId="13" xfId="500" applyFont="1" applyFill="1" applyBorder="1">
      <alignment vertical="center"/>
    </xf>
    <xf numFmtId="0" fontId="145" fillId="0" borderId="36" xfId="500" applyFont="1" applyBorder="1">
      <alignment vertical="center"/>
    </xf>
    <xf numFmtId="0" fontId="145" fillId="0" borderId="4" xfId="500" applyFont="1" applyBorder="1">
      <alignment vertical="center"/>
    </xf>
    <xf numFmtId="0" fontId="146" fillId="59" borderId="0" xfId="449" applyFont="1" applyFill="1">
      <alignment vertical="center"/>
    </xf>
    <xf numFmtId="0" fontId="145" fillId="59" borderId="0" xfId="449" applyFont="1" applyFill="1">
      <alignment vertical="center"/>
    </xf>
    <xf numFmtId="0" fontId="145" fillId="59" borderId="0" xfId="449" applyFont="1" applyFill="1" applyAlignment="1">
      <alignment horizontal="center" vertical="center"/>
    </xf>
    <xf numFmtId="0" fontId="145" fillId="59" borderId="0" xfId="449" applyFont="1" applyFill="1">
      <alignment vertical="center"/>
    </xf>
    <xf numFmtId="0" fontId="145" fillId="0" borderId="0" xfId="449" applyFont="1" applyAlignment="1">
      <alignment horizontal="left" vertical="center" indent="1"/>
    </xf>
    <xf numFmtId="0" fontId="145" fillId="0" borderId="0" xfId="503" applyFont="1">
      <alignment vertical="center"/>
    </xf>
    <xf numFmtId="0" fontId="145" fillId="0" borderId="0" xfId="500" applyFont="1">
      <alignment vertical="center"/>
    </xf>
    <xf numFmtId="0" fontId="145" fillId="0" borderId="47" xfId="500" applyFont="1" applyBorder="1">
      <alignment vertical="center"/>
    </xf>
    <xf numFmtId="0" fontId="145" fillId="0" borderId="0" xfId="504" applyFont="1">
      <alignment vertical="center"/>
    </xf>
    <xf numFmtId="0" fontId="146" fillId="0" borderId="0" xfId="504" applyFont="1" applyAlignment="1">
      <alignment horizontal="center" vertical="center"/>
    </xf>
    <xf numFmtId="0" fontId="145" fillId="0" borderId="0" xfId="504" applyFont="1" applyAlignment="1">
      <alignment horizontal="left" vertical="center"/>
    </xf>
    <xf numFmtId="14" fontId="145" fillId="0" borderId="0" xfId="504" applyNumberFormat="1" applyFont="1" applyAlignment="1">
      <alignment horizontal="center" vertical="center"/>
    </xf>
    <xf numFmtId="0" fontId="145" fillId="0" borderId="0" xfId="504" applyFont="1" applyAlignment="1">
      <alignment horizontal="center" vertical="center"/>
    </xf>
    <xf numFmtId="0" fontId="145" fillId="0" borderId="72" xfId="504" applyFont="1" applyBorder="1">
      <alignment vertical="center"/>
    </xf>
    <xf numFmtId="0" fontId="145" fillId="0" borderId="13" xfId="504" applyFont="1" applyBorder="1">
      <alignment vertical="center"/>
    </xf>
    <xf numFmtId="0" fontId="145" fillId="0" borderId="73" xfId="504" applyFont="1" applyBorder="1">
      <alignment vertical="center"/>
    </xf>
    <xf numFmtId="0" fontId="149" fillId="53" borderId="46" xfId="504" applyFont="1" applyFill="1" applyBorder="1">
      <alignment vertical="center"/>
    </xf>
    <xf numFmtId="0" fontId="149" fillId="53" borderId="32" xfId="504" applyFont="1" applyFill="1" applyBorder="1">
      <alignment vertical="center"/>
    </xf>
    <xf numFmtId="0" fontId="149" fillId="53" borderId="33" xfId="504" applyFont="1" applyFill="1" applyBorder="1">
      <alignment vertical="center"/>
    </xf>
    <xf numFmtId="0" fontId="149" fillId="53" borderId="34" xfId="504" applyFont="1" applyFill="1" applyBorder="1">
      <alignment vertical="center"/>
    </xf>
    <xf numFmtId="0" fontId="149" fillId="53" borderId="48" xfId="504" applyFont="1" applyFill="1" applyBorder="1">
      <alignment vertical="center"/>
    </xf>
    <xf numFmtId="0" fontId="145" fillId="0" borderId="6" xfId="504" applyFont="1" applyBorder="1">
      <alignment vertical="center"/>
    </xf>
    <xf numFmtId="0" fontId="145" fillId="0" borderId="49" xfId="504" applyFont="1" applyBorder="1">
      <alignment vertical="center"/>
    </xf>
    <xf numFmtId="0" fontId="145" fillId="0" borderId="10" xfId="504" applyFont="1" applyBorder="1" applyAlignment="1">
      <alignment horizontal="center" vertical="center"/>
    </xf>
    <xf numFmtId="0" fontId="145" fillId="0" borderId="10" xfId="504" applyFont="1" applyBorder="1">
      <alignment vertical="center"/>
    </xf>
    <xf numFmtId="0" fontId="145" fillId="0" borderId="11" xfId="504" applyFont="1" applyBorder="1">
      <alignment vertical="center"/>
    </xf>
    <xf numFmtId="0" fontId="145" fillId="0" borderId="8" xfId="504" applyFont="1" applyBorder="1">
      <alignment vertical="center"/>
    </xf>
    <xf numFmtId="0" fontId="145" fillId="0" borderId="41" xfId="504" applyFont="1" applyBorder="1">
      <alignment vertical="center"/>
    </xf>
    <xf numFmtId="0" fontId="152" fillId="0" borderId="10" xfId="504" applyFont="1" applyBorder="1">
      <alignment vertical="center"/>
    </xf>
    <xf numFmtId="0" fontId="145" fillId="0" borderId="46" xfId="504" applyFont="1" applyBorder="1">
      <alignment vertical="center"/>
    </xf>
    <xf numFmtId="0" fontId="145" fillId="0" borderId="47" xfId="504" applyFont="1" applyBorder="1">
      <alignment vertical="center"/>
    </xf>
    <xf numFmtId="0" fontId="145" fillId="0" borderId="47" xfId="504" applyFont="1" applyBorder="1" applyAlignment="1">
      <alignment horizontal="center" vertical="center"/>
    </xf>
    <xf numFmtId="0" fontId="145" fillId="0" borderId="39" xfId="504" applyFont="1" applyBorder="1">
      <alignment vertical="center"/>
    </xf>
    <xf numFmtId="0" fontId="145" fillId="0" borderId="37" xfId="504" applyFont="1" applyBorder="1">
      <alignment vertical="center"/>
    </xf>
    <xf numFmtId="0" fontId="145" fillId="0" borderId="38" xfId="504" applyFont="1" applyBorder="1">
      <alignment vertical="center"/>
    </xf>
    <xf numFmtId="0" fontId="145" fillId="56" borderId="0" xfId="504" applyFont="1" applyFill="1">
      <alignment vertical="center"/>
    </xf>
    <xf numFmtId="0" fontId="145" fillId="0" borderId="0" xfId="504" quotePrefix="1" applyFont="1">
      <alignment vertical="center"/>
    </xf>
    <xf numFmtId="0" fontId="154" fillId="0" borderId="0" xfId="504" applyFont="1">
      <alignment vertical="center"/>
    </xf>
    <xf numFmtId="0" fontId="153" fillId="0" borderId="0" xfId="504" applyFont="1">
      <alignment vertical="center"/>
    </xf>
    <xf numFmtId="0" fontId="145" fillId="0" borderId="0" xfId="504" applyFont="1" applyAlignment="1">
      <alignment vertical="center" wrapText="1"/>
    </xf>
    <xf numFmtId="0" fontId="145" fillId="0" borderId="3" xfId="504" applyFont="1" applyBorder="1">
      <alignment vertical="center"/>
    </xf>
    <xf numFmtId="0" fontId="145" fillId="0" borderId="4" xfId="504" applyFont="1" applyBorder="1">
      <alignment vertical="center"/>
    </xf>
    <xf numFmtId="0" fontId="145" fillId="0" borderId="5" xfId="504" applyFont="1" applyBorder="1">
      <alignment vertical="center"/>
    </xf>
    <xf numFmtId="0" fontId="145" fillId="0" borderId="0" xfId="449" applyFont="1" applyBorder="1">
      <alignment vertical="center"/>
    </xf>
    <xf numFmtId="0" fontId="145" fillId="0" borderId="0" xfId="500" applyFont="1" applyBorder="1">
      <alignment vertical="center"/>
    </xf>
    <xf numFmtId="0" fontId="145" fillId="0" borderId="0" xfId="500" applyFont="1" applyBorder="1" applyAlignment="1">
      <alignment horizontal="center" vertical="center"/>
    </xf>
    <xf numFmtId="0" fontId="145" fillId="0" borderId="0" xfId="505" applyFont="1">
      <alignment vertical="center"/>
    </xf>
    <xf numFmtId="0" fontId="146" fillId="0" borderId="0" xfId="505" applyFont="1" applyAlignment="1">
      <alignment horizontal="center" vertical="center"/>
    </xf>
    <xf numFmtId="0" fontId="145" fillId="0" borderId="0" xfId="505" applyFont="1" applyAlignment="1">
      <alignment horizontal="left" vertical="center"/>
    </xf>
    <xf numFmtId="14" fontId="145" fillId="0" borderId="0" xfId="505" applyNumberFormat="1" applyFont="1" applyAlignment="1">
      <alignment horizontal="center" vertical="center"/>
    </xf>
    <xf numFmtId="0" fontId="145" fillId="0" borderId="0" xfId="505" applyFont="1" applyAlignment="1">
      <alignment horizontal="center" vertical="center"/>
    </xf>
    <xf numFmtId="0" fontId="149" fillId="53" borderId="46" xfId="505" applyFont="1" applyFill="1" applyBorder="1">
      <alignment vertical="center"/>
    </xf>
    <xf numFmtId="0" fontId="149" fillId="53" borderId="32" xfId="505" applyFont="1" applyFill="1" applyBorder="1">
      <alignment vertical="center"/>
    </xf>
    <xf numFmtId="0" fontId="149" fillId="53" borderId="33" xfId="505" applyFont="1" applyFill="1" applyBorder="1">
      <alignment vertical="center"/>
    </xf>
    <xf numFmtId="0" fontId="149" fillId="53" borderId="34" xfId="505" applyFont="1" applyFill="1" applyBorder="1">
      <alignment vertical="center"/>
    </xf>
    <xf numFmtId="0" fontId="149" fillId="53" borderId="48" xfId="505" applyFont="1" applyFill="1" applyBorder="1">
      <alignment vertical="center"/>
    </xf>
    <xf numFmtId="0" fontId="145" fillId="0" borderId="6" xfId="505" applyFont="1" applyBorder="1">
      <alignment vertical="center"/>
    </xf>
    <xf numFmtId="0" fontId="145" fillId="0" borderId="49" xfId="505" applyFont="1" applyBorder="1">
      <alignment vertical="center"/>
    </xf>
    <xf numFmtId="0" fontId="145" fillId="0" borderId="10" xfId="505" applyFont="1" applyBorder="1" applyAlignment="1">
      <alignment horizontal="center" vertical="center"/>
    </xf>
    <xf numFmtId="0" fontId="145" fillId="0" borderId="10" xfId="505" applyFont="1" applyBorder="1">
      <alignment vertical="center"/>
    </xf>
    <xf numFmtId="0" fontId="145" fillId="0" borderId="11" xfId="505" applyFont="1" applyBorder="1">
      <alignment vertical="center"/>
    </xf>
    <xf numFmtId="0" fontId="145" fillId="0" borderId="8" xfId="505" applyFont="1" applyBorder="1">
      <alignment vertical="center"/>
    </xf>
    <xf numFmtId="0" fontId="145" fillId="0" borderId="41" xfId="505" applyFont="1" applyBorder="1">
      <alignment vertical="center"/>
    </xf>
    <xf numFmtId="0" fontId="145" fillId="0" borderId="0" xfId="505" applyFont="1" applyAlignment="1">
      <alignment vertical="center" wrapText="1"/>
    </xf>
    <xf numFmtId="0" fontId="145" fillId="0" borderId="36" xfId="505" applyFont="1" applyBorder="1">
      <alignment vertical="center"/>
    </xf>
    <xf numFmtId="0" fontId="145" fillId="0" borderId="12" xfId="505" applyFont="1" applyBorder="1">
      <alignment vertical="center"/>
    </xf>
    <xf numFmtId="0" fontId="145" fillId="0" borderId="36" xfId="505" applyFont="1" applyBorder="1" applyAlignment="1">
      <alignment horizontal="center" vertical="center"/>
    </xf>
    <xf numFmtId="0" fontId="145" fillId="0" borderId="43" xfId="505" applyFont="1" applyBorder="1">
      <alignment vertical="center"/>
    </xf>
    <xf numFmtId="0" fontId="145" fillId="0" borderId="44" xfId="505" applyFont="1" applyBorder="1">
      <alignment vertical="center"/>
    </xf>
    <xf numFmtId="0" fontId="145" fillId="0" borderId="45" xfId="505" applyFont="1" applyBorder="1">
      <alignment vertical="center"/>
    </xf>
    <xf numFmtId="0" fontId="145" fillId="0" borderId="46" xfId="505" applyFont="1" applyBorder="1">
      <alignment vertical="center"/>
    </xf>
    <xf numFmtId="0" fontId="145" fillId="0" borderId="47" xfId="505" applyFont="1" applyBorder="1">
      <alignment vertical="center"/>
    </xf>
    <xf numFmtId="0" fontId="145" fillId="0" borderId="47" xfId="505" applyFont="1" applyBorder="1" applyAlignment="1">
      <alignment horizontal="center" vertical="center"/>
    </xf>
    <xf numFmtId="0" fontId="145" fillId="0" borderId="39" xfId="505" applyFont="1" applyBorder="1">
      <alignment vertical="center"/>
    </xf>
    <xf numFmtId="0" fontId="145" fillId="0" borderId="37" xfId="505" applyFont="1" applyBorder="1">
      <alignment vertical="center"/>
    </xf>
    <xf numFmtId="0" fontId="145" fillId="0" borderId="38" xfId="505" applyFont="1" applyBorder="1">
      <alignment vertical="center"/>
    </xf>
    <xf numFmtId="0" fontId="145" fillId="0" borderId="0" xfId="505" applyFont="1" applyAlignment="1">
      <alignment horizontal="left" vertical="center" indent="1"/>
    </xf>
    <xf numFmtId="0" fontId="145" fillId="0" borderId="0" xfId="506" applyFont="1" applyAlignment="1">
      <alignment horizontal="left" vertical="center" indent="1"/>
    </xf>
    <xf numFmtId="0" fontId="145" fillId="0" borderId="0" xfId="506" applyFont="1" applyAlignment="1">
      <alignment horizontal="left" vertical="center"/>
    </xf>
    <xf numFmtId="0" fontId="145" fillId="0" borderId="37" xfId="506" applyFont="1" applyBorder="1">
      <alignment vertical="center"/>
    </xf>
    <xf numFmtId="0" fontId="145" fillId="0" borderId="0" xfId="506" applyFont="1">
      <alignment vertical="center"/>
    </xf>
    <xf numFmtId="0" fontId="145" fillId="0" borderId="38" xfId="506" applyFont="1" applyBorder="1">
      <alignment vertical="center"/>
    </xf>
    <xf numFmtId="0" fontId="146" fillId="59" borderId="0" xfId="505" applyFont="1" applyFill="1">
      <alignment vertical="center"/>
    </xf>
    <xf numFmtId="0" fontId="145" fillId="59" borderId="0" xfId="505" applyFont="1" applyFill="1">
      <alignment vertical="center"/>
    </xf>
    <xf numFmtId="0" fontId="145" fillId="59" borderId="0" xfId="505" applyFont="1" applyFill="1" applyAlignment="1">
      <alignment horizontal="center" vertical="center"/>
    </xf>
    <xf numFmtId="0" fontId="145" fillId="53" borderId="9" xfId="506" applyFont="1" applyFill="1" applyBorder="1">
      <alignment vertical="center"/>
    </xf>
    <xf numFmtId="0" fontId="145" fillId="53" borderId="13" xfId="506" applyFont="1" applyFill="1" applyBorder="1">
      <alignment vertical="center"/>
    </xf>
    <xf numFmtId="0" fontId="145" fillId="53" borderId="73" xfId="506" applyFont="1" applyFill="1" applyBorder="1">
      <alignment vertical="center"/>
    </xf>
    <xf numFmtId="0" fontId="145" fillId="0" borderId="9" xfId="506" applyFont="1" applyBorder="1">
      <alignment vertical="center"/>
    </xf>
    <xf numFmtId="0" fontId="145" fillId="0" borderId="13" xfId="506" applyFont="1" applyBorder="1">
      <alignment vertical="center"/>
    </xf>
    <xf numFmtId="0" fontId="145" fillId="55" borderId="9" xfId="506" applyFont="1" applyFill="1" applyBorder="1">
      <alignment vertical="center"/>
    </xf>
    <xf numFmtId="0" fontId="145" fillId="55" borderId="13" xfId="506" applyFont="1" applyFill="1" applyBorder="1">
      <alignment vertical="center"/>
    </xf>
    <xf numFmtId="0" fontId="145" fillId="55" borderId="73" xfId="506" applyFont="1" applyFill="1" applyBorder="1">
      <alignment vertical="center"/>
    </xf>
    <xf numFmtId="0" fontId="145" fillId="0" borderId="40" xfId="506" applyFont="1" applyBorder="1">
      <alignment vertical="center"/>
    </xf>
    <xf numFmtId="0" fontId="145" fillId="0" borderId="47" xfId="506" applyFont="1" applyBorder="1">
      <alignment vertical="center"/>
    </xf>
    <xf numFmtId="0" fontId="145" fillId="0" borderId="39" xfId="506" applyFont="1" applyBorder="1">
      <alignment vertical="center"/>
    </xf>
    <xf numFmtId="0" fontId="145" fillId="0" borderId="14" xfId="506" applyFont="1" applyBorder="1">
      <alignment vertical="center"/>
    </xf>
    <xf numFmtId="0" fontId="145" fillId="0" borderId="4" xfId="506" applyFont="1" applyBorder="1">
      <alignment vertical="center"/>
    </xf>
    <xf numFmtId="0" fontId="145" fillId="0" borderId="5" xfId="506" applyFont="1" applyBorder="1">
      <alignment vertical="center"/>
    </xf>
    <xf numFmtId="0" fontId="145" fillId="0" borderId="3" xfId="505" applyFont="1" applyBorder="1">
      <alignment vertical="center"/>
    </xf>
    <xf numFmtId="0" fontId="145" fillId="0" borderId="4" xfId="505" applyFont="1" applyBorder="1">
      <alignment vertical="center"/>
    </xf>
    <xf numFmtId="0" fontId="145" fillId="0" borderId="5" xfId="505" applyFont="1" applyBorder="1">
      <alignment vertical="center"/>
    </xf>
    <xf numFmtId="0" fontId="158" fillId="0" borderId="0" xfId="500" applyFont="1" applyAlignment="1">
      <alignment vertical="center" wrapText="1"/>
    </xf>
    <xf numFmtId="0" fontId="160" fillId="0" borderId="0" xfId="505" quotePrefix="1" applyFont="1" applyAlignment="1">
      <alignment vertical="center" wrapText="1"/>
    </xf>
    <xf numFmtId="213" fontId="144" fillId="45" borderId="72" xfId="496" applyNumberFormat="1" applyFont="1" applyFill="1" applyBorder="1" applyAlignment="1">
      <alignment horizontal="center" vertical="center" shrinkToFit="1"/>
    </xf>
    <xf numFmtId="213" fontId="144" fillId="0" borderId="13" xfId="496" applyNumberFormat="1" applyFont="1" applyBorder="1" applyAlignment="1">
      <alignment horizontal="center" vertical="center" shrinkToFit="1"/>
    </xf>
    <xf numFmtId="213" fontId="144" fillId="0" borderId="73" xfId="496" applyNumberFormat="1" applyFont="1" applyBorder="1" applyAlignment="1">
      <alignment horizontal="center" vertical="center" shrinkToFit="1"/>
    </xf>
    <xf numFmtId="212" fontId="144" fillId="45" borderId="72" xfId="496" applyNumberFormat="1" applyFont="1" applyFill="1" applyBorder="1" applyAlignment="1">
      <alignment horizontal="center" vertical="center" shrinkToFit="1"/>
    </xf>
    <xf numFmtId="212" fontId="144" fillId="45" borderId="13" xfId="496" applyNumberFormat="1" applyFont="1" applyFill="1" applyBorder="1" applyAlignment="1">
      <alignment horizontal="center" vertical="center" shrinkToFit="1"/>
    </xf>
    <xf numFmtId="212" fontId="144" fillId="45" borderId="73" xfId="496" applyNumberFormat="1" applyFont="1" applyFill="1" applyBorder="1" applyAlignment="1">
      <alignment horizontal="center" vertical="center" shrinkToFit="1"/>
    </xf>
    <xf numFmtId="0" fontId="144" fillId="45" borderId="72" xfId="496" applyFont="1" applyFill="1" applyBorder="1" applyAlignment="1">
      <alignment horizontal="center" vertical="center" shrinkToFit="1"/>
    </xf>
    <xf numFmtId="0" fontId="144" fillId="45" borderId="13" xfId="496" applyFont="1" applyFill="1" applyBorder="1" applyAlignment="1">
      <alignment horizontal="center" vertical="center" shrinkToFit="1"/>
    </xf>
    <xf numFmtId="0" fontId="144" fillId="45" borderId="73" xfId="496" applyFont="1" applyFill="1" applyBorder="1" applyAlignment="1">
      <alignment horizontal="center" vertical="center" shrinkToFit="1"/>
    </xf>
    <xf numFmtId="0" fontId="144" fillId="45" borderId="72" xfId="496" applyFont="1" applyFill="1" applyBorder="1" applyAlignment="1">
      <alignment vertical="top" wrapText="1"/>
    </xf>
    <xf numFmtId="0" fontId="144" fillId="45" borderId="13" xfId="496" applyFont="1" applyFill="1" applyBorder="1" applyAlignment="1">
      <alignment vertical="top" wrapText="1"/>
    </xf>
    <xf numFmtId="0" fontId="144" fillId="45" borderId="73" xfId="496" applyFont="1" applyFill="1" applyBorder="1" applyAlignment="1">
      <alignment vertical="top" wrapText="1"/>
    </xf>
    <xf numFmtId="0" fontId="144" fillId="55" borderId="72" xfId="496" applyFont="1" applyFill="1" applyBorder="1" applyAlignment="1">
      <alignment horizontal="center" vertical="center"/>
    </xf>
    <xf numFmtId="0" fontId="144" fillId="55" borderId="13" xfId="496" applyFont="1" applyFill="1" applyBorder="1" applyAlignment="1">
      <alignment horizontal="center" vertical="center"/>
    </xf>
    <xf numFmtId="0" fontId="144" fillId="55" borderId="73" xfId="496" applyFont="1" applyFill="1" applyBorder="1" applyAlignment="1">
      <alignment horizontal="center" vertical="center"/>
    </xf>
    <xf numFmtId="212" fontId="144" fillId="55" borderId="72" xfId="496" applyNumberFormat="1" applyFont="1" applyFill="1" applyBorder="1" applyAlignment="1">
      <alignment horizontal="center" vertical="center"/>
    </xf>
    <xf numFmtId="212" fontId="144" fillId="55" borderId="13" xfId="496" applyNumberFormat="1" applyFont="1" applyFill="1" applyBorder="1" applyAlignment="1">
      <alignment horizontal="center" vertical="center"/>
    </xf>
    <xf numFmtId="212" fontId="144" fillId="55" borderId="73" xfId="496" applyNumberFormat="1" applyFont="1" applyFill="1" applyBorder="1" applyAlignment="1">
      <alignment horizontal="center" vertical="center"/>
    </xf>
    <xf numFmtId="0" fontId="144" fillId="53" borderId="37" xfId="494" applyFill="1" applyBorder="1" applyAlignment="1">
      <alignment horizontal="center" vertical="center" shrinkToFit="1"/>
    </xf>
    <xf numFmtId="0" fontId="144" fillId="53" borderId="0" xfId="494" applyFill="1" applyAlignment="1">
      <alignment horizontal="center" vertical="center" shrinkToFit="1"/>
    </xf>
    <xf numFmtId="0" fontId="144" fillId="53" borderId="38" xfId="494" applyFill="1" applyBorder="1" applyAlignment="1">
      <alignment horizontal="center" vertical="center" shrinkToFit="1"/>
    </xf>
    <xf numFmtId="0" fontId="144" fillId="53" borderId="3" xfId="494" applyFill="1" applyBorder="1" applyAlignment="1">
      <alignment horizontal="center" vertical="center" shrinkToFit="1"/>
    </xf>
    <xf numFmtId="0" fontId="144" fillId="53" borderId="4" xfId="494" applyFill="1" applyBorder="1" applyAlignment="1">
      <alignment horizontal="center" vertical="center" shrinkToFit="1"/>
    </xf>
    <xf numFmtId="0" fontId="144" fillId="53" borderId="5" xfId="494" applyFill="1" applyBorder="1" applyAlignment="1">
      <alignment horizontal="center" vertical="center" shrinkToFit="1"/>
    </xf>
    <xf numFmtId="0" fontId="144" fillId="0" borderId="46" xfId="494" applyBorder="1" applyAlignment="1">
      <alignment horizontal="center" vertical="center" shrinkToFit="1"/>
    </xf>
    <xf numFmtId="0" fontId="144" fillId="0" borderId="47" xfId="494" applyBorder="1" applyAlignment="1">
      <alignment horizontal="center" vertical="center" shrinkToFit="1"/>
    </xf>
    <xf numFmtId="0" fontId="144" fillId="0" borderId="39" xfId="494" applyBorder="1" applyAlignment="1">
      <alignment horizontal="center" vertical="center" shrinkToFit="1"/>
    </xf>
    <xf numFmtId="0" fontId="144" fillId="0" borderId="68" xfId="494" applyBorder="1" applyAlignment="1">
      <alignment horizontal="center" vertical="center" shrinkToFit="1"/>
    </xf>
    <xf numFmtId="0" fontId="144" fillId="0" borderId="17" xfId="494" applyBorder="1" applyAlignment="1">
      <alignment horizontal="center" vertical="center" shrinkToFit="1"/>
    </xf>
    <xf numFmtId="0" fontId="144" fillId="0" borderId="69" xfId="494" applyBorder="1" applyAlignment="1">
      <alignment horizontal="center" vertical="center" shrinkToFit="1"/>
    </xf>
    <xf numFmtId="0" fontId="144" fillId="53" borderId="55" xfId="494" applyFill="1" applyBorder="1" applyAlignment="1">
      <alignment horizontal="center" vertical="center"/>
    </xf>
    <xf numFmtId="0" fontId="144" fillId="53" borderId="53" xfId="494" applyFill="1" applyBorder="1" applyAlignment="1">
      <alignment horizontal="center" vertical="center"/>
    </xf>
    <xf numFmtId="0" fontId="144" fillId="53" borderId="18" xfId="494" applyFill="1" applyBorder="1" applyAlignment="1">
      <alignment horizontal="center" vertical="center"/>
    </xf>
    <xf numFmtId="0" fontId="144" fillId="53" borderId="3" xfId="494" applyFill="1" applyBorder="1" applyAlignment="1">
      <alignment horizontal="center" vertical="center"/>
    </xf>
    <xf numFmtId="0" fontId="144" fillId="53" borderId="4" xfId="494" applyFill="1" applyBorder="1" applyAlignment="1">
      <alignment horizontal="center" vertical="center"/>
    </xf>
    <xf numFmtId="0" fontId="144" fillId="53" borderId="62" xfId="494" applyFill="1" applyBorder="1" applyAlignment="1">
      <alignment horizontal="center" vertical="center"/>
    </xf>
    <xf numFmtId="0" fontId="144" fillId="53" borderId="58" xfId="494" applyFill="1" applyBorder="1" applyAlignment="1">
      <alignment horizontal="center" vertical="center"/>
    </xf>
    <xf numFmtId="0" fontId="144" fillId="53" borderId="59" xfId="494" applyFill="1" applyBorder="1" applyAlignment="1">
      <alignment horizontal="center" vertical="center"/>
    </xf>
    <xf numFmtId="0" fontId="144" fillId="53" borderId="60" xfId="494" applyFill="1" applyBorder="1" applyAlignment="1">
      <alignment horizontal="center" vertical="center"/>
    </xf>
    <xf numFmtId="212" fontId="144" fillId="54" borderId="61" xfId="494" applyNumberFormat="1" applyFill="1" applyBorder="1" applyAlignment="1">
      <alignment horizontal="center" vertical="center" shrinkToFit="1"/>
    </xf>
    <xf numFmtId="0" fontId="144" fillId="0" borderId="63" xfId="494" applyBorder="1" applyAlignment="1">
      <alignment horizontal="center" vertical="center" wrapText="1"/>
    </xf>
    <xf numFmtId="0" fontId="144" fillId="0" borderId="40" xfId="494" applyBorder="1" applyAlignment="1">
      <alignment horizontal="center" vertical="center" wrapText="1"/>
    </xf>
    <xf numFmtId="0" fontId="144" fillId="0" borderId="66" xfId="494" applyBorder="1" applyAlignment="1">
      <alignment horizontal="center" vertical="center" wrapText="1"/>
    </xf>
    <xf numFmtId="0" fontId="144" fillId="0" borderId="67" xfId="494" applyBorder="1" applyAlignment="1">
      <alignment horizontal="center" vertical="center" wrapText="1"/>
    </xf>
    <xf numFmtId="0" fontId="144" fillId="53" borderId="64" xfId="494" applyFill="1" applyBorder="1" applyAlignment="1">
      <alignment horizontal="center" vertical="center"/>
    </xf>
    <xf numFmtId="212" fontId="144" fillId="54" borderId="64" xfId="494" applyNumberFormat="1" applyFill="1" applyBorder="1" applyAlignment="1">
      <alignment horizontal="center" vertical="center" shrinkToFit="1"/>
    </xf>
    <xf numFmtId="213" fontId="144" fillId="54" borderId="40" xfId="494" applyNumberFormat="1" applyFill="1" applyBorder="1" applyAlignment="1">
      <alignment horizontal="center" vertical="center"/>
    </xf>
    <xf numFmtId="213" fontId="144" fillId="54" borderId="65" xfId="494" applyNumberFormat="1" applyFill="1" applyBorder="1" applyAlignment="1">
      <alignment horizontal="center" vertical="center"/>
    </xf>
    <xf numFmtId="213" fontId="144" fillId="54" borderId="67" xfId="494" applyNumberFormat="1" applyFill="1" applyBorder="1" applyAlignment="1">
      <alignment horizontal="center" vertical="center"/>
    </xf>
    <xf numFmtId="213" fontId="144" fillId="54" borderId="71" xfId="494" applyNumberFormat="1" applyFill="1" applyBorder="1" applyAlignment="1">
      <alignment horizontal="center" vertical="center"/>
    </xf>
    <xf numFmtId="0" fontId="144" fillId="53" borderId="52" xfId="494" applyFill="1" applyBorder="1" applyAlignment="1">
      <alignment horizontal="center" vertical="center"/>
    </xf>
    <xf numFmtId="0" fontId="144" fillId="53" borderId="54" xfId="494" applyFill="1" applyBorder="1" applyAlignment="1">
      <alignment horizontal="center" vertical="center"/>
    </xf>
    <xf numFmtId="0" fontId="144" fillId="53" borderId="57" xfId="494" applyFill="1" applyBorder="1" applyAlignment="1">
      <alignment horizontal="center" vertical="center"/>
    </xf>
    <xf numFmtId="0" fontId="144" fillId="53" borderId="5" xfId="494" applyFill="1" applyBorder="1" applyAlignment="1">
      <alignment horizontal="center" vertical="center"/>
    </xf>
    <xf numFmtId="0" fontId="144" fillId="53" borderId="56" xfId="494" applyFill="1" applyBorder="1" applyAlignment="1">
      <alignment horizontal="center" vertical="center"/>
    </xf>
    <xf numFmtId="0" fontId="144" fillId="54" borderId="56" xfId="494" applyFill="1" applyBorder="1" applyAlignment="1">
      <alignment horizontal="center" vertical="center" shrinkToFit="1"/>
    </xf>
    <xf numFmtId="0" fontId="144" fillId="0" borderId="46" xfId="494" applyBorder="1" applyAlignment="1">
      <alignment horizontal="center" vertical="center"/>
    </xf>
    <xf numFmtId="0" fontId="144" fillId="0" borderId="47" xfId="494" applyBorder="1" applyAlignment="1">
      <alignment horizontal="center" vertical="center"/>
    </xf>
    <xf numFmtId="0" fontId="144" fillId="0" borderId="39" xfId="494" applyBorder="1" applyAlignment="1">
      <alignment horizontal="center" vertical="center"/>
    </xf>
    <xf numFmtId="0" fontId="144" fillId="0" borderId="68" xfId="494" applyBorder="1" applyAlignment="1">
      <alignment horizontal="center" vertical="center"/>
    </xf>
    <xf numFmtId="0" fontId="144" fillId="0" borderId="17" xfId="494" applyBorder="1" applyAlignment="1">
      <alignment horizontal="center" vertical="center"/>
    </xf>
    <xf numFmtId="0" fontId="144" fillId="0" borderId="69" xfId="494" applyBorder="1" applyAlignment="1">
      <alignment horizontal="center" vertical="center"/>
    </xf>
    <xf numFmtId="0" fontId="144" fillId="53" borderId="70" xfId="494" applyFill="1" applyBorder="1" applyAlignment="1">
      <alignment horizontal="center" vertical="center"/>
    </xf>
    <xf numFmtId="212" fontId="144" fillId="54" borderId="70" xfId="494" applyNumberFormat="1" applyFill="1" applyBorder="1" applyAlignment="1">
      <alignment horizontal="center" vertical="center" shrinkToFit="1"/>
    </xf>
    <xf numFmtId="0" fontId="145" fillId="0" borderId="0" xfId="449" applyFont="1" applyAlignment="1">
      <alignment horizontal="center" vertical="center"/>
    </xf>
    <xf numFmtId="0" fontId="146" fillId="0" borderId="0" xfId="449" applyFont="1" applyAlignment="1">
      <alignment horizontal="center" vertical="center"/>
    </xf>
    <xf numFmtId="0" fontId="148" fillId="0" borderId="0" xfId="449" applyFont="1" applyAlignment="1">
      <alignment horizontal="center" vertical="center"/>
    </xf>
    <xf numFmtId="0" fontId="145" fillId="0" borderId="0" xfId="449" applyFont="1" applyAlignment="1">
      <alignment horizontal="left" vertical="center"/>
    </xf>
    <xf numFmtId="0" fontId="147" fillId="0" borderId="0" xfId="449" applyFont="1" applyAlignment="1">
      <alignment horizontal="center" vertical="center"/>
    </xf>
    <xf numFmtId="14" fontId="145" fillId="0" borderId="0" xfId="449" applyNumberFormat="1" applyFont="1" applyAlignment="1">
      <alignment horizontal="center" vertical="center"/>
    </xf>
    <xf numFmtId="0" fontId="146" fillId="53" borderId="72" xfId="449" applyFont="1" applyFill="1" applyBorder="1" applyAlignment="1">
      <alignment horizontal="center" vertical="center"/>
    </xf>
    <xf numFmtId="0" fontId="146" fillId="53" borderId="13" xfId="449" applyFont="1" applyFill="1" applyBorder="1" applyAlignment="1">
      <alignment horizontal="center" vertical="center"/>
    </xf>
    <xf numFmtId="0" fontId="145" fillId="0" borderId="72" xfId="449" applyFont="1" applyBorder="1" applyAlignment="1">
      <alignment horizontal="center" vertical="center" shrinkToFit="1"/>
    </xf>
    <xf numFmtId="0" fontId="145" fillId="0" borderId="73" xfId="449" applyFont="1" applyBorder="1" applyAlignment="1">
      <alignment horizontal="center" vertical="center" shrinkToFit="1"/>
    </xf>
    <xf numFmtId="0" fontId="146" fillId="53" borderId="9" xfId="449" applyFont="1" applyFill="1" applyBorder="1" applyAlignment="1">
      <alignment horizontal="center" vertical="center"/>
    </xf>
    <xf numFmtId="0" fontId="149" fillId="53" borderId="50" xfId="449" applyFont="1" applyFill="1" applyBorder="1" applyAlignment="1">
      <alignment horizontal="center" vertical="center"/>
    </xf>
    <xf numFmtId="0" fontId="149" fillId="53" borderId="31" xfId="449" applyFont="1" applyFill="1" applyBorder="1" applyAlignment="1">
      <alignment horizontal="center" vertical="center"/>
    </xf>
    <xf numFmtId="0" fontId="149" fillId="53" borderId="50" xfId="449" applyFont="1" applyFill="1" applyBorder="1" applyAlignment="1">
      <alignment horizontal="center" vertical="center" wrapText="1"/>
    </xf>
    <xf numFmtId="0" fontId="149" fillId="53" borderId="31" xfId="449" applyFont="1" applyFill="1" applyBorder="1" applyAlignment="1">
      <alignment horizontal="center" vertical="center" wrapText="1"/>
    </xf>
    <xf numFmtId="0" fontId="150" fillId="53" borderId="40" xfId="449" applyFont="1" applyFill="1" applyBorder="1" applyAlignment="1">
      <alignment horizontal="center" vertical="center"/>
    </xf>
    <xf numFmtId="0" fontId="150" fillId="53" borderId="42" xfId="449" applyFont="1" applyFill="1" applyBorder="1" applyAlignment="1">
      <alignment horizontal="center" vertical="center"/>
    </xf>
    <xf numFmtId="0" fontId="149" fillId="53" borderId="33" xfId="449" applyFont="1" applyFill="1" applyBorder="1" applyAlignment="1">
      <alignment horizontal="center" vertical="center"/>
    </xf>
    <xf numFmtId="0" fontId="149" fillId="53" borderId="34" xfId="449" applyFont="1" applyFill="1" applyBorder="1" applyAlignment="1">
      <alignment horizontal="center" vertical="center"/>
    </xf>
    <xf numFmtId="0" fontId="146" fillId="53" borderId="72" xfId="449" applyFont="1" applyFill="1" applyBorder="1" applyAlignment="1">
      <alignment horizontal="left" vertical="center"/>
    </xf>
    <xf numFmtId="0" fontId="146" fillId="53" borderId="13" xfId="449" applyFont="1" applyFill="1" applyBorder="1" applyAlignment="1">
      <alignment horizontal="left" vertical="center"/>
    </xf>
    <xf numFmtId="0" fontId="146" fillId="53" borderId="73" xfId="449" applyFont="1" applyFill="1" applyBorder="1" applyAlignment="1">
      <alignment horizontal="left" vertical="center"/>
    </xf>
    <xf numFmtId="0" fontId="145" fillId="0" borderId="47" xfId="449" applyFont="1" applyBorder="1" applyAlignment="1">
      <alignment vertical="center"/>
    </xf>
    <xf numFmtId="0" fontId="145" fillId="0" borderId="10" xfId="449" applyFont="1" applyBorder="1" applyAlignment="1">
      <alignment vertical="center"/>
    </xf>
    <xf numFmtId="0" fontId="149" fillId="53" borderId="51" xfId="449" applyFont="1" applyFill="1" applyBorder="1" applyAlignment="1">
      <alignment horizontal="center" vertical="center" wrapText="1"/>
    </xf>
    <xf numFmtId="0" fontId="149" fillId="53" borderId="35" xfId="449" applyFont="1" applyFill="1" applyBorder="1" applyAlignment="1">
      <alignment horizontal="center" vertical="center" wrapText="1"/>
    </xf>
    <xf numFmtId="0" fontId="145" fillId="0" borderId="0" xfId="449" applyFont="1" applyAlignment="1">
      <alignment vertical="center"/>
    </xf>
    <xf numFmtId="0" fontId="145" fillId="0" borderId="0" xfId="502" applyFont="1">
      <alignment vertical="center"/>
    </xf>
    <xf numFmtId="0" fontId="145" fillId="0" borderId="4" xfId="449" applyFont="1" applyBorder="1" applyAlignment="1">
      <alignment vertical="center"/>
    </xf>
    <xf numFmtId="0" fontId="145" fillId="0" borderId="6" xfId="502" applyFont="1" applyBorder="1" applyAlignment="1">
      <alignment vertical="center" wrapText="1"/>
    </xf>
    <xf numFmtId="0" fontId="145" fillId="0" borderId="8" xfId="502" applyFont="1" applyBorder="1" applyAlignment="1">
      <alignment vertical="center" wrapText="1"/>
    </xf>
    <xf numFmtId="0" fontId="145" fillId="0" borderId="11" xfId="502" applyFont="1" applyBorder="1" applyAlignment="1">
      <alignment vertical="center" wrapText="1"/>
    </xf>
    <xf numFmtId="0" fontId="145" fillId="0" borderId="74" xfId="502" applyFont="1" applyBorder="1" applyAlignment="1">
      <alignment vertical="center" wrapText="1"/>
    </xf>
    <xf numFmtId="0" fontId="145" fillId="0" borderId="75" xfId="502" applyFont="1" applyBorder="1" applyAlignment="1">
      <alignment vertical="center" wrapText="1"/>
    </xf>
    <xf numFmtId="0" fontId="145" fillId="0" borderId="76" xfId="502" applyFont="1" applyBorder="1" applyAlignment="1">
      <alignment vertical="center" wrapText="1"/>
    </xf>
    <xf numFmtId="0" fontId="146" fillId="53" borderId="72" xfId="500" applyFont="1" applyFill="1" applyBorder="1" applyAlignment="1">
      <alignment horizontal="left" vertical="center"/>
    </xf>
    <xf numFmtId="0" fontId="146" fillId="53" borderId="13" xfId="500" applyFont="1" applyFill="1" applyBorder="1" applyAlignment="1">
      <alignment horizontal="left" vertical="center"/>
    </xf>
    <xf numFmtId="0" fontId="146" fillId="53" borderId="73" xfId="500" applyFont="1" applyFill="1" applyBorder="1" applyAlignment="1">
      <alignment horizontal="left" vertical="center"/>
    </xf>
    <xf numFmtId="0" fontId="145" fillId="0" borderId="47" xfId="500" applyFont="1" applyBorder="1">
      <alignment vertical="center"/>
    </xf>
    <xf numFmtId="0" fontId="145" fillId="0" borderId="0" xfId="500" applyFont="1" applyAlignment="1">
      <alignment horizontal="center" vertical="center"/>
    </xf>
    <xf numFmtId="0" fontId="146" fillId="0" borderId="0" xfId="500" applyFont="1" applyAlignment="1">
      <alignment horizontal="center" vertical="center"/>
    </xf>
    <xf numFmtId="0" fontId="148" fillId="0" borderId="0" xfId="500" applyFont="1" applyAlignment="1">
      <alignment horizontal="center" vertical="center"/>
    </xf>
    <xf numFmtId="0" fontId="145" fillId="0" borderId="0" xfId="500" applyFont="1" applyAlignment="1">
      <alignment horizontal="left" vertical="center"/>
    </xf>
    <xf numFmtId="0" fontId="147" fillId="0" borderId="0" xfId="500" applyFont="1" applyAlignment="1">
      <alignment horizontal="center" vertical="center"/>
    </xf>
    <xf numFmtId="14" fontId="145" fillId="0" borderId="0" xfId="500" applyNumberFormat="1" applyFont="1" applyAlignment="1">
      <alignment horizontal="center" vertical="center"/>
    </xf>
    <xf numFmtId="0" fontId="146" fillId="53" borderId="72" xfId="500" applyFont="1" applyFill="1" applyBorder="1" applyAlignment="1">
      <alignment horizontal="center" vertical="center"/>
    </xf>
    <xf numFmtId="0" fontId="146" fillId="53" borderId="13" xfId="500" applyFont="1" applyFill="1" applyBorder="1" applyAlignment="1">
      <alignment horizontal="center" vertical="center"/>
    </xf>
    <xf numFmtId="0" fontId="145" fillId="0" borderId="72" xfId="500" applyFont="1" applyBorder="1" applyAlignment="1">
      <alignment horizontal="center" vertical="center" shrinkToFit="1"/>
    </xf>
    <xf numFmtId="0" fontId="145" fillId="0" borderId="73" xfId="500" applyFont="1" applyBorder="1" applyAlignment="1">
      <alignment horizontal="center" vertical="center" shrinkToFit="1"/>
    </xf>
    <xf numFmtId="0" fontId="146" fillId="53" borderId="9" xfId="500" applyFont="1" applyFill="1" applyBorder="1" applyAlignment="1">
      <alignment horizontal="center" vertical="center"/>
    </xf>
    <xf numFmtId="0" fontId="145" fillId="0" borderId="72" xfId="500" applyFont="1" applyBorder="1" applyAlignment="1">
      <alignment horizontal="left" vertical="center"/>
    </xf>
    <xf numFmtId="0" fontId="145" fillId="0" borderId="13" xfId="500" applyFont="1" applyBorder="1" applyAlignment="1">
      <alignment horizontal="left" vertical="center"/>
    </xf>
    <xf numFmtId="0" fontId="145" fillId="0" borderId="73" xfId="500" applyFont="1" applyBorder="1" applyAlignment="1">
      <alignment horizontal="left" vertical="center"/>
    </xf>
    <xf numFmtId="0" fontId="149" fillId="53" borderId="50" xfId="500" applyFont="1" applyFill="1" applyBorder="1" applyAlignment="1">
      <alignment horizontal="center" vertical="center"/>
    </xf>
    <xf numFmtId="0" fontId="149" fillId="53" borderId="31" xfId="500" applyFont="1" applyFill="1" applyBorder="1" applyAlignment="1">
      <alignment horizontal="center" vertical="center"/>
    </xf>
    <xf numFmtId="0" fontId="149" fillId="53" borderId="50" xfId="500" applyFont="1" applyFill="1" applyBorder="1" applyAlignment="1">
      <alignment horizontal="center" vertical="center" wrapText="1"/>
    </xf>
    <xf numFmtId="0" fontId="149" fillId="53" borderId="31" xfId="500" applyFont="1" applyFill="1" applyBorder="1" applyAlignment="1">
      <alignment horizontal="center" vertical="center" wrapText="1"/>
    </xf>
    <xf numFmtId="0" fontId="149" fillId="53" borderId="51" xfId="500" applyFont="1" applyFill="1" applyBorder="1" applyAlignment="1">
      <alignment horizontal="center" vertical="center" wrapText="1"/>
    </xf>
    <xf numFmtId="0" fontId="149" fillId="53" borderId="35" xfId="500" applyFont="1" applyFill="1" applyBorder="1" applyAlignment="1">
      <alignment horizontal="center" vertical="center" wrapText="1"/>
    </xf>
    <xf numFmtId="0" fontId="145" fillId="0" borderId="10" xfId="500" applyFont="1" applyBorder="1">
      <alignment vertical="center"/>
    </xf>
    <xf numFmtId="0" fontId="150" fillId="53" borderId="40" xfId="500" applyFont="1" applyFill="1" applyBorder="1" applyAlignment="1">
      <alignment horizontal="center" vertical="center"/>
    </xf>
    <xf numFmtId="0" fontId="150" fillId="53" borderId="42" xfId="500" applyFont="1" applyFill="1" applyBorder="1" applyAlignment="1">
      <alignment horizontal="center" vertical="center"/>
    </xf>
    <xf numFmtId="0" fontId="149" fillId="53" borderId="33" xfId="500" applyFont="1" applyFill="1" applyBorder="1" applyAlignment="1">
      <alignment horizontal="center" vertical="center"/>
    </xf>
    <xf numFmtId="0" fontId="149" fillId="53" borderId="34" xfId="500" applyFont="1" applyFill="1" applyBorder="1" applyAlignment="1">
      <alignment horizontal="center" vertical="center"/>
    </xf>
    <xf numFmtId="0" fontId="145" fillId="0" borderId="0" xfId="500" applyFont="1">
      <alignment vertical="center"/>
    </xf>
    <xf numFmtId="0" fontId="145" fillId="0" borderId="36" xfId="500" applyFont="1" applyBorder="1">
      <alignment vertical="center"/>
    </xf>
    <xf numFmtId="0" fontId="145" fillId="53" borderId="13" xfId="500" applyFont="1" applyFill="1" applyBorder="1">
      <alignment vertical="center"/>
    </xf>
    <xf numFmtId="0" fontId="145" fillId="59" borderId="0" xfId="449" applyFont="1" applyFill="1">
      <alignment vertical="center"/>
    </xf>
    <xf numFmtId="0" fontId="145" fillId="0" borderId="4" xfId="500" applyFont="1" applyBorder="1">
      <alignment vertical="center"/>
    </xf>
    <xf numFmtId="0" fontId="145" fillId="59" borderId="0" xfId="505" applyFont="1" applyFill="1">
      <alignment vertical="center"/>
    </xf>
    <xf numFmtId="0" fontId="145" fillId="53" borderId="13" xfId="506" applyFont="1" applyFill="1" applyBorder="1">
      <alignment vertical="center"/>
    </xf>
    <xf numFmtId="0" fontId="145" fillId="0" borderId="4" xfId="505" applyFont="1" applyBorder="1">
      <alignment vertical="center"/>
    </xf>
    <xf numFmtId="0" fontId="145" fillId="0" borderId="0" xfId="505" applyFont="1">
      <alignment vertical="center"/>
    </xf>
    <xf numFmtId="0" fontId="146" fillId="53" borderId="72" xfId="505" applyFont="1" applyFill="1" applyBorder="1" applyAlignment="1">
      <alignment horizontal="left" vertical="center"/>
    </xf>
    <xf numFmtId="0" fontId="146" fillId="53" borderId="13" xfId="505" applyFont="1" applyFill="1" applyBorder="1" applyAlignment="1">
      <alignment horizontal="left" vertical="center"/>
    </xf>
    <xf numFmtId="0" fontId="146" fillId="53" borderId="73" xfId="505" applyFont="1" applyFill="1" applyBorder="1" applyAlignment="1">
      <alignment horizontal="left" vertical="center"/>
    </xf>
    <xf numFmtId="0" fontId="145" fillId="0" borderId="10" xfId="505" applyFont="1" applyBorder="1">
      <alignment vertical="center"/>
    </xf>
    <xf numFmtId="0" fontId="145" fillId="0" borderId="36" xfId="505" applyFont="1" applyBorder="1">
      <alignment vertical="center"/>
    </xf>
    <xf numFmtId="0" fontId="145" fillId="0" borderId="47" xfId="505" applyFont="1" applyBorder="1">
      <alignment vertical="center"/>
    </xf>
    <xf numFmtId="0" fontId="146" fillId="53" borderId="72" xfId="505" applyFont="1" applyFill="1" applyBorder="1" applyAlignment="1">
      <alignment horizontal="center" vertical="center"/>
    </xf>
    <xf numFmtId="0" fontId="146" fillId="53" borderId="13" xfId="505" applyFont="1" applyFill="1" applyBorder="1" applyAlignment="1">
      <alignment horizontal="center" vertical="center"/>
    </xf>
    <xf numFmtId="0" fontId="145" fillId="0" borderId="72" xfId="505" applyFont="1" applyBorder="1" applyAlignment="1">
      <alignment horizontal="center" vertical="center" shrinkToFit="1"/>
    </xf>
    <xf numFmtId="0" fontId="145" fillId="0" borderId="73" xfId="505" applyFont="1" applyBorder="1" applyAlignment="1">
      <alignment horizontal="center" vertical="center" shrinkToFit="1"/>
    </xf>
    <xf numFmtId="0" fontId="146" fillId="53" borderId="9" xfId="505" applyFont="1" applyFill="1" applyBorder="1" applyAlignment="1">
      <alignment horizontal="center" vertical="center"/>
    </xf>
    <xf numFmtId="0" fontId="145" fillId="57" borderId="72" xfId="505" applyFont="1" applyFill="1" applyBorder="1" applyAlignment="1">
      <alignment horizontal="left" vertical="center"/>
    </xf>
    <xf numFmtId="0" fontId="145" fillId="57" borderId="13" xfId="505" applyFont="1" applyFill="1" applyBorder="1" applyAlignment="1">
      <alignment horizontal="left" vertical="center"/>
    </xf>
    <xf numFmtId="0" fontId="145" fillId="57" borderId="73" xfId="505" applyFont="1" applyFill="1" applyBorder="1" applyAlignment="1">
      <alignment horizontal="left" vertical="center"/>
    </xf>
    <xf numFmtId="0" fontId="149" fillId="53" borderId="50" xfId="505" applyFont="1" applyFill="1" applyBorder="1" applyAlignment="1">
      <alignment horizontal="center" vertical="center"/>
    </xf>
    <xf numFmtId="0" fontId="149" fillId="53" borderId="31" xfId="505" applyFont="1" applyFill="1" applyBorder="1" applyAlignment="1">
      <alignment horizontal="center" vertical="center"/>
    </xf>
    <xf numFmtId="0" fontId="149" fillId="53" borderId="50" xfId="505" applyFont="1" applyFill="1" applyBorder="1" applyAlignment="1">
      <alignment horizontal="center" vertical="center" wrapText="1"/>
    </xf>
    <xf numFmtId="0" fontId="149" fillId="53" borderId="31" xfId="505" applyFont="1" applyFill="1" applyBorder="1" applyAlignment="1">
      <alignment horizontal="center" vertical="center" wrapText="1"/>
    </xf>
    <xf numFmtId="0" fontId="149" fillId="53" borderId="51" xfId="505" applyFont="1" applyFill="1" applyBorder="1" applyAlignment="1">
      <alignment horizontal="center" vertical="center" wrapText="1"/>
    </xf>
    <xf numFmtId="0" fontId="149" fillId="53" borderId="35" xfId="505" applyFont="1" applyFill="1" applyBorder="1" applyAlignment="1">
      <alignment horizontal="center" vertical="center" wrapText="1"/>
    </xf>
    <xf numFmtId="0" fontId="150" fillId="53" borderId="40" xfId="505" applyFont="1" applyFill="1" applyBorder="1" applyAlignment="1">
      <alignment horizontal="center" vertical="center"/>
    </xf>
    <xf numFmtId="0" fontId="150" fillId="53" borderId="42" xfId="505" applyFont="1" applyFill="1" applyBorder="1" applyAlignment="1">
      <alignment horizontal="center" vertical="center"/>
    </xf>
    <xf numFmtId="0" fontId="149" fillId="53" borderId="33" xfId="505" applyFont="1" applyFill="1" applyBorder="1" applyAlignment="1">
      <alignment horizontal="center" vertical="center"/>
    </xf>
    <xf numFmtId="0" fontId="149" fillId="53" borderId="34" xfId="505" applyFont="1" applyFill="1" applyBorder="1" applyAlignment="1">
      <alignment horizontal="center" vertical="center"/>
    </xf>
    <xf numFmtId="0" fontId="145" fillId="0" borderId="0" xfId="505" applyFont="1" applyAlignment="1">
      <alignment horizontal="center" vertical="center"/>
    </xf>
    <xf numFmtId="0" fontId="146" fillId="0" borderId="0" xfId="505" applyFont="1" applyAlignment="1">
      <alignment horizontal="center" vertical="center"/>
    </xf>
    <xf numFmtId="0" fontId="148" fillId="0" borderId="0" xfId="505" applyFont="1" applyAlignment="1">
      <alignment horizontal="center" vertical="center"/>
    </xf>
    <xf numFmtId="0" fontId="145" fillId="0" borderId="0" xfId="505" applyFont="1" applyAlignment="1">
      <alignment horizontal="left" vertical="center"/>
    </xf>
    <xf numFmtId="0" fontId="147" fillId="0" borderId="0" xfId="505" applyFont="1" applyAlignment="1">
      <alignment horizontal="center" vertical="center"/>
    </xf>
    <xf numFmtId="14" fontId="145" fillId="0" borderId="0" xfId="505" applyNumberFormat="1" applyFont="1" applyAlignment="1">
      <alignment horizontal="center" vertical="center"/>
    </xf>
    <xf numFmtId="0" fontId="145" fillId="0" borderId="0" xfId="497" applyFont="1" applyAlignment="1">
      <alignment horizontal="center" vertical="center"/>
    </xf>
    <xf numFmtId="0" fontId="146" fillId="0" borderId="0" xfId="497" applyFont="1" applyAlignment="1">
      <alignment horizontal="center" vertical="center"/>
    </xf>
    <xf numFmtId="0" fontId="148" fillId="0" borderId="0" xfId="497" applyFont="1" applyAlignment="1">
      <alignment horizontal="center" vertical="center"/>
    </xf>
    <xf numFmtId="0" fontId="145" fillId="0" borderId="0" xfId="497" applyFont="1" applyAlignment="1">
      <alignment horizontal="left" vertical="center"/>
    </xf>
    <xf numFmtId="0" fontId="147" fillId="0" borderId="0" xfId="497" applyFont="1" applyAlignment="1">
      <alignment horizontal="center" vertical="center"/>
    </xf>
    <xf numFmtId="14" fontId="145" fillId="0" borderId="0" xfId="497" applyNumberFormat="1" applyFont="1" applyAlignment="1">
      <alignment horizontal="center" vertical="center"/>
    </xf>
    <xf numFmtId="0" fontId="145" fillId="0" borderId="10" xfId="497" applyFont="1" applyBorder="1">
      <alignment vertical="center"/>
    </xf>
    <xf numFmtId="0" fontId="146" fillId="53" borderId="72" xfId="497" applyFont="1" applyFill="1" applyBorder="1" applyAlignment="1">
      <alignment horizontal="center" vertical="center"/>
    </xf>
    <xf numFmtId="0" fontId="146" fillId="53" borderId="13" xfId="497" applyFont="1" applyFill="1" applyBorder="1" applyAlignment="1">
      <alignment horizontal="center" vertical="center"/>
    </xf>
    <xf numFmtId="0" fontId="145" fillId="0" borderId="72" xfId="497" applyFont="1" applyBorder="1" applyAlignment="1">
      <alignment horizontal="center" vertical="center" shrinkToFit="1"/>
    </xf>
    <xf numFmtId="0" fontId="145" fillId="0" borderId="73" xfId="497" applyFont="1" applyBorder="1" applyAlignment="1">
      <alignment horizontal="center" vertical="center" shrinkToFit="1"/>
    </xf>
    <xf numFmtId="0" fontId="146" fillId="53" borderId="9" xfId="497" applyFont="1" applyFill="1" applyBorder="1" applyAlignment="1">
      <alignment horizontal="center" vertical="center"/>
    </xf>
    <xf numFmtId="0" fontId="145" fillId="0" borderId="72" xfId="497" applyFont="1" applyFill="1" applyBorder="1" applyAlignment="1">
      <alignment horizontal="left" vertical="center"/>
    </xf>
    <xf numFmtId="0" fontId="145" fillId="0" borderId="13" xfId="497" applyFont="1" applyFill="1" applyBorder="1" applyAlignment="1">
      <alignment horizontal="left" vertical="center"/>
    </xf>
    <xf numFmtId="0" fontId="145" fillId="0" borderId="73" xfId="497" applyFont="1" applyFill="1" applyBorder="1" applyAlignment="1">
      <alignment horizontal="left" vertical="center"/>
    </xf>
    <xf numFmtId="0" fontId="149" fillId="53" borderId="50" xfId="497" applyFont="1" applyFill="1" applyBorder="1" applyAlignment="1">
      <alignment horizontal="center" vertical="center"/>
    </xf>
    <xf numFmtId="0" fontId="149" fillId="53" borderId="31" xfId="497" applyFont="1" applyFill="1" applyBorder="1" applyAlignment="1">
      <alignment horizontal="center" vertical="center"/>
    </xf>
    <xf numFmtId="0" fontId="149" fillId="53" borderId="50" xfId="497" applyFont="1" applyFill="1" applyBorder="1" applyAlignment="1">
      <alignment horizontal="center" vertical="center" wrapText="1"/>
    </xf>
    <xf numFmtId="0" fontId="149" fillId="53" borderId="31" xfId="497" applyFont="1" applyFill="1" applyBorder="1" applyAlignment="1">
      <alignment horizontal="center" vertical="center" wrapText="1"/>
    </xf>
    <xf numFmtId="0" fontId="149" fillId="53" borderId="51" xfId="497" applyFont="1" applyFill="1" applyBorder="1" applyAlignment="1">
      <alignment horizontal="center" vertical="center" wrapText="1"/>
    </xf>
    <xf numFmtId="0" fontId="149" fillId="53" borderId="35" xfId="497" applyFont="1" applyFill="1" applyBorder="1" applyAlignment="1">
      <alignment horizontal="center" vertical="center" wrapText="1"/>
    </xf>
    <xf numFmtId="0" fontId="150" fillId="53" borderId="40" xfId="497" applyFont="1" applyFill="1" applyBorder="1" applyAlignment="1">
      <alignment horizontal="center" vertical="center"/>
    </xf>
    <xf numFmtId="0" fontId="150" fillId="53" borderId="42" xfId="497" applyFont="1" applyFill="1" applyBorder="1" applyAlignment="1">
      <alignment horizontal="center" vertical="center"/>
    </xf>
    <xf numFmtId="0" fontId="149" fillId="53" borderId="33" xfId="497" applyFont="1" applyFill="1" applyBorder="1" applyAlignment="1">
      <alignment horizontal="center" vertical="center"/>
    </xf>
    <xf numFmtId="0" fontId="149" fillId="53" borderId="34" xfId="497" applyFont="1" applyFill="1" applyBorder="1" applyAlignment="1">
      <alignment horizontal="center" vertical="center"/>
    </xf>
    <xf numFmtId="0" fontId="146" fillId="53" borderId="72" xfId="497" applyFont="1" applyFill="1" applyBorder="1" applyAlignment="1">
      <alignment horizontal="left" vertical="center"/>
    </xf>
    <xf numFmtId="0" fontId="146" fillId="53" borderId="13" xfId="497" applyFont="1" applyFill="1" applyBorder="1" applyAlignment="1">
      <alignment horizontal="left" vertical="center"/>
    </xf>
    <xf numFmtId="0" fontId="146" fillId="53" borderId="73" xfId="497" applyFont="1" applyFill="1" applyBorder="1" applyAlignment="1">
      <alignment horizontal="left" vertical="center"/>
    </xf>
    <xf numFmtId="0" fontId="145" fillId="0" borderId="47" xfId="497" applyFont="1" applyBorder="1">
      <alignment vertical="center"/>
    </xf>
    <xf numFmtId="0" fontId="145" fillId="0" borderId="0" xfId="497" applyFont="1">
      <alignment vertical="center"/>
    </xf>
    <xf numFmtId="0" fontId="145" fillId="0" borderId="4" xfId="497" applyFont="1" applyBorder="1">
      <alignment vertical="center"/>
    </xf>
    <xf numFmtId="0" fontId="145" fillId="0" borderId="0" xfId="504" applyFont="1" applyAlignment="1">
      <alignment horizontal="center" vertical="center"/>
    </xf>
    <xf numFmtId="0" fontId="146" fillId="0" borderId="0" xfId="504" applyFont="1" applyAlignment="1">
      <alignment horizontal="center" vertical="center"/>
    </xf>
    <xf numFmtId="0" fontId="148" fillId="0" borderId="0" xfId="504" applyFont="1" applyAlignment="1">
      <alignment horizontal="center" vertical="center"/>
    </xf>
    <xf numFmtId="0" fontId="145" fillId="0" borderId="0" xfId="504" applyFont="1" applyAlignment="1">
      <alignment horizontal="left" vertical="center"/>
    </xf>
    <xf numFmtId="0" fontId="147" fillId="0" borderId="0" xfId="504" applyFont="1" applyAlignment="1">
      <alignment horizontal="center" vertical="center"/>
    </xf>
    <xf numFmtId="14" fontId="145" fillId="0" borderId="0" xfId="504" applyNumberFormat="1" applyFont="1" applyAlignment="1">
      <alignment horizontal="center" vertical="center"/>
    </xf>
    <xf numFmtId="0" fontId="146" fillId="53" borderId="72" xfId="504" applyFont="1" applyFill="1" applyBorder="1" applyAlignment="1">
      <alignment horizontal="center" vertical="center"/>
    </xf>
    <xf numFmtId="0" fontId="146" fillId="53" borderId="13" xfId="504" applyFont="1" applyFill="1" applyBorder="1" applyAlignment="1">
      <alignment horizontal="center" vertical="center"/>
    </xf>
    <xf numFmtId="0" fontId="145" fillId="0" borderId="72" xfId="504" applyFont="1" applyBorder="1" applyAlignment="1">
      <alignment horizontal="center" vertical="center" shrinkToFit="1"/>
    </xf>
    <xf numFmtId="0" fontId="145" fillId="0" borderId="73" xfId="504" applyFont="1" applyBorder="1" applyAlignment="1">
      <alignment horizontal="center" vertical="center" shrinkToFit="1"/>
    </xf>
    <xf numFmtId="0" fontId="146" fillId="53" borderId="9" xfId="504" applyFont="1" applyFill="1" applyBorder="1" applyAlignment="1">
      <alignment horizontal="center" vertical="center"/>
    </xf>
    <xf numFmtId="0" fontId="149" fillId="53" borderId="50" xfId="504" applyFont="1" applyFill="1" applyBorder="1" applyAlignment="1">
      <alignment horizontal="center" vertical="center"/>
    </xf>
    <xf numFmtId="0" fontId="149" fillId="53" borderId="31" xfId="504" applyFont="1" applyFill="1" applyBorder="1" applyAlignment="1">
      <alignment horizontal="center" vertical="center"/>
    </xf>
    <xf numFmtId="0" fontId="149" fillId="53" borderId="50" xfId="504" applyFont="1" applyFill="1" applyBorder="1" applyAlignment="1">
      <alignment horizontal="center" vertical="center" wrapText="1"/>
    </xf>
    <xf numFmtId="0" fontId="149" fillId="53" borderId="31" xfId="504" applyFont="1" applyFill="1" applyBorder="1" applyAlignment="1">
      <alignment horizontal="center" vertical="center" wrapText="1"/>
    </xf>
    <xf numFmtId="0" fontId="145" fillId="0" borderId="10" xfId="504" applyFont="1" applyBorder="1">
      <alignment vertical="center"/>
    </xf>
    <xf numFmtId="0" fontId="149" fillId="53" borderId="51" xfId="504" applyFont="1" applyFill="1" applyBorder="1" applyAlignment="1">
      <alignment horizontal="center" vertical="center" wrapText="1"/>
    </xf>
    <xf numFmtId="0" fontId="149" fillId="53" borderId="35" xfId="504" applyFont="1" applyFill="1" applyBorder="1" applyAlignment="1">
      <alignment horizontal="center" vertical="center" wrapText="1"/>
    </xf>
    <xf numFmtId="0" fontId="150" fillId="53" borderId="40" xfId="504" applyFont="1" applyFill="1" applyBorder="1" applyAlignment="1">
      <alignment horizontal="center" vertical="center"/>
    </xf>
    <xf numFmtId="0" fontId="150" fillId="53" borderId="42" xfId="504" applyFont="1" applyFill="1" applyBorder="1" applyAlignment="1">
      <alignment horizontal="center" vertical="center"/>
    </xf>
    <xf numFmtId="0" fontId="149" fillId="53" borderId="33" xfId="504" applyFont="1" applyFill="1" applyBorder="1" applyAlignment="1">
      <alignment horizontal="center" vertical="center"/>
    </xf>
    <xf numFmtId="0" fontId="149" fillId="53" borderId="34" xfId="504" applyFont="1" applyFill="1" applyBorder="1" applyAlignment="1">
      <alignment horizontal="center" vertical="center"/>
    </xf>
    <xf numFmtId="0" fontId="145" fillId="0" borderId="0" xfId="504" applyFont="1">
      <alignment vertical="center"/>
    </xf>
    <xf numFmtId="0" fontId="146" fillId="53" borderId="72" xfId="504" applyFont="1" applyFill="1" applyBorder="1" applyAlignment="1">
      <alignment horizontal="left" vertical="center"/>
    </xf>
    <xf numFmtId="0" fontId="146" fillId="53" borderId="13" xfId="504" applyFont="1" applyFill="1" applyBorder="1" applyAlignment="1">
      <alignment horizontal="left" vertical="center"/>
    </xf>
    <xf numFmtId="0" fontId="146" fillId="53" borderId="73" xfId="504" applyFont="1" applyFill="1" applyBorder="1" applyAlignment="1">
      <alignment horizontal="left" vertical="center"/>
    </xf>
    <xf numFmtId="0" fontId="145" fillId="0" borderId="47" xfId="504" applyFont="1" applyBorder="1">
      <alignment vertical="center"/>
    </xf>
    <xf numFmtId="0" fontId="145" fillId="0" borderId="4" xfId="504" applyFont="1" applyBorder="1">
      <alignment vertical="center"/>
    </xf>
    <xf numFmtId="0" fontId="145" fillId="0" borderId="4" xfId="502" applyFont="1" applyBorder="1">
      <alignment vertical="center"/>
    </xf>
    <xf numFmtId="0" fontId="146" fillId="53" borderId="72" xfId="502" applyFont="1" applyFill="1" applyBorder="1" applyAlignment="1">
      <alignment horizontal="left" vertical="center"/>
    </xf>
    <xf numFmtId="0" fontId="146" fillId="53" borderId="13" xfId="502" applyFont="1" applyFill="1" applyBorder="1" applyAlignment="1">
      <alignment horizontal="left" vertical="center"/>
    </xf>
    <xf numFmtId="0" fontId="146" fillId="53" borderId="73" xfId="502" applyFont="1" applyFill="1" applyBorder="1" applyAlignment="1">
      <alignment horizontal="left" vertical="center"/>
    </xf>
    <xf numFmtId="0" fontId="145" fillId="0" borderId="47" xfId="502" applyFont="1" applyBorder="1">
      <alignment vertical="center"/>
    </xf>
    <xf numFmtId="0" fontId="145" fillId="53" borderId="13" xfId="503" applyFont="1" applyFill="1" applyBorder="1">
      <alignment vertical="center"/>
    </xf>
    <xf numFmtId="0" fontId="145" fillId="0" borderId="10" xfId="502" applyFont="1" applyBorder="1">
      <alignment vertical="center"/>
    </xf>
    <xf numFmtId="0" fontId="149" fillId="53" borderId="51" xfId="502" applyFont="1" applyFill="1" applyBorder="1" applyAlignment="1">
      <alignment horizontal="center" vertical="center" wrapText="1"/>
    </xf>
    <xf numFmtId="0" fontId="149" fillId="53" borderId="35" xfId="502" applyFont="1" applyFill="1" applyBorder="1" applyAlignment="1">
      <alignment horizontal="center" vertical="center" wrapText="1"/>
    </xf>
    <xf numFmtId="0" fontId="149" fillId="53" borderId="50" xfId="502" applyFont="1" applyFill="1" applyBorder="1" applyAlignment="1">
      <alignment horizontal="center" vertical="center"/>
    </xf>
    <xf numFmtId="0" fontId="150" fillId="53" borderId="40" xfId="502" applyFont="1" applyFill="1" applyBorder="1" applyAlignment="1">
      <alignment horizontal="center" vertical="center"/>
    </xf>
    <xf numFmtId="0" fontId="150" fillId="53" borderId="42" xfId="502" applyFont="1" applyFill="1" applyBorder="1" applyAlignment="1">
      <alignment horizontal="center" vertical="center"/>
    </xf>
    <xf numFmtId="0" fontId="149" fillId="53" borderId="33" xfId="502" applyFont="1" applyFill="1" applyBorder="1" applyAlignment="1">
      <alignment horizontal="center" vertical="center"/>
    </xf>
    <xf numFmtId="0" fontId="149" fillId="53" borderId="34" xfId="502" applyFont="1" applyFill="1" applyBorder="1" applyAlignment="1">
      <alignment horizontal="center" vertical="center"/>
    </xf>
    <xf numFmtId="0" fontId="146" fillId="53" borderId="72" xfId="502" applyFont="1" applyFill="1" applyBorder="1" applyAlignment="1">
      <alignment horizontal="center" vertical="center"/>
    </xf>
    <xf numFmtId="0" fontId="146" fillId="53" borderId="13" xfId="502" applyFont="1" applyFill="1" applyBorder="1" applyAlignment="1">
      <alignment horizontal="center" vertical="center"/>
    </xf>
    <xf numFmtId="0" fontId="145" fillId="0" borderId="72" xfId="502" applyFont="1" applyBorder="1" applyAlignment="1">
      <alignment horizontal="center" vertical="center" shrinkToFit="1"/>
    </xf>
    <xf numFmtId="0" fontId="145" fillId="0" borderId="73" xfId="502" applyFont="1" applyBorder="1" applyAlignment="1">
      <alignment horizontal="center" vertical="center" shrinkToFit="1"/>
    </xf>
    <xf numFmtId="0" fontId="146" fillId="53" borderId="9" xfId="502" applyFont="1" applyFill="1" applyBorder="1" applyAlignment="1">
      <alignment horizontal="center" vertical="center"/>
    </xf>
    <xf numFmtId="0" fontId="149" fillId="53" borderId="31" xfId="502" applyFont="1" applyFill="1" applyBorder="1" applyAlignment="1">
      <alignment horizontal="center" vertical="center"/>
    </xf>
    <xf numFmtId="0" fontId="149" fillId="53" borderId="50" xfId="502" applyFont="1" applyFill="1" applyBorder="1" applyAlignment="1">
      <alignment horizontal="center" vertical="center" wrapText="1"/>
    </xf>
    <xf numFmtId="0" fontId="149" fillId="53" borderId="31" xfId="502" applyFont="1" applyFill="1" applyBorder="1" applyAlignment="1">
      <alignment horizontal="center" vertical="center" wrapText="1"/>
    </xf>
    <xf numFmtId="0" fontId="145" fillId="0" borderId="0" xfId="502" applyFont="1" applyAlignment="1">
      <alignment horizontal="center" vertical="center"/>
    </xf>
    <xf numFmtId="0" fontId="146" fillId="0" borderId="0" xfId="502" applyFont="1" applyAlignment="1">
      <alignment horizontal="center" vertical="center"/>
    </xf>
    <xf numFmtId="0" fontId="148" fillId="0" borderId="0" xfId="502" applyFont="1" applyAlignment="1">
      <alignment horizontal="center" vertical="center"/>
    </xf>
    <xf numFmtId="0" fontId="145" fillId="0" borderId="0" xfId="502" applyFont="1" applyAlignment="1">
      <alignment horizontal="left" vertical="center"/>
    </xf>
    <xf numFmtId="0" fontId="147" fillId="0" borderId="0" xfId="502" applyFont="1" applyAlignment="1">
      <alignment horizontal="center" vertical="center"/>
    </xf>
    <xf numFmtId="14" fontId="145" fillId="0" borderId="0" xfId="502" applyNumberFormat="1" applyFont="1" applyAlignment="1">
      <alignment horizontal="center" vertical="center"/>
    </xf>
    <xf numFmtId="0" fontId="145" fillId="0" borderId="4" xfId="503" applyFont="1" applyBorder="1">
      <alignment vertical="center"/>
    </xf>
    <xf numFmtId="0" fontId="146" fillId="53" borderId="72" xfId="503" applyFont="1" applyFill="1" applyBorder="1" applyAlignment="1">
      <alignment horizontal="left" vertical="center"/>
    </xf>
    <xf numFmtId="0" fontId="146" fillId="53" borderId="13" xfId="503" applyFont="1" applyFill="1" applyBorder="1" applyAlignment="1">
      <alignment horizontal="left" vertical="center"/>
    </xf>
    <xf numFmtId="0" fontId="146" fillId="53" borderId="73" xfId="503" applyFont="1" applyFill="1" applyBorder="1" applyAlignment="1">
      <alignment horizontal="left" vertical="center"/>
    </xf>
    <xf numFmtId="0" fontId="145" fillId="0" borderId="0" xfId="503" applyFont="1">
      <alignment vertical="center"/>
    </xf>
    <xf numFmtId="0" fontId="145" fillId="0" borderId="47" xfId="503" applyFont="1" applyBorder="1">
      <alignment vertical="center"/>
    </xf>
    <xf numFmtId="0" fontId="145" fillId="0" borderId="6" xfId="503" applyFont="1" applyBorder="1">
      <alignment vertical="center"/>
    </xf>
    <xf numFmtId="0" fontId="145" fillId="0" borderId="8" xfId="503" applyFont="1" applyBorder="1">
      <alignment vertical="center"/>
    </xf>
    <xf numFmtId="0" fontId="145" fillId="0" borderId="11" xfId="503" applyFont="1" applyBorder="1">
      <alignment vertical="center"/>
    </xf>
    <xf numFmtId="0" fontId="145" fillId="0" borderId="10" xfId="503" applyFont="1" applyBorder="1">
      <alignment vertical="center"/>
    </xf>
    <xf numFmtId="0" fontId="146" fillId="53" borderId="72" xfId="503" applyFont="1" applyFill="1" applyBorder="1" applyAlignment="1">
      <alignment horizontal="center" vertical="center"/>
    </xf>
    <xf numFmtId="0" fontId="146" fillId="53" borderId="13" xfId="503" applyFont="1" applyFill="1" applyBorder="1" applyAlignment="1">
      <alignment horizontal="center" vertical="center"/>
    </xf>
    <xf numFmtId="0" fontId="145" fillId="0" borderId="72" xfId="503" applyFont="1" applyBorder="1" applyAlignment="1">
      <alignment horizontal="center" vertical="center" shrinkToFit="1"/>
    </xf>
    <xf numFmtId="0" fontId="145" fillId="0" borderId="73" xfId="503" applyFont="1" applyBorder="1" applyAlignment="1">
      <alignment horizontal="center" vertical="center" shrinkToFit="1"/>
    </xf>
    <xf numFmtId="0" fontId="146" fillId="53" borderId="9" xfId="503" applyFont="1" applyFill="1" applyBorder="1" applyAlignment="1">
      <alignment horizontal="center" vertical="center"/>
    </xf>
    <xf numFmtId="0" fontId="145" fillId="0" borderId="72" xfId="503" applyFont="1" applyBorder="1" applyAlignment="1">
      <alignment horizontal="left" vertical="center"/>
    </xf>
    <xf numFmtId="0" fontId="145" fillId="0" borderId="13" xfId="503" applyFont="1" applyBorder="1" applyAlignment="1">
      <alignment horizontal="left" vertical="center"/>
    </xf>
    <xf numFmtId="0" fontId="145" fillId="0" borderId="73" xfId="503" applyFont="1" applyBorder="1" applyAlignment="1">
      <alignment horizontal="left" vertical="center"/>
    </xf>
    <xf numFmtId="0" fontId="149" fillId="53" borderId="50" xfId="503" applyFont="1" applyFill="1" applyBorder="1" applyAlignment="1">
      <alignment horizontal="center" vertical="center"/>
    </xf>
    <xf numFmtId="0" fontId="149" fillId="53" borderId="31" xfId="503" applyFont="1" applyFill="1" applyBorder="1" applyAlignment="1">
      <alignment horizontal="center" vertical="center"/>
    </xf>
    <xf numFmtId="0" fontId="149" fillId="53" borderId="50" xfId="503" applyFont="1" applyFill="1" applyBorder="1" applyAlignment="1">
      <alignment horizontal="center" vertical="center" wrapText="1"/>
    </xf>
    <xf numFmtId="0" fontId="149" fillId="53" borderId="31" xfId="503" applyFont="1" applyFill="1" applyBorder="1" applyAlignment="1">
      <alignment horizontal="center" vertical="center" wrapText="1"/>
    </xf>
    <xf numFmtId="0" fontId="149" fillId="53" borderId="51" xfId="503" applyFont="1" applyFill="1" applyBorder="1" applyAlignment="1">
      <alignment horizontal="center" vertical="center" wrapText="1"/>
    </xf>
    <xf numFmtId="0" fontId="149" fillId="53" borderId="35" xfId="503" applyFont="1" applyFill="1" applyBorder="1" applyAlignment="1">
      <alignment horizontal="center" vertical="center" wrapText="1"/>
    </xf>
    <xf numFmtId="0" fontId="150" fillId="53" borderId="40" xfId="503" applyFont="1" applyFill="1" applyBorder="1" applyAlignment="1">
      <alignment horizontal="center" vertical="center"/>
    </xf>
    <xf numFmtId="0" fontId="150" fillId="53" borderId="42" xfId="503" applyFont="1" applyFill="1" applyBorder="1" applyAlignment="1">
      <alignment horizontal="center" vertical="center"/>
    </xf>
    <xf numFmtId="0" fontId="149" fillId="53" borderId="33" xfId="503" applyFont="1" applyFill="1" applyBorder="1" applyAlignment="1">
      <alignment horizontal="center" vertical="center"/>
    </xf>
    <xf numFmtId="0" fontId="149" fillId="53" borderId="34" xfId="503" applyFont="1" applyFill="1" applyBorder="1" applyAlignment="1">
      <alignment horizontal="center" vertical="center"/>
    </xf>
    <xf numFmtId="0" fontId="145" fillId="0" borderId="0" xfId="503" applyFont="1" applyAlignment="1">
      <alignment horizontal="center" vertical="center"/>
    </xf>
    <xf numFmtId="0" fontId="146" fillId="0" borderId="0" xfId="503" applyFont="1" applyAlignment="1">
      <alignment horizontal="center" vertical="center"/>
    </xf>
    <xf numFmtId="0" fontId="148" fillId="0" borderId="0" xfId="503" applyFont="1" applyAlignment="1">
      <alignment horizontal="center" vertical="center"/>
    </xf>
    <xf numFmtId="0" fontId="145" fillId="0" borderId="0" xfId="503" applyFont="1" applyAlignment="1">
      <alignment horizontal="left" vertical="center"/>
    </xf>
    <xf numFmtId="0" fontId="147" fillId="0" borderId="0" xfId="503" applyFont="1" applyAlignment="1">
      <alignment horizontal="center" vertical="center"/>
    </xf>
    <xf numFmtId="14" fontId="145" fillId="0" borderId="0" xfId="503" applyNumberFormat="1" applyFont="1" applyAlignment="1">
      <alignment horizontal="center" vertical="center"/>
    </xf>
    <xf numFmtId="0" fontId="152" fillId="54" borderId="9" xfId="501" applyFont="1" applyFill="1" applyBorder="1" applyAlignment="1">
      <alignment vertical="center" wrapText="1"/>
    </xf>
    <xf numFmtId="0" fontId="152" fillId="54" borderId="9" xfId="501" applyFont="1" applyFill="1" applyBorder="1" applyAlignment="1">
      <alignment vertical="center"/>
    </xf>
    <xf numFmtId="0" fontId="152" fillId="0" borderId="9" xfId="501" applyFont="1" applyBorder="1" applyAlignment="1">
      <alignment vertical="center"/>
    </xf>
    <xf numFmtId="0" fontId="145" fillId="0" borderId="10" xfId="497" applyFont="1" applyFill="1" applyBorder="1">
      <alignment vertical="center"/>
    </xf>
    <xf numFmtId="0" fontId="145" fillId="0" borderId="72" xfId="497" applyFont="1" applyBorder="1" applyAlignment="1">
      <alignment horizontal="left" vertical="center"/>
    </xf>
    <xf numFmtId="0" fontId="145" fillId="0" borderId="13" xfId="497" applyFont="1" applyBorder="1" applyAlignment="1">
      <alignment horizontal="left" vertical="center"/>
    </xf>
    <xf numFmtId="0" fontId="145" fillId="0" borderId="73" xfId="497" applyFont="1" applyBorder="1" applyAlignment="1">
      <alignment horizontal="left" vertical="center"/>
    </xf>
    <xf numFmtId="0" fontId="145" fillId="0" borderId="36" xfId="497" applyFont="1" applyBorder="1">
      <alignment vertical="center"/>
    </xf>
    <xf numFmtId="0" fontId="145" fillId="0" borderId="0" xfId="499" applyFont="1" applyAlignment="1">
      <alignment horizontal="center" vertical="center"/>
    </xf>
    <xf numFmtId="0" fontId="146" fillId="0" borderId="0" xfId="499" applyFont="1" applyAlignment="1">
      <alignment horizontal="center" vertical="center"/>
    </xf>
    <xf numFmtId="0" fontId="148" fillId="0" borderId="0" xfId="499" applyFont="1" applyAlignment="1">
      <alignment horizontal="center" vertical="center"/>
    </xf>
    <xf numFmtId="0" fontId="145" fillId="0" borderId="0" xfId="499" applyFont="1" applyAlignment="1">
      <alignment horizontal="left" vertical="center"/>
    </xf>
    <xf numFmtId="0" fontId="147" fillId="0" borderId="0" xfId="499" applyFont="1" applyAlignment="1">
      <alignment horizontal="center" vertical="center"/>
    </xf>
    <xf numFmtId="14" fontId="145" fillId="0" borderId="0" xfId="499" applyNumberFormat="1" applyFont="1" applyAlignment="1">
      <alignment horizontal="center" vertical="center"/>
    </xf>
    <xf numFmtId="0" fontId="145" fillId="0" borderId="10" xfId="499" applyFont="1" applyBorder="1">
      <alignment vertical="center"/>
    </xf>
    <xf numFmtId="0" fontId="146" fillId="53" borderId="72" xfId="499" applyFont="1" applyFill="1" applyBorder="1" applyAlignment="1">
      <alignment horizontal="center" vertical="center"/>
    </xf>
    <xf numFmtId="0" fontId="146" fillId="53" borderId="13" xfId="499" applyFont="1" applyFill="1" applyBorder="1" applyAlignment="1">
      <alignment horizontal="center" vertical="center"/>
    </xf>
    <xf numFmtId="0" fontId="145" fillId="0" borderId="72" xfId="499" applyFont="1" applyBorder="1" applyAlignment="1">
      <alignment horizontal="center" vertical="center" shrinkToFit="1"/>
    </xf>
    <xf numFmtId="0" fontId="145" fillId="0" borderId="73" xfId="499" applyFont="1" applyBorder="1" applyAlignment="1">
      <alignment horizontal="center" vertical="center" shrinkToFit="1"/>
    </xf>
    <xf numFmtId="0" fontId="146" fillId="53" borderId="9" xfId="499" applyFont="1" applyFill="1" applyBorder="1" applyAlignment="1">
      <alignment horizontal="center" vertical="center"/>
    </xf>
    <xf numFmtId="0" fontId="145" fillId="0" borderId="72" xfId="499" applyFont="1" applyBorder="1" applyAlignment="1">
      <alignment horizontal="left" vertical="center"/>
    </xf>
    <xf numFmtId="0" fontId="145" fillId="0" borderId="13" xfId="499" applyFont="1" applyBorder="1" applyAlignment="1">
      <alignment horizontal="left" vertical="center"/>
    </xf>
    <xf numFmtId="0" fontId="145" fillId="0" borderId="73" xfId="499" applyFont="1" applyBorder="1" applyAlignment="1">
      <alignment horizontal="left" vertical="center"/>
    </xf>
    <xf numFmtId="0" fontId="149" fillId="53" borderId="50" xfId="499" applyFont="1" applyFill="1" applyBorder="1" applyAlignment="1">
      <alignment horizontal="center" vertical="center"/>
    </xf>
    <xf numFmtId="0" fontId="149" fillId="53" borderId="31" xfId="499" applyFont="1" applyFill="1" applyBorder="1" applyAlignment="1">
      <alignment horizontal="center" vertical="center"/>
    </xf>
    <xf numFmtId="0" fontId="149" fillId="53" borderId="50" xfId="499" applyFont="1" applyFill="1" applyBorder="1" applyAlignment="1">
      <alignment horizontal="center" vertical="center" wrapText="1"/>
    </xf>
    <xf numFmtId="0" fontId="149" fillId="53" borderId="31" xfId="499" applyFont="1" applyFill="1" applyBorder="1" applyAlignment="1">
      <alignment horizontal="center" vertical="center" wrapText="1"/>
    </xf>
    <xf numFmtId="0" fontId="149" fillId="53" borderId="51" xfId="499" applyFont="1" applyFill="1" applyBorder="1" applyAlignment="1">
      <alignment horizontal="center" vertical="center" wrapText="1"/>
    </xf>
    <xf numFmtId="0" fontId="149" fillId="53" borderId="35" xfId="499" applyFont="1" applyFill="1" applyBorder="1" applyAlignment="1">
      <alignment horizontal="center" vertical="center" wrapText="1"/>
    </xf>
    <xf numFmtId="0" fontId="150" fillId="53" borderId="40" xfId="499" applyFont="1" applyFill="1" applyBorder="1" applyAlignment="1">
      <alignment horizontal="center" vertical="center"/>
    </xf>
    <xf numFmtId="0" fontId="150" fillId="53" borderId="42" xfId="499" applyFont="1" applyFill="1" applyBorder="1" applyAlignment="1">
      <alignment horizontal="center" vertical="center"/>
    </xf>
    <xf numFmtId="0" fontId="149" fillId="53" borderId="33" xfId="499" applyFont="1" applyFill="1" applyBorder="1" applyAlignment="1">
      <alignment horizontal="center" vertical="center"/>
    </xf>
    <xf numFmtId="0" fontId="149" fillId="53" borderId="34" xfId="499" applyFont="1" applyFill="1" applyBorder="1" applyAlignment="1">
      <alignment horizontal="center" vertical="center"/>
    </xf>
    <xf numFmtId="0" fontId="145" fillId="0" borderId="0" xfId="499" applyFont="1">
      <alignment vertical="center"/>
    </xf>
    <xf numFmtId="0" fontId="146" fillId="53" borderId="72" xfId="499" applyFont="1" applyFill="1" applyBorder="1" applyAlignment="1">
      <alignment horizontal="left" vertical="center"/>
    </xf>
    <xf numFmtId="0" fontId="146" fillId="53" borderId="13" xfId="499" applyFont="1" applyFill="1" applyBorder="1" applyAlignment="1">
      <alignment horizontal="left" vertical="center"/>
    </xf>
    <xf numFmtId="0" fontId="146" fillId="53" borderId="73" xfId="499" applyFont="1" applyFill="1" applyBorder="1" applyAlignment="1">
      <alignment horizontal="left" vertical="center"/>
    </xf>
    <xf numFmtId="0" fontId="145" fillId="0" borderId="47" xfId="499" applyFont="1" applyBorder="1">
      <alignment vertical="center"/>
    </xf>
    <xf numFmtId="0" fontId="145" fillId="0" borderId="4" xfId="499" applyFont="1" applyBorder="1">
      <alignment vertical="center"/>
    </xf>
  </cellXfs>
  <cellStyles count="507">
    <cellStyle name="####" xfId="4" xr:uid="{00000000-0005-0000-0000-000000000000}"/>
    <cellStyle name="_SGS46-C仕様-6009 PP_SG仕様書" xfId="5" xr:uid="{00000000-0005-0000-0000-000001000000}"/>
    <cellStyle name="=C:\WINDOWS\SYSTEM32\COMMAND.COM" xfId="6" xr:uid="{00000000-0005-0000-0000-000002000000}"/>
    <cellStyle name="W__{_10E§" xfId="7" xr:uid="{00000000-0005-0000-0000-000003000000}"/>
    <cellStyle name="0%" xfId="8" xr:uid="{00000000-0005-0000-0000-000004000000}"/>
    <cellStyle name="0.0%" xfId="9" xr:uid="{00000000-0005-0000-0000-000005000000}"/>
    <cellStyle name="0.00%" xfId="10" xr:uid="{00000000-0005-0000-0000-000006000000}"/>
    <cellStyle name="0000" xfId="11" xr:uid="{00000000-0005-0000-0000-000007000000}"/>
    <cellStyle name="20% - アクセント 1 2" xfId="12" xr:uid="{00000000-0005-0000-0000-000008000000}"/>
    <cellStyle name="20% - アクセント 1 2 2" xfId="13" xr:uid="{00000000-0005-0000-0000-000009000000}"/>
    <cellStyle name="20% - アクセント 1 2_3.3.1  FLT_SKDL_JL__2011FEB24" xfId="14" xr:uid="{00000000-0005-0000-0000-00000A000000}"/>
    <cellStyle name="20% - アクセント 1 3" xfId="15" xr:uid="{00000000-0005-0000-0000-00000B000000}"/>
    <cellStyle name="20% - アクセント 1 4" xfId="16" xr:uid="{00000000-0005-0000-0000-00000C000000}"/>
    <cellStyle name="20% - アクセント 2 2" xfId="17" xr:uid="{00000000-0005-0000-0000-00000D000000}"/>
    <cellStyle name="20% - アクセント 2 2 2" xfId="18" xr:uid="{00000000-0005-0000-0000-00000E000000}"/>
    <cellStyle name="20% - アクセント 2 2_3.3.1  FLT_SKDL_JL__2011FEB24" xfId="19" xr:uid="{00000000-0005-0000-0000-00000F000000}"/>
    <cellStyle name="20% - アクセント 2 3" xfId="20" xr:uid="{00000000-0005-0000-0000-000010000000}"/>
    <cellStyle name="20% - アクセント 2 4" xfId="21" xr:uid="{00000000-0005-0000-0000-000011000000}"/>
    <cellStyle name="20% - アクセント 3 2" xfId="22" xr:uid="{00000000-0005-0000-0000-000012000000}"/>
    <cellStyle name="20% - アクセント 3 2 2" xfId="23" xr:uid="{00000000-0005-0000-0000-000013000000}"/>
    <cellStyle name="20% - アクセント 3 2_3.3.1  FLT_SKDL_JL__2011FEB24" xfId="24" xr:uid="{00000000-0005-0000-0000-000014000000}"/>
    <cellStyle name="20% - アクセント 3 3" xfId="25" xr:uid="{00000000-0005-0000-0000-000015000000}"/>
    <cellStyle name="20% - アクセント 3 4" xfId="26" xr:uid="{00000000-0005-0000-0000-000016000000}"/>
    <cellStyle name="20% - アクセント 4 2" xfId="27" xr:uid="{00000000-0005-0000-0000-000017000000}"/>
    <cellStyle name="20% - アクセント 4 2 2" xfId="28" xr:uid="{00000000-0005-0000-0000-000018000000}"/>
    <cellStyle name="20% - アクセント 4 2_3.3.1  FLT_SKDL_JL__2011FEB24" xfId="29" xr:uid="{00000000-0005-0000-0000-000019000000}"/>
    <cellStyle name="20% - アクセント 4 3" xfId="30" xr:uid="{00000000-0005-0000-0000-00001A000000}"/>
    <cellStyle name="20% - アクセント 4 4" xfId="31" xr:uid="{00000000-0005-0000-0000-00001B000000}"/>
    <cellStyle name="20% - アクセント 5 2" xfId="32" xr:uid="{00000000-0005-0000-0000-00001C000000}"/>
    <cellStyle name="20% - アクセント 5 2 2" xfId="33" xr:uid="{00000000-0005-0000-0000-00001D000000}"/>
    <cellStyle name="20% - アクセント 5 2_3.3.1  FLT_SKDL_JL__2011FEB24" xfId="34" xr:uid="{00000000-0005-0000-0000-00001E000000}"/>
    <cellStyle name="20% - アクセント 5 3" xfId="35" xr:uid="{00000000-0005-0000-0000-00001F000000}"/>
    <cellStyle name="20% - アクセント 5 4" xfId="36" xr:uid="{00000000-0005-0000-0000-000020000000}"/>
    <cellStyle name="20% - アクセント 6 2" xfId="37" xr:uid="{00000000-0005-0000-0000-000021000000}"/>
    <cellStyle name="20% - アクセント 6 2 2" xfId="38" xr:uid="{00000000-0005-0000-0000-000022000000}"/>
    <cellStyle name="20% - アクセント 6 2_3.3.1  FLT_SKDL_JL__2011FEB24" xfId="39" xr:uid="{00000000-0005-0000-0000-000023000000}"/>
    <cellStyle name="20% - アクセント 6 3" xfId="40" xr:uid="{00000000-0005-0000-0000-000024000000}"/>
    <cellStyle name="20% - アクセント 6 4" xfId="41" xr:uid="{00000000-0005-0000-0000-000025000000}"/>
    <cellStyle name="40% - アクセント 1 2" xfId="42" xr:uid="{00000000-0005-0000-0000-000026000000}"/>
    <cellStyle name="40% - アクセント 1 2 2" xfId="43" xr:uid="{00000000-0005-0000-0000-000027000000}"/>
    <cellStyle name="40% - アクセント 1 2_3.3.1  FLT_SKDL_JL__2011FEB24" xfId="44" xr:uid="{00000000-0005-0000-0000-000028000000}"/>
    <cellStyle name="40% - アクセント 1 3" xfId="45" xr:uid="{00000000-0005-0000-0000-000029000000}"/>
    <cellStyle name="40% - アクセント 1 4" xfId="46" xr:uid="{00000000-0005-0000-0000-00002A000000}"/>
    <cellStyle name="40% - アクセント 2 2" xfId="47" xr:uid="{00000000-0005-0000-0000-00002B000000}"/>
    <cellStyle name="40% - アクセント 2 2 2" xfId="48" xr:uid="{00000000-0005-0000-0000-00002C000000}"/>
    <cellStyle name="40% - アクセント 2 2_3.3.1  FLT_SKDL_JL__2011FEB24" xfId="49" xr:uid="{00000000-0005-0000-0000-00002D000000}"/>
    <cellStyle name="40% - アクセント 2 3" xfId="50" xr:uid="{00000000-0005-0000-0000-00002E000000}"/>
    <cellStyle name="40% - アクセント 2 4" xfId="51" xr:uid="{00000000-0005-0000-0000-00002F000000}"/>
    <cellStyle name="40% - アクセント 3 2" xfId="52" xr:uid="{00000000-0005-0000-0000-000030000000}"/>
    <cellStyle name="40% - アクセント 3 2 2" xfId="53" xr:uid="{00000000-0005-0000-0000-000031000000}"/>
    <cellStyle name="40% - アクセント 3 2_3.3.1  FLT_SKDL_JL__2011FEB24" xfId="54" xr:uid="{00000000-0005-0000-0000-000032000000}"/>
    <cellStyle name="40% - アクセント 3 3" xfId="55" xr:uid="{00000000-0005-0000-0000-000033000000}"/>
    <cellStyle name="40% - アクセント 3 4" xfId="56" xr:uid="{00000000-0005-0000-0000-000034000000}"/>
    <cellStyle name="40% - アクセント 4 2" xfId="57" xr:uid="{00000000-0005-0000-0000-000035000000}"/>
    <cellStyle name="40% - アクセント 4 2 2" xfId="58" xr:uid="{00000000-0005-0000-0000-000036000000}"/>
    <cellStyle name="40% - アクセント 4 2_3.3.1  FLT_SKDL_JL__2011FEB24" xfId="59" xr:uid="{00000000-0005-0000-0000-000037000000}"/>
    <cellStyle name="40% - アクセント 4 3" xfId="60" xr:uid="{00000000-0005-0000-0000-000038000000}"/>
    <cellStyle name="40% - アクセント 4 4" xfId="61" xr:uid="{00000000-0005-0000-0000-000039000000}"/>
    <cellStyle name="40% - アクセント 5 2" xfId="62" xr:uid="{00000000-0005-0000-0000-00003A000000}"/>
    <cellStyle name="40% - アクセント 5 2 2" xfId="63" xr:uid="{00000000-0005-0000-0000-00003B000000}"/>
    <cellStyle name="40% - アクセント 5 2_3.3.1  FLT_SKDL_JL__2011FEB24" xfId="64" xr:uid="{00000000-0005-0000-0000-00003C000000}"/>
    <cellStyle name="40% - アクセント 5 3" xfId="65" xr:uid="{00000000-0005-0000-0000-00003D000000}"/>
    <cellStyle name="40% - アクセント 5 4" xfId="66" xr:uid="{00000000-0005-0000-0000-00003E000000}"/>
    <cellStyle name="40% - アクセント 6 2" xfId="67" xr:uid="{00000000-0005-0000-0000-00003F000000}"/>
    <cellStyle name="40% - アクセント 6 2 2" xfId="68" xr:uid="{00000000-0005-0000-0000-000040000000}"/>
    <cellStyle name="40% - アクセント 6 2_3.3.1  FLT_SKDL_JL__2011FEB24" xfId="69" xr:uid="{00000000-0005-0000-0000-000041000000}"/>
    <cellStyle name="40% - アクセント 6 3" xfId="70" xr:uid="{00000000-0005-0000-0000-000042000000}"/>
    <cellStyle name="40% - アクセント 6 4" xfId="71" xr:uid="{00000000-0005-0000-0000-000043000000}"/>
    <cellStyle name="60% - アクセント 1 2" xfId="72" xr:uid="{00000000-0005-0000-0000-000044000000}"/>
    <cellStyle name="60% - アクセント 1 2 2" xfId="73" xr:uid="{00000000-0005-0000-0000-000045000000}"/>
    <cellStyle name="60% - アクセント 1 2_3.3.1  FLT_SKDL_JL__2011FEB24" xfId="74" xr:uid="{00000000-0005-0000-0000-000046000000}"/>
    <cellStyle name="60% - アクセント 1 3" xfId="75" xr:uid="{00000000-0005-0000-0000-000047000000}"/>
    <cellStyle name="60% - アクセント 1 4" xfId="76" xr:uid="{00000000-0005-0000-0000-000048000000}"/>
    <cellStyle name="60% - アクセント 2 2" xfId="77" xr:uid="{00000000-0005-0000-0000-000049000000}"/>
    <cellStyle name="60% - アクセント 2 2 2" xfId="78" xr:uid="{00000000-0005-0000-0000-00004A000000}"/>
    <cellStyle name="60% - アクセント 2 2_3.3.1  FLT_SKDL_JL__2011FEB24" xfId="79" xr:uid="{00000000-0005-0000-0000-00004B000000}"/>
    <cellStyle name="60% - アクセント 2 3" xfId="80" xr:uid="{00000000-0005-0000-0000-00004C000000}"/>
    <cellStyle name="60% - アクセント 2 4" xfId="81" xr:uid="{00000000-0005-0000-0000-00004D000000}"/>
    <cellStyle name="60% - アクセント 3 2" xfId="82" xr:uid="{00000000-0005-0000-0000-00004E000000}"/>
    <cellStyle name="60% - アクセント 3 2 2" xfId="83" xr:uid="{00000000-0005-0000-0000-00004F000000}"/>
    <cellStyle name="60% - アクセント 3 2_3.3.1  FLT_SKDL_JL__2011FEB24" xfId="84" xr:uid="{00000000-0005-0000-0000-000050000000}"/>
    <cellStyle name="60% - アクセント 3 3" xfId="85" xr:uid="{00000000-0005-0000-0000-000051000000}"/>
    <cellStyle name="60% - アクセント 3 4" xfId="86" xr:uid="{00000000-0005-0000-0000-000052000000}"/>
    <cellStyle name="60% - アクセント 4 2" xfId="87" xr:uid="{00000000-0005-0000-0000-000053000000}"/>
    <cellStyle name="60% - アクセント 4 2 2" xfId="88" xr:uid="{00000000-0005-0000-0000-000054000000}"/>
    <cellStyle name="60% - アクセント 4 2_3.3.1  FLT_SKDL_JL__2011FEB24" xfId="89" xr:uid="{00000000-0005-0000-0000-000055000000}"/>
    <cellStyle name="60% - アクセント 4 3" xfId="90" xr:uid="{00000000-0005-0000-0000-000056000000}"/>
    <cellStyle name="60% - アクセント 4 4" xfId="91" xr:uid="{00000000-0005-0000-0000-000057000000}"/>
    <cellStyle name="60% - アクセント 5 2" xfId="92" xr:uid="{00000000-0005-0000-0000-000058000000}"/>
    <cellStyle name="60% - アクセント 5 2 2" xfId="93" xr:uid="{00000000-0005-0000-0000-000059000000}"/>
    <cellStyle name="60% - アクセント 5 2_3.3.1  FLT_SKDL_JL__2011FEB24" xfId="94" xr:uid="{00000000-0005-0000-0000-00005A000000}"/>
    <cellStyle name="60% - アクセント 5 3" xfId="95" xr:uid="{00000000-0005-0000-0000-00005B000000}"/>
    <cellStyle name="60% - アクセント 5 4" xfId="96" xr:uid="{00000000-0005-0000-0000-00005C000000}"/>
    <cellStyle name="60% - アクセント 6 2" xfId="97" xr:uid="{00000000-0005-0000-0000-00005D000000}"/>
    <cellStyle name="60% - アクセント 6 2 2" xfId="98" xr:uid="{00000000-0005-0000-0000-00005E000000}"/>
    <cellStyle name="60% - アクセント 6 2_3.3.1  FLT_SKDL_JL__2011FEB24" xfId="99" xr:uid="{00000000-0005-0000-0000-00005F000000}"/>
    <cellStyle name="60% - アクセント 6 3" xfId="100" xr:uid="{00000000-0005-0000-0000-000060000000}"/>
    <cellStyle name="60% - アクセント 6 4" xfId="101" xr:uid="{00000000-0005-0000-0000-000061000000}"/>
    <cellStyle name="ATM開放システム" xfId="102" xr:uid="{00000000-0005-0000-0000-000062000000}"/>
    <cellStyle name="Background" xfId="103" xr:uid="{00000000-0005-0000-0000-000063000000}"/>
    <cellStyle name="BD標準" xfId="104" xr:uid="{00000000-0005-0000-0000-000064000000}"/>
    <cellStyle name="Body" xfId="105" xr:uid="{00000000-0005-0000-0000-000065000000}"/>
    <cellStyle name="Border" xfId="106" xr:uid="{00000000-0005-0000-0000-000066000000}"/>
    <cellStyle name="Calc Currency (0)" xfId="107" xr:uid="{00000000-0005-0000-0000-000067000000}"/>
    <cellStyle name="Calc Currency (2)" xfId="108" xr:uid="{00000000-0005-0000-0000-000068000000}"/>
    <cellStyle name="Calc Percent (0)" xfId="109" xr:uid="{00000000-0005-0000-0000-000069000000}"/>
    <cellStyle name="Calc Percent (1)" xfId="110" xr:uid="{00000000-0005-0000-0000-00006A000000}"/>
    <cellStyle name="Calc Percent (2)" xfId="111" xr:uid="{00000000-0005-0000-0000-00006B000000}"/>
    <cellStyle name="Calc Units (0)" xfId="112" xr:uid="{00000000-0005-0000-0000-00006C000000}"/>
    <cellStyle name="Calc Units (1)" xfId="113" xr:uid="{00000000-0005-0000-0000-00006D000000}"/>
    <cellStyle name="Calc Units (2)" xfId="114" xr:uid="{00000000-0005-0000-0000-00006E000000}"/>
    <cellStyle name="category" xfId="115" xr:uid="{00000000-0005-0000-0000-00006F000000}"/>
    <cellStyle name="Col Heads" xfId="116" xr:uid="{00000000-0005-0000-0000-000070000000}"/>
    <cellStyle name="Comma [0]" xfId="117" xr:uid="{00000000-0005-0000-0000-000071000000}"/>
    <cellStyle name="Comma [00]" xfId="118" xr:uid="{00000000-0005-0000-0000-000072000000}"/>
    <cellStyle name="comma zerodec" xfId="119" xr:uid="{00000000-0005-0000-0000-000073000000}"/>
    <cellStyle name="Comma,0" xfId="120" xr:uid="{00000000-0005-0000-0000-000074000000}"/>
    <cellStyle name="Comma,1" xfId="121" xr:uid="{00000000-0005-0000-0000-000075000000}"/>
    <cellStyle name="Comma,2" xfId="122" xr:uid="{00000000-0005-0000-0000-000076000000}"/>
    <cellStyle name="Comma_#6 Temps &amp; Contractors" xfId="123" xr:uid="{00000000-0005-0000-0000-000077000000}"/>
    <cellStyle name="Currency [0]" xfId="124" xr:uid="{00000000-0005-0000-0000-000078000000}"/>
    <cellStyle name="Currency [00]" xfId="125" xr:uid="{00000000-0005-0000-0000-000079000000}"/>
    <cellStyle name="Currency,0" xfId="126" xr:uid="{00000000-0005-0000-0000-00007A000000}"/>
    <cellStyle name="Currency,2" xfId="127" xr:uid="{00000000-0005-0000-0000-00007B000000}"/>
    <cellStyle name="Currency_#6 Temps &amp; Contractors" xfId="128" xr:uid="{00000000-0005-0000-0000-00007C000000}"/>
    <cellStyle name="Currency1" xfId="129" xr:uid="{00000000-0005-0000-0000-00007D000000}"/>
    <cellStyle name="custom" xfId="130" xr:uid="{00000000-0005-0000-0000-00007E000000}"/>
    <cellStyle name="Date Short" xfId="131" xr:uid="{00000000-0005-0000-0000-00007F000000}"/>
    <cellStyle name="Dollar (zero dec)" xfId="132" xr:uid="{00000000-0005-0000-0000-000080000000}"/>
    <cellStyle name="Enter Currency (0)" xfId="133" xr:uid="{00000000-0005-0000-0000-000081000000}"/>
    <cellStyle name="Enter Currency (2)" xfId="134" xr:uid="{00000000-0005-0000-0000-000082000000}"/>
    <cellStyle name="Enter Units (0)" xfId="135" xr:uid="{00000000-0005-0000-0000-000083000000}"/>
    <cellStyle name="Enter Units (1)" xfId="136" xr:uid="{00000000-0005-0000-0000-000084000000}"/>
    <cellStyle name="Enter Units (2)" xfId="137" xr:uid="{00000000-0005-0000-0000-000085000000}"/>
    <cellStyle name="entry" xfId="138" xr:uid="{00000000-0005-0000-0000-000086000000}"/>
    <cellStyle name="Followed Hyperlink" xfId="139" xr:uid="{00000000-0005-0000-0000-000087000000}"/>
    <cellStyle name="Grey" xfId="140" xr:uid="{00000000-0005-0000-0000-000088000000}"/>
    <cellStyle name="Head 1" xfId="141" xr:uid="{00000000-0005-0000-0000-000089000000}"/>
    <cellStyle name="HEADER" xfId="142" xr:uid="{00000000-0005-0000-0000-00008A000000}"/>
    <cellStyle name="Header1" xfId="143" xr:uid="{00000000-0005-0000-0000-00008B000000}"/>
    <cellStyle name="Header2" xfId="144" xr:uid="{00000000-0005-0000-0000-00008C000000}"/>
    <cellStyle name="hPrepKei1" xfId="145" xr:uid="{00000000-0005-0000-0000-00008D000000}"/>
    <cellStyle name="hPrepKei2" xfId="146" xr:uid="{00000000-0005-0000-0000-00008E000000}"/>
    <cellStyle name="hPrepMei1" xfId="147" xr:uid="{00000000-0005-0000-0000-00008F000000}"/>
    <cellStyle name="hPrepMei2" xfId="148" xr:uid="{00000000-0005-0000-0000-000090000000}"/>
    <cellStyle name="hPrepStd" xfId="149" xr:uid="{00000000-0005-0000-0000-000091000000}"/>
    <cellStyle name="hPrepStd1" xfId="150" xr:uid="{00000000-0005-0000-0000-000092000000}"/>
    <cellStyle name="hPrepStd2" xfId="151" xr:uid="{00000000-0005-0000-0000-000093000000}"/>
    <cellStyle name="hPrepStd3" xfId="152" xr:uid="{00000000-0005-0000-0000-000094000000}"/>
    <cellStyle name="Hyperlink" xfId="153" xr:uid="{00000000-0005-0000-0000-000095000000}"/>
    <cellStyle name="IBM(401K)" xfId="154" xr:uid="{00000000-0005-0000-0000-000096000000}"/>
    <cellStyle name="Input [yellow]" xfId="155" xr:uid="{00000000-0005-0000-0000-000097000000}"/>
    <cellStyle name="J401K" xfId="156" xr:uid="{00000000-0005-0000-0000-000098000000}"/>
    <cellStyle name="JT帳票" xfId="157" xr:uid="{00000000-0005-0000-0000-000099000000}"/>
    <cellStyle name="KWE標準" xfId="158" xr:uid="{00000000-0005-0000-0000-00009A000000}"/>
    <cellStyle name="Link Currency (0)" xfId="159" xr:uid="{00000000-0005-0000-0000-00009B000000}"/>
    <cellStyle name="Link Currency (2)" xfId="160" xr:uid="{00000000-0005-0000-0000-00009C000000}"/>
    <cellStyle name="Link Units (0)" xfId="161" xr:uid="{00000000-0005-0000-0000-00009D000000}"/>
    <cellStyle name="Link Units (1)" xfId="162" xr:uid="{00000000-0005-0000-0000-00009E000000}"/>
    <cellStyle name="Link Units (2)" xfId="163" xr:uid="{00000000-0005-0000-0000-00009F000000}"/>
    <cellStyle name="Milliers [0]_AR1194" xfId="164" xr:uid="{00000000-0005-0000-0000-0000A0000000}"/>
    <cellStyle name="Milliers_AR1194" xfId="165" xr:uid="{00000000-0005-0000-0000-0000A1000000}"/>
    <cellStyle name="Model" xfId="166" xr:uid="{00000000-0005-0000-0000-0000A2000000}"/>
    <cellStyle name="Mon騁aire [0]_AR1194" xfId="167" xr:uid="{00000000-0005-0000-0000-0000A3000000}"/>
    <cellStyle name="Mon騁aire_AR1194" xfId="168" xr:uid="{00000000-0005-0000-0000-0000A4000000}"/>
    <cellStyle name="no dec" xfId="169" xr:uid="{00000000-0005-0000-0000-0000A5000000}"/>
    <cellStyle name="Normal - Style1" xfId="170" xr:uid="{00000000-0005-0000-0000-0000A6000000}"/>
    <cellStyle name="Normal_# 41-Market &amp;Trends" xfId="171" xr:uid="{00000000-0005-0000-0000-0000A7000000}"/>
    <cellStyle name="oft Excel]_x000d__x000a_Options5=1667_x000d__x000a_Options3=0_x000d__x000a_Basics=1_x000d__x000a_USER=アサヒ_x000d__x000a_CBTLOCATION=A:\MSOFFICE\EXCEL5\EXCELCBT_x000d__x000a_Pos=5,14,628" xfId="172" xr:uid="{00000000-0005-0000-0000-0000A8000000}"/>
    <cellStyle name="ParaBirimi [0]_RESULTS" xfId="173" xr:uid="{00000000-0005-0000-0000-0000A9000000}"/>
    <cellStyle name="ParaBirimi_RESULTS" xfId="174" xr:uid="{00000000-0005-0000-0000-0000AA000000}"/>
    <cellStyle name="Percent [0]" xfId="175" xr:uid="{00000000-0005-0000-0000-0000AB000000}"/>
    <cellStyle name="Percent [00]" xfId="176" xr:uid="{00000000-0005-0000-0000-0000AC000000}"/>
    <cellStyle name="Percent [2]" xfId="177" xr:uid="{00000000-0005-0000-0000-0000AD000000}"/>
    <cellStyle name="Percent_#6 Temps &amp; Contractors" xfId="178" xr:uid="{00000000-0005-0000-0000-0000AE000000}"/>
    <cellStyle name="PrepKei1" xfId="179" xr:uid="{00000000-0005-0000-0000-0000AF000000}"/>
    <cellStyle name="PrepMei1" xfId="180" xr:uid="{00000000-0005-0000-0000-0000B0000000}"/>
    <cellStyle name="PrepMei2" xfId="181" xr:uid="{00000000-0005-0000-0000-0000B1000000}"/>
    <cellStyle name="PrepMei3" xfId="182" xr:uid="{00000000-0005-0000-0000-0000B2000000}"/>
    <cellStyle name="PrepMei4" xfId="183" xr:uid="{00000000-0005-0000-0000-0000B3000000}"/>
    <cellStyle name="PrePop Currency (0)" xfId="184" xr:uid="{00000000-0005-0000-0000-0000B4000000}"/>
    <cellStyle name="PrePop Currency (2)" xfId="185" xr:uid="{00000000-0005-0000-0000-0000B5000000}"/>
    <cellStyle name="PrePop Units (0)" xfId="186" xr:uid="{00000000-0005-0000-0000-0000B6000000}"/>
    <cellStyle name="PrePop Units (1)" xfId="187" xr:uid="{00000000-0005-0000-0000-0000B7000000}"/>
    <cellStyle name="PrePop Units (2)" xfId="188" xr:uid="{00000000-0005-0000-0000-0000B8000000}"/>
    <cellStyle name="PrepStd" xfId="189" xr:uid="{00000000-0005-0000-0000-0000B9000000}"/>
    <cellStyle name="PrepStd1" xfId="190" xr:uid="{00000000-0005-0000-0000-0000BA000000}"/>
    <cellStyle name="price" xfId="191" xr:uid="{00000000-0005-0000-0000-0000BB000000}"/>
    <cellStyle name="PSChar" xfId="192" xr:uid="{00000000-0005-0000-0000-0000BC000000}"/>
    <cellStyle name="revised" xfId="193" xr:uid="{00000000-0005-0000-0000-0000BD000000}"/>
    <cellStyle name="SAPBEXaggData" xfId="194" xr:uid="{00000000-0005-0000-0000-0000BE000000}"/>
    <cellStyle name="SAPBEXaggData 2" xfId="195" xr:uid="{00000000-0005-0000-0000-0000BF000000}"/>
    <cellStyle name="SAPBEXaggData 3" xfId="196" xr:uid="{00000000-0005-0000-0000-0000C0000000}"/>
    <cellStyle name="SAPBEXaggData_統合ＤＢ　２０１０年11月成果物ＤＢ" xfId="197" xr:uid="{00000000-0005-0000-0000-0000C1000000}"/>
    <cellStyle name="SAPBEXaggDataEmph" xfId="198" xr:uid="{00000000-0005-0000-0000-0000C2000000}"/>
    <cellStyle name="SAPBEXaggDataEmph 2" xfId="199" xr:uid="{00000000-0005-0000-0000-0000C3000000}"/>
    <cellStyle name="SAPBEXaggDataEmph 3" xfId="200" xr:uid="{00000000-0005-0000-0000-0000C4000000}"/>
    <cellStyle name="SAPBEXaggDataEmph_統合ＤＢ　２０１０年11月成果物ＤＢ" xfId="201" xr:uid="{00000000-0005-0000-0000-0000C5000000}"/>
    <cellStyle name="SAPBEXaggItem" xfId="202" xr:uid="{00000000-0005-0000-0000-0000C6000000}"/>
    <cellStyle name="SAPBEXaggItem 2" xfId="203" xr:uid="{00000000-0005-0000-0000-0000C7000000}"/>
    <cellStyle name="SAPBEXaggItem 3" xfId="204" xr:uid="{00000000-0005-0000-0000-0000C8000000}"/>
    <cellStyle name="SAPBEXaggItem_統合ＤＢ　２０１０年11月成果物ＤＢ" xfId="205" xr:uid="{00000000-0005-0000-0000-0000C9000000}"/>
    <cellStyle name="SAPBEXaggItemX" xfId="206" xr:uid="{00000000-0005-0000-0000-0000CA000000}"/>
    <cellStyle name="SAPBEXchaText" xfId="207" xr:uid="{00000000-0005-0000-0000-0000CB000000}"/>
    <cellStyle name="SAPBEXchaText 2" xfId="208" xr:uid="{00000000-0005-0000-0000-0000CC000000}"/>
    <cellStyle name="SAPBEXchaText 3" xfId="209" xr:uid="{00000000-0005-0000-0000-0000CD000000}"/>
    <cellStyle name="SAPBEXchaText_統合ＤＢ　２０１０年11月成果物ＤＢ" xfId="210" xr:uid="{00000000-0005-0000-0000-0000CE000000}"/>
    <cellStyle name="SAPBEXexcBad" xfId="211" xr:uid="{00000000-0005-0000-0000-0000CF000000}"/>
    <cellStyle name="SAPBEXexcBad7" xfId="212" xr:uid="{00000000-0005-0000-0000-0000D0000000}"/>
    <cellStyle name="SAPBEXexcBad8" xfId="213" xr:uid="{00000000-0005-0000-0000-0000D1000000}"/>
    <cellStyle name="SAPBEXexcBad9" xfId="214" xr:uid="{00000000-0005-0000-0000-0000D2000000}"/>
    <cellStyle name="SAPBEXexcCritical" xfId="215" xr:uid="{00000000-0005-0000-0000-0000D3000000}"/>
    <cellStyle name="SAPBEXexcCritical4" xfId="216" xr:uid="{00000000-0005-0000-0000-0000D4000000}"/>
    <cellStyle name="SAPBEXexcCritical5" xfId="217" xr:uid="{00000000-0005-0000-0000-0000D5000000}"/>
    <cellStyle name="SAPBEXexcCritical6" xfId="218" xr:uid="{00000000-0005-0000-0000-0000D6000000}"/>
    <cellStyle name="SAPBEXexcGood" xfId="219" xr:uid="{00000000-0005-0000-0000-0000D7000000}"/>
    <cellStyle name="SAPBEXexcGood1" xfId="220" xr:uid="{00000000-0005-0000-0000-0000D8000000}"/>
    <cellStyle name="SAPBEXexcGood2" xfId="221" xr:uid="{00000000-0005-0000-0000-0000D9000000}"/>
    <cellStyle name="SAPBEXexcGood3" xfId="222" xr:uid="{00000000-0005-0000-0000-0000DA000000}"/>
    <cellStyle name="SAPBEXexcVeryBad" xfId="223" xr:uid="{00000000-0005-0000-0000-0000DB000000}"/>
    <cellStyle name="SAPBEXfilterDrill" xfId="224" xr:uid="{00000000-0005-0000-0000-0000DC000000}"/>
    <cellStyle name="SAPBEXfilterDrill 2" xfId="225" xr:uid="{00000000-0005-0000-0000-0000DD000000}"/>
    <cellStyle name="SAPBEXfilterDrill 3" xfId="226" xr:uid="{00000000-0005-0000-0000-0000DE000000}"/>
    <cellStyle name="SAPBEXfilterDrill_統合ＤＢ　２０１０年11月成果物ＤＢ" xfId="227" xr:uid="{00000000-0005-0000-0000-0000DF000000}"/>
    <cellStyle name="SAPBEXfilterItem" xfId="228" xr:uid="{00000000-0005-0000-0000-0000E0000000}"/>
    <cellStyle name="SAPBEXfilterItem 2" xfId="229" xr:uid="{00000000-0005-0000-0000-0000E1000000}"/>
    <cellStyle name="SAPBEXfilterItem 3" xfId="230" xr:uid="{00000000-0005-0000-0000-0000E2000000}"/>
    <cellStyle name="SAPBEXfilterItem_統合ＤＢ　２０１０年11月成果物ＤＢ" xfId="231" xr:uid="{00000000-0005-0000-0000-0000E3000000}"/>
    <cellStyle name="SAPBEXfilterText" xfId="232" xr:uid="{00000000-0005-0000-0000-0000E4000000}"/>
    <cellStyle name="SAPBEXfilterText 2" xfId="233" xr:uid="{00000000-0005-0000-0000-0000E5000000}"/>
    <cellStyle name="SAPBEXfilterText 3" xfId="234" xr:uid="{00000000-0005-0000-0000-0000E6000000}"/>
    <cellStyle name="SAPBEXfilterText_統合ＤＢ　２０１０年11月成果物ＤＢ" xfId="235" xr:uid="{00000000-0005-0000-0000-0000E7000000}"/>
    <cellStyle name="SAPBEXformats" xfId="236" xr:uid="{00000000-0005-0000-0000-0000E8000000}"/>
    <cellStyle name="SAPBEXformats 2" xfId="237" xr:uid="{00000000-0005-0000-0000-0000E9000000}"/>
    <cellStyle name="SAPBEXformats 3" xfId="238" xr:uid="{00000000-0005-0000-0000-0000EA000000}"/>
    <cellStyle name="SAPBEXformats_統合ＤＢ　２０１０年11月成果物ＤＢ" xfId="239" xr:uid="{00000000-0005-0000-0000-0000EB000000}"/>
    <cellStyle name="SAPBEXheaderData" xfId="240" xr:uid="{00000000-0005-0000-0000-0000EC000000}"/>
    <cellStyle name="SAPBEXheaderItem" xfId="241" xr:uid="{00000000-0005-0000-0000-0000ED000000}"/>
    <cellStyle name="SAPBEXheaderItem 2" xfId="242" xr:uid="{00000000-0005-0000-0000-0000EE000000}"/>
    <cellStyle name="SAPBEXheaderItem 3" xfId="243" xr:uid="{00000000-0005-0000-0000-0000EF000000}"/>
    <cellStyle name="SAPBEXheaderItem_統合ＤＢ　２０１０年11月成果物ＤＢ" xfId="244" xr:uid="{00000000-0005-0000-0000-0000F0000000}"/>
    <cellStyle name="SAPBEXheaderText" xfId="245" xr:uid="{00000000-0005-0000-0000-0000F1000000}"/>
    <cellStyle name="SAPBEXheaderText 2" xfId="246" xr:uid="{00000000-0005-0000-0000-0000F2000000}"/>
    <cellStyle name="SAPBEXheaderText 3" xfId="247" xr:uid="{00000000-0005-0000-0000-0000F3000000}"/>
    <cellStyle name="SAPBEXheaderText_統合ＤＢ　２０１０年11月成果物ＤＢ" xfId="248" xr:uid="{00000000-0005-0000-0000-0000F4000000}"/>
    <cellStyle name="SAPBEXHLevel0" xfId="249" xr:uid="{00000000-0005-0000-0000-0000F5000000}"/>
    <cellStyle name="SAPBEXHLevel0X" xfId="250" xr:uid="{00000000-0005-0000-0000-0000F6000000}"/>
    <cellStyle name="SAPBEXHLevel1" xfId="251" xr:uid="{00000000-0005-0000-0000-0000F7000000}"/>
    <cellStyle name="SAPBEXHLevel1X" xfId="252" xr:uid="{00000000-0005-0000-0000-0000F8000000}"/>
    <cellStyle name="SAPBEXHLevel2" xfId="253" xr:uid="{00000000-0005-0000-0000-0000F9000000}"/>
    <cellStyle name="SAPBEXHLevel2X" xfId="254" xr:uid="{00000000-0005-0000-0000-0000FA000000}"/>
    <cellStyle name="SAPBEXHLevel3" xfId="255" xr:uid="{00000000-0005-0000-0000-0000FB000000}"/>
    <cellStyle name="SAPBEXHLevel3X" xfId="256" xr:uid="{00000000-0005-0000-0000-0000FC000000}"/>
    <cellStyle name="SAPBEXresData" xfId="257" xr:uid="{00000000-0005-0000-0000-0000FD000000}"/>
    <cellStyle name="SAPBEXresData 2" xfId="258" xr:uid="{00000000-0005-0000-0000-0000FE000000}"/>
    <cellStyle name="SAPBEXresData 3" xfId="259" xr:uid="{00000000-0005-0000-0000-0000FF000000}"/>
    <cellStyle name="SAPBEXresData_統合ＤＢ　２０１０年11月成果物ＤＢ" xfId="260" xr:uid="{00000000-0005-0000-0000-000000010000}"/>
    <cellStyle name="SAPBEXresDataEmph" xfId="261" xr:uid="{00000000-0005-0000-0000-000001010000}"/>
    <cellStyle name="SAPBEXresDataEmph 2" xfId="262" xr:uid="{00000000-0005-0000-0000-000002010000}"/>
    <cellStyle name="SAPBEXresDataEmph 3" xfId="263" xr:uid="{00000000-0005-0000-0000-000003010000}"/>
    <cellStyle name="SAPBEXresDataEmph_統合ＤＢ　２０１０年11月成果物ＤＢ" xfId="264" xr:uid="{00000000-0005-0000-0000-000004010000}"/>
    <cellStyle name="SAPBEXresItem" xfId="265" xr:uid="{00000000-0005-0000-0000-000005010000}"/>
    <cellStyle name="SAPBEXresItem 2" xfId="266" xr:uid="{00000000-0005-0000-0000-000006010000}"/>
    <cellStyle name="SAPBEXresItem 3" xfId="267" xr:uid="{00000000-0005-0000-0000-000007010000}"/>
    <cellStyle name="SAPBEXresItem_統合ＤＢ　２０１０年11月成果物ＤＢ" xfId="268" xr:uid="{00000000-0005-0000-0000-000008010000}"/>
    <cellStyle name="SAPBEXresItemX" xfId="269" xr:uid="{00000000-0005-0000-0000-000009010000}"/>
    <cellStyle name="SAPBEXstdData" xfId="270" xr:uid="{00000000-0005-0000-0000-00000A010000}"/>
    <cellStyle name="SAPBEXstdData 2" xfId="271" xr:uid="{00000000-0005-0000-0000-00000B010000}"/>
    <cellStyle name="SAPBEXstdData 3" xfId="272" xr:uid="{00000000-0005-0000-0000-00000C010000}"/>
    <cellStyle name="SAPBEXstdData_統合ＤＢ　２０１０年11月成果物ＤＢ" xfId="273" xr:uid="{00000000-0005-0000-0000-00000D010000}"/>
    <cellStyle name="SAPBEXstdDataEmph" xfId="274" xr:uid="{00000000-0005-0000-0000-00000E010000}"/>
    <cellStyle name="SAPBEXstdDataEmph 2" xfId="275" xr:uid="{00000000-0005-0000-0000-00000F010000}"/>
    <cellStyle name="SAPBEXstdDataEmph 3" xfId="276" xr:uid="{00000000-0005-0000-0000-000010010000}"/>
    <cellStyle name="SAPBEXstdDataEmph_統合ＤＢ　２０１０年11月成果物ＤＢ" xfId="277" xr:uid="{00000000-0005-0000-0000-000011010000}"/>
    <cellStyle name="SAPBEXstdItem" xfId="278" xr:uid="{00000000-0005-0000-0000-000012010000}"/>
    <cellStyle name="SAPBEXstdItem 2" xfId="279" xr:uid="{00000000-0005-0000-0000-000013010000}"/>
    <cellStyle name="SAPBEXstdItem 3" xfId="280" xr:uid="{00000000-0005-0000-0000-000014010000}"/>
    <cellStyle name="SAPBEXstdItem_統合ＤＢ　２０１０年11月成果物ＤＢ" xfId="281" xr:uid="{00000000-0005-0000-0000-000015010000}"/>
    <cellStyle name="SAPBEXstdItemX" xfId="282" xr:uid="{00000000-0005-0000-0000-000016010000}"/>
    <cellStyle name="SAPBEXsubData" xfId="283" xr:uid="{00000000-0005-0000-0000-000017010000}"/>
    <cellStyle name="SAPBEXsubDataEmph" xfId="284" xr:uid="{00000000-0005-0000-0000-000018010000}"/>
    <cellStyle name="SAPBEXsubItem" xfId="285" xr:uid="{00000000-0005-0000-0000-000019010000}"/>
    <cellStyle name="SAPBEXtitle" xfId="286" xr:uid="{00000000-0005-0000-0000-00001A010000}"/>
    <cellStyle name="SAPBEXtitle 2" xfId="287" xr:uid="{00000000-0005-0000-0000-00001B010000}"/>
    <cellStyle name="SAPBEXtitle 3" xfId="288" xr:uid="{00000000-0005-0000-0000-00001C010000}"/>
    <cellStyle name="SAPBEXtitle_統合ＤＢ　２０１０年11月成果物ＤＢ" xfId="289" xr:uid="{00000000-0005-0000-0000-00001D010000}"/>
    <cellStyle name="SAPBEXundefined" xfId="290" xr:uid="{00000000-0005-0000-0000-00001E010000}"/>
    <cellStyle name="SAPBEXundefined 2" xfId="291" xr:uid="{00000000-0005-0000-0000-00001F010000}"/>
    <cellStyle name="SAPBEXundefined 3" xfId="292" xr:uid="{00000000-0005-0000-0000-000020010000}"/>
    <cellStyle name="SAPBEXundefined_統合ＤＢ　２０１０年11月成果物ＤＢ" xfId="293" xr:uid="{00000000-0005-0000-0000-000021010000}"/>
    <cellStyle name="section" xfId="294" xr:uid="{00000000-0005-0000-0000-000022010000}"/>
    <cellStyle name="Style 27" xfId="295" xr:uid="{00000000-0005-0000-0000-000023010000}"/>
    <cellStyle name="Style 34" xfId="296" xr:uid="{00000000-0005-0000-0000-000024010000}"/>
    <cellStyle name="Style 35" xfId="297" xr:uid="{00000000-0005-0000-0000-000025010000}"/>
    <cellStyle name="subhead" xfId="298" xr:uid="{00000000-0005-0000-0000-000026010000}"/>
    <cellStyle name="Text Indent A" xfId="299" xr:uid="{00000000-0005-0000-0000-000027010000}"/>
    <cellStyle name="Text Indent B" xfId="300" xr:uid="{00000000-0005-0000-0000-000028010000}"/>
    <cellStyle name="Text Indent C" xfId="301" xr:uid="{00000000-0005-0000-0000-000029010000}"/>
    <cellStyle name="title" xfId="302" xr:uid="{00000000-0005-0000-0000-00002A010000}"/>
    <cellStyle name="Virg・ [0]_RESULTS" xfId="303" xr:uid="{00000000-0005-0000-0000-00002B010000}"/>
    <cellStyle name="Virg・_RESULTS" xfId="304" xr:uid="{00000000-0005-0000-0000-00002C010000}"/>
    <cellStyle name="アクセント 1 2" xfId="305" xr:uid="{00000000-0005-0000-0000-00002D010000}"/>
    <cellStyle name="アクセント 1 2 2" xfId="306" xr:uid="{00000000-0005-0000-0000-00002E010000}"/>
    <cellStyle name="アクセント 1 2_3.3.1  FLT_SKDL_JL__2011FEB24" xfId="307" xr:uid="{00000000-0005-0000-0000-00002F010000}"/>
    <cellStyle name="アクセント 1 3" xfId="308" xr:uid="{00000000-0005-0000-0000-000030010000}"/>
    <cellStyle name="アクセント 1 4" xfId="309" xr:uid="{00000000-0005-0000-0000-000031010000}"/>
    <cellStyle name="アクセント 2 2" xfId="310" xr:uid="{00000000-0005-0000-0000-000032010000}"/>
    <cellStyle name="アクセント 2 2 2" xfId="311" xr:uid="{00000000-0005-0000-0000-000033010000}"/>
    <cellStyle name="アクセント 2 2_3.3.1  FLT_SKDL_JL__2011FEB24" xfId="312" xr:uid="{00000000-0005-0000-0000-000034010000}"/>
    <cellStyle name="アクセント 2 3" xfId="313" xr:uid="{00000000-0005-0000-0000-000035010000}"/>
    <cellStyle name="アクセント 2 4" xfId="314" xr:uid="{00000000-0005-0000-0000-000036010000}"/>
    <cellStyle name="アクセント 3 2" xfId="315" xr:uid="{00000000-0005-0000-0000-000037010000}"/>
    <cellStyle name="アクセント 3 2 2" xfId="316" xr:uid="{00000000-0005-0000-0000-000038010000}"/>
    <cellStyle name="アクセント 3 2_3.3.1  FLT_SKDL_JL__2011FEB24" xfId="317" xr:uid="{00000000-0005-0000-0000-000039010000}"/>
    <cellStyle name="アクセント 3 3" xfId="318" xr:uid="{00000000-0005-0000-0000-00003A010000}"/>
    <cellStyle name="アクセント 3 4" xfId="319" xr:uid="{00000000-0005-0000-0000-00003B010000}"/>
    <cellStyle name="アクセント 4 2" xfId="320" xr:uid="{00000000-0005-0000-0000-00003C010000}"/>
    <cellStyle name="アクセント 4 2 2" xfId="321" xr:uid="{00000000-0005-0000-0000-00003D010000}"/>
    <cellStyle name="アクセント 4 2_3.3.1  FLT_SKDL_JL__2011FEB24" xfId="322" xr:uid="{00000000-0005-0000-0000-00003E010000}"/>
    <cellStyle name="アクセント 4 3" xfId="323" xr:uid="{00000000-0005-0000-0000-00003F010000}"/>
    <cellStyle name="アクセント 4 4" xfId="324" xr:uid="{00000000-0005-0000-0000-000040010000}"/>
    <cellStyle name="アクセント 5 2" xfId="325" xr:uid="{00000000-0005-0000-0000-000041010000}"/>
    <cellStyle name="アクセント 5 2 2" xfId="326" xr:uid="{00000000-0005-0000-0000-000042010000}"/>
    <cellStyle name="アクセント 5 2_3.3.1  FLT_SKDL_JL__2011FEB24" xfId="327" xr:uid="{00000000-0005-0000-0000-000043010000}"/>
    <cellStyle name="アクセント 5 3" xfId="328" xr:uid="{00000000-0005-0000-0000-000044010000}"/>
    <cellStyle name="アクセント 5 4" xfId="329" xr:uid="{00000000-0005-0000-0000-000045010000}"/>
    <cellStyle name="アクセント 6 2" xfId="330" xr:uid="{00000000-0005-0000-0000-000046010000}"/>
    <cellStyle name="アクセント 6 2 2" xfId="331" xr:uid="{00000000-0005-0000-0000-000047010000}"/>
    <cellStyle name="アクセント 6 2_3.3.1  FLT_SKDL_JL__2011FEB24" xfId="332" xr:uid="{00000000-0005-0000-0000-000048010000}"/>
    <cellStyle name="アクセント 6 3" xfId="333" xr:uid="{00000000-0005-0000-0000-000049010000}"/>
    <cellStyle name="アクセント 6 4" xfId="334" xr:uid="{00000000-0005-0000-0000-00004A010000}"/>
    <cellStyle name="アンダーライン" xfId="335" xr:uid="{00000000-0005-0000-0000-00004B010000}"/>
    <cellStyle name="イタリック" xfId="336" xr:uid="{00000000-0005-0000-0000-00004C010000}"/>
    <cellStyle name="スタイル 1" xfId="337" xr:uid="{00000000-0005-0000-0000-00004D010000}"/>
    <cellStyle name="スタイル 2" xfId="338" xr:uid="{00000000-0005-0000-0000-00004E010000}"/>
    <cellStyle name="スタイル 3" xfId="339" xr:uid="{00000000-0005-0000-0000-00004F010000}"/>
    <cellStyle name="スタイル 4" xfId="340" xr:uid="{00000000-0005-0000-0000-000050010000}"/>
    <cellStyle name="スタイル 5" xfId="341" xr:uid="{00000000-0005-0000-0000-000051010000}"/>
    <cellStyle name="スタイル 6" xfId="342" xr:uid="{00000000-0005-0000-0000-000052010000}"/>
    <cellStyle name="スタイル 7" xfId="343" xr:uid="{00000000-0005-0000-0000-000053010000}"/>
    <cellStyle name="スタイル 8" xfId="344" xr:uid="{00000000-0005-0000-0000-000054010000}"/>
    <cellStyle name="スタイル 9" xfId="345" xr:uid="{00000000-0005-0000-0000-000055010000}"/>
    <cellStyle name="タイトル 2" xfId="346" xr:uid="{00000000-0005-0000-0000-000056010000}"/>
    <cellStyle name="タイトル 3" xfId="347" xr:uid="{00000000-0005-0000-0000-000057010000}"/>
    <cellStyle name="チェック セル 2" xfId="348" xr:uid="{00000000-0005-0000-0000-000058010000}"/>
    <cellStyle name="チェック セル 2 2" xfId="349" xr:uid="{00000000-0005-0000-0000-000059010000}"/>
    <cellStyle name="チェック セル 2_3.3.1  FLT_SKDL_JL__2011FEB24" xfId="350" xr:uid="{00000000-0005-0000-0000-00005A010000}"/>
    <cellStyle name="チェック セル 3" xfId="351" xr:uid="{00000000-0005-0000-0000-00005B010000}"/>
    <cellStyle name="チェック セル 4" xfId="352" xr:uid="{00000000-0005-0000-0000-00005C010000}"/>
    <cellStyle name="どちらでもない 2" xfId="353" xr:uid="{00000000-0005-0000-0000-00005D010000}"/>
    <cellStyle name="どちらでもない 2 2" xfId="354" xr:uid="{00000000-0005-0000-0000-00005E010000}"/>
    <cellStyle name="どちらでもない 2_3.3.1  FLT_SKDL_JL__2011FEB24" xfId="355" xr:uid="{00000000-0005-0000-0000-00005F010000}"/>
    <cellStyle name="どちらでもない 3" xfId="356" xr:uid="{00000000-0005-0000-0000-000060010000}"/>
    <cellStyle name="どちらでもない 4" xfId="357" xr:uid="{00000000-0005-0000-0000-000061010000}"/>
    <cellStyle name="ﾄ褊褂燾・[0]_PERSONAL" xfId="358" xr:uid="{00000000-0005-0000-0000-000062010000}"/>
    <cellStyle name="ﾄ褊褂燾饑PERSONAL" xfId="359" xr:uid="{00000000-0005-0000-0000-000063010000}"/>
    <cellStyle name="なし" xfId="360" xr:uid="{00000000-0005-0000-0000-000064010000}"/>
    <cellStyle name="なし 2" xfId="361" xr:uid="{00000000-0005-0000-0000-000065010000}"/>
    <cellStyle name="なし_3.3.17  LEG_LDCTRL_FEB24" xfId="362" xr:uid="{00000000-0005-0000-0000-000066010000}"/>
    <cellStyle name="ハイパーリンク 2" xfId="363" xr:uid="{00000000-0005-0000-0000-000067010000}"/>
    <cellStyle name="ハイパーリンク 3" xfId="364" xr:uid="{00000000-0005-0000-0000-000068010000}"/>
    <cellStyle name="ボールド" xfId="365" xr:uid="{00000000-0005-0000-0000-000069010000}"/>
    <cellStyle name="ﾎ磊隆_PERSONAL" xfId="366" xr:uid="{00000000-0005-0000-0000-00006A010000}"/>
    <cellStyle name="メモ 2" xfId="367" xr:uid="{00000000-0005-0000-0000-00006B010000}"/>
    <cellStyle name="メモ 2 2" xfId="368" xr:uid="{00000000-0005-0000-0000-00006C010000}"/>
    <cellStyle name="メモ 3" xfId="369" xr:uid="{00000000-0005-0000-0000-00006D010000}"/>
    <cellStyle name="メモ 4" xfId="370" xr:uid="{00000000-0005-0000-0000-00006E010000}"/>
    <cellStyle name="ﾔ竟瑙糺・[0]_PERSONAL" xfId="371" xr:uid="{00000000-0005-0000-0000-00006F010000}"/>
    <cellStyle name="ﾔ竟瑙糺饑PERSONAL" xfId="372" xr:uid="{00000000-0005-0000-0000-000070010000}"/>
    <cellStyle name="リンク セル 2" xfId="373" xr:uid="{00000000-0005-0000-0000-000071010000}"/>
    <cellStyle name="リンク セル 2 2" xfId="374" xr:uid="{00000000-0005-0000-0000-000072010000}"/>
    <cellStyle name="リンク セル 2_3.3.1  FLT_SKDL_JL__2011FEB24" xfId="375" xr:uid="{00000000-0005-0000-0000-000073010000}"/>
    <cellStyle name="リンク セル 3" xfId="376" xr:uid="{00000000-0005-0000-0000-000074010000}"/>
    <cellStyle name="リンク セル 4" xfId="377" xr:uid="{00000000-0005-0000-0000-000075010000}"/>
    <cellStyle name="悪い 2" xfId="378" xr:uid="{00000000-0005-0000-0000-000076010000}"/>
    <cellStyle name="悪い 2 2" xfId="379" xr:uid="{00000000-0005-0000-0000-000077010000}"/>
    <cellStyle name="悪い 2_3.3.1  FLT_SKDL_JL__2011FEB24" xfId="380" xr:uid="{00000000-0005-0000-0000-000078010000}"/>
    <cellStyle name="悪い 3" xfId="381" xr:uid="{00000000-0005-0000-0000-000079010000}"/>
    <cellStyle name="悪い 4" xfId="382" xr:uid="{00000000-0005-0000-0000-00007A010000}"/>
    <cellStyle name="価格桁区切り" xfId="383" xr:uid="{00000000-0005-0000-0000-00007B010000}"/>
    <cellStyle name="型番" xfId="384" xr:uid="{00000000-0005-0000-0000-00007C010000}"/>
    <cellStyle name="計算 2" xfId="385" xr:uid="{00000000-0005-0000-0000-00007D010000}"/>
    <cellStyle name="計算 2 2" xfId="386" xr:uid="{00000000-0005-0000-0000-00007E010000}"/>
    <cellStyle name="計算 2_3.3.1  FLT_SKDL_JL__2011FEB24" xfId="387" xr:uid="{00000000-0005-0000-0000-00007F010000}"/>
    <cellStyle name="計算 3" xfId="388" xr:uid="{00000000-0005-0000-0000-000080010000}"/>
    <cellStyle name="計算 4" xfId="389" xr:uid="{00000000-0005-0000-0000-000081010000}"/>
    <cellStyle name="警告文 2" xfId="390" xr:uid="{00000000-0005-0000-0000-000082010000}"/>
    <cellStyle name="警告文 2 2" xfId="391" xr:uid="{00000000-0005-0000-0000-000083010000}"/>
    <cellStyle name="警告文 2_3.3.1  FLT_SKDL_JL__2011FEB24" xfId="392" xr:uid="{00000000-0005-0000-0000-000084010000}"/>
    <cellStyle name="警告文 3" xfId="393" xr:uid="{00000000-0005-0000-0000-000085010000}"/>
    <cellStyle name="警告文 4" xfId="394" xr:uid="{00000000-0005-0000-0000-000086010000}"/>
    <cellStyle name="見出し 1 1" xfId="395" xr:uid="{00000000-0005-0000-0000-000087010000}"/>
    <cellStyle name="見出し 1 2" xfId="396" xr:uid="{00000000-0005-0000-0000-000088010000}"/>
    <cellStyle name="見出し 1 3" xfId="397" xr:uid="{00000000-0005-0000-0000-000089010000}"/>
    <cellStyle name="見出し 1 4" xfId="398" xr:uid="{00000000-0005-0000-0000-00008A010000}"/>
    <cellStyle name="見出し 2 2" xfId="399" xr:uid="{00000000-0005-0000-0000-00008B010000}"/>
    <cellStyle name="見出し 2 3" xfId="400" xr:uid="{00000000-0005-0000-0000-00008C010000}"/>
    <cellStyle name="見出し 2 4" xfId="401" xr:uid="{00000000-0005-0000-0000-00008D010000}"/>
    <cellStyle name="見出し 3 2" xfId="402" xr:uid="{00000000-0005-0000-0000-00008E010000}"/>
    <cellStyle name="見出し 3 3" xfId="403" xr:uid="{00000000-0005-0000-0000-00008F010000}"/>
    <cellStyle name="見出し 3 4" xfId="404" xr:uid="{00000000-0005-0000-0000-000090010000}"/>
    <cellStyle name="見出し 4 2" xfId="405" xr:uid="{00000000-0005-0000-0000-000091010000}"/>
    <cellStyle name="見出し 4 3" xfId="406" xr:uid="{00000000-0005-0000-0000-000092010000}"/>
    <cellStyle name="見出し 4 4" xfId="407" xr:uid="{00000000-0005-0000-0000-000093010000}"/>
    <cellStyle name="見出し2" xfId="408" xr:uid="{00000000-0005-0000-0000-000094010000}"/>
    <cellStyle name="在庫" xfId="409" xr:uid="{00000000-0005-0000-0000-000095010000}"/>
    <cellStyle name="取り消し線" xfId="410" xr:uid="{00000000-0005-0000-0000-000096010000}"/>
    <cellStyle name="集計 2" xfId="411" xr:uid="{00000000-0005-0000-0000-000097010000}"/>
    <cellStyle name="集計 2 2" xfId="412" xr:uid="{00000000-0005-0000-0000-000098010000}"/>
    <cellStyle name="集計 2_3.3.1  FLT_SKDL_JL__2011FEB24" xfId="413" xr:uid="{00000000-0005-0000-0000-000099010000}"/>
    <cellStyle name="集計 3" xfId="414" xr:uid="{00000000-0005-0000-0000-00009A010000}"/>
    <cellStyle name="集計 4" xfId="415" xr:uid="{00000000-0005-0000-0000-00009B010000}"/>
    <cellStyle name="出力 2" xfId="416" xr:uid="{00000000-0005-0000-0000-00009C010000}"/>
    <cellStyle name="出力 2 2" xfId="417" xr:uid="{00000000-0005-0000-0000-00009D010000}"/>
    <cellStyle name="出力 2_3.3.1  FLT_SKDL_JL__2011FEB24" xfId="418" xr:uid="{00000000-0005-0000-0000-00009E010000}"/>
    <cellStyle name="出力 3" xfId="419" xr:uid="{00000000-0005-0000-0000-00009F010000}"/>
    <cellStyle name="出力 4" xfId="420" xr:uid="{00000000-0005-0000-0000-0000A0010000}"/>
    <cellStyle name="上詰め" xfId="421" xr:uid="{00000000-0005-0000-0000-0000A1010000}"/>
    <cellStyle name="上詰め＋折返し" xfId="422" xr:uid="{00000000-0005-0000-0000-0000A2010000}"/>
    <cellStyle name="常规" xfId="0" builtinId="0"/>
    <cellStyle name="数値" xfId="423" xr:uid="{00000000-0005-0000-0000-0000A3010000}"/>
    <cellStyle name="数値（桁区切り）" xfId="424" xr:uid="{00000000-0005-0000-0000-0000A4010000}"/>
    <cellStyle name="数値_(140784-1)次期R3" xfId="425" xr:uid="{00000000-0005-0000-0000-0000A5010000}"/>
    <cellStyle name="製品通知&quot;-&quot;" xfId="426" xr:uid="{00000000-0005-0000-0000-0000A6010000}"/>
    <cellStyle name="製品通知価格" xfId="427" xr:uid="{00000000-0005-0000-0000-0000A7010000}"/>
    <cellStyle name="製品通知日付" xfId="428" xr:uid="{00000000-0005-0000-0000-0000A8010000}"/>
    <cellStyle name="製品通知文字列" xfId="429" xr:uid="{00000000-0005-0000-0000-0000A9010000}"/>
    <cellStyle name="説明文 2" xfId="430" xr:uid="{00000000-0005-0000-0000-0000AA010000}"/>
    <cellStyle name="説明文 2 2" xfId="431" xr:uid="{00000000-0005-0000-0000-0000AB010000}"/>
    <cellStyle name="説明文 2_3.3.1  FLT_SKDL_JL__2011FEB24" xfId="432" xr:uid="{00000000-0005-0000-0000-0000AC010000}"/>
    <cellStyle name="説明文 3" xfId="433" xr:uid="{00000000-0005-0000-0000-0000AD010000}"/>
    <cellStyle name="説明文 4" xfId="434" xr:uid="{00000000-0005-0000-0000-0000AE010000}"/>
    <cellStyle name="脱浦 [0.00]_?O±U" xfId="435" xr:uid="{00000000-0005-0000-0000-0000AF010000}"/>
    <cellStyle name="脱浦_?O±U" xfId="436" xr:uid="{00000000-0005-0000-0000-0000B0010000}"/>
    <cellStyle name="中央詰め" xfId="437" xr:uid="{00000000-0005-0000-0000-0000B1010000}"/>
    <cellStyle name="中央詰め＋折返し" xfId="438" xr:uid="{00000000-0005-0000-0000-0000B2010000}"/>
    <cellStyle name="通浦 [0.00]_laroux" xfId="439" xr:uid="{00000000-0005-0000-0000-0000B3010000}"/>
    <cellStyle name="通浦_laroux" xfId="440" xr:uid="{00000000-0005-0000-0000-0000B4010000}"/>
    <cellStyle name="通貨 2" xfId="441" xr:uid="{00000000-0005-0000-0000-0000B5010000}"/>
    <cellStyle name="日付" xfId="442" xr:uid="{00000000-0005-0000-0000-0000B6010000}"/>
    <cellStyle name="入力 2" xfId="443" xr:uid="{00000000-0005-0000-0000-0000B7010000}"/>
    <cellStyle name="入力 2 2" xfId="444" xr:uid="{00000000-0005-0000-0000-0000B8010000}"/>
    <cellStyle name="入力 2_3.3.1  FLT_SKDL_JL__2011FEB24" xfId="445" xr:uid="{00000000-0005-0000-0000-0000B9010000}"/>
    <cellStyle name="入力 3" xfId="446" xr:uid="{00000000-0005-0000-0000-0000BA010000}"/>
    <cellStyle name="入力 4" xfId="447" xr:uid="{00000000-0005-0000-0000-0000BB010000}"/>
    <cellStyle name="年月日" xfId="448" xr:uid="{00000000-0005-0000-0000-0000BC010000}"/>
    <cellStyle name="標準 10" xfId="3" xr:uid="{00000000-0005-0000-0000-0000BE010000}"/>
    <cellStyle name="標準 11" xfId="449" xr:uid="{00000000-0005-0000-0000-0000BF010000}"/>
    <cellStyle name="標準 11 2" xfId="450" xr:uid="{00000000-0005-0000-0000-0000C0010000}"/>
    <cellStyle name="標準 11 3" xfId="493" xr:uid="{E2603707-EC67-44D4-BC34-49C0BCF31603}"/>
    <cellStyle name="標準 11 4" xfId="497" xr:uid="{D3E91D12-F5D7-4BDC-8E6B-05269735D2AA}"/>
    <cellStyle name="標準 11 4 2" xfId="498" xr:uid="{DFB850A0-0BDC-4104-A511-E42120105241}"/>
    <cellStyle name="標準 11 4 2 2" xfId="500" xr:uid="{8BD7907E-5C44-41FC-8C36-46D1ACB8E101}"/>
    <cellStyle name="標準 11 4 2 2 2" xfId="503" xr:uid="{3EB2A77B-9596-4071-902B-4C837FFE3847}"/>
    <cellStyle name="標準 11 4 2 2 3" xfId="506" xr:uid="{41A7C9E0-408B-4CEA-84E1-787D0FCB1C60}"/>
    <cellStyle name="標準 11 4 3" xfId="499" xr:uid="{6098DEF7-2289-40EA-873B-AFE516C6620A}"/>
    <cellStyle name="標準 11 5" xfId="502" xr:uid="{D83D6D54-EC76-4964-8AA8-3B1AD8A0F3CB}"/>
    <cellStyle name="標準 11 6" xfId="504" xr:uid="{29A745B2-ECE9-4D64-AB8D-429F0325E950}"/>
    <cellStyle name="標準 11 7" xfId="505" xr:uid="{F86526AE-57FB-43A1-A10F-386E7312D423}"/>
    <cellStyle name="標準 12" xfId="451" xr:uid="{00000000-0005-0000-0000-0000C1010000}"/>
    <cellStyle name="標準 12 2" xfId="452" xr:uid="{00000000-0005-0000-0000-0000C2010000}"/>
    <cellStyle name="標準 13" xfId="1" xr:uid="{00000000-0005-0000-0000-0000C3010000}"/>
    <cellStyle name="標準 13 2" xfId="2" xr:uid="{00000000-0005-0000-0000-0000C4010000}"/>
    <cellStyle name="標準 13 3" xfId="453" xr:uid="{00000000-0005-0000-0000-0000C5010000}"/>
    <cellStyle name="標準 14" xfId="454" xr:uid="{00000000-0005-0000-0000-0000C6010000}"/>
    <cellStyle name="標準 15" xfId="486" xr:uid="{00000000-0005-0000-0000-0000C7010000}"/>
    <cellStyle name="標準 16" xfId="487" xr:uid="{00000000-0005-0000-0000-0000C8010000}"/>
    <cellStyle name="標準 17" xfId="490" xr:uid="{00000000-0005-0000-0000-0000C9010000}"/>
    <cellStyle name="標準 18" xfId="491" xr:uid="{00000000-0005-0000-0000-0000CA010000}"/>
    <cellStyle name="標準 2" xfId="455" xr:uid="{00000000-0005-0000-0000-0000CB010000}"/>
    <cellStyle name="標準 2 2" xfId="456" xr:uid="{00000000-0005-0000-0000-0000CC010000}"/>
    <cellStyle name="標準 2 2 2" xfId="457" xr:uid="{00000000-0005-0000-0000-0000CD010000}"/>
    <cellStyle name="標準 2 2 2 2" xfId="458" xr:uid="{00000000-0005-0000-0000-0000CE010000}"/>
    <cellStyle name="標準 2 2_3.3.1  FLT_SKDL_JL__2011FEB24" xfId="459" xr:uid="{00000000-0005-0000-0000-0000CF010000}"/>
    <cellStyle name="標準 2 3" xfId="460" xr:uid="{00000000-0005-0000-0000-0000D0010000}"/>
    <cellStyle name="標準 2 3 2" xfId="494" xr:uid="{C6FB83BB-2A91-4234-B51E-A868F70C65AB}"/>
    <cellStyle name="標準 2 4" xfId="461" xr:uid="{00000000-0005-0000-0000-0000D1010000}"/>
    <cellStyle name="標準 2 5" xfId="462" xr:uid="{00000000-0005-0000-0000-0000D2010000}"/>
    <cellStyle name="標準 2_20110225_メタ複合データ取得試案" xfId="463" xr:uid="{00000000-0005-0000-0000-0000D3010000}"/>
    <cellStyle name="標準 3" xfId="464" xr:uid="{00000000-0005-0000-0000-0000D4010000}"/>
    <cellStyle name="標準 3 2" xfId="465" xr:uid="{00000000-0005-0000-0000-0000D5010000}"/>
    <cellStyle name="標準 3 3" xfId="466" xr:uid="{00000000-0005-0000-0000-0000D6010000}"/>
    <cellStyle name="標準 3 4" xfId="488" xr:uid="{00000000-0005-0000-0000-0000D7010000}"/>
    <cellStyle name="標準 3 4 2" xfId="489" xr:uid="{00000000-0005-0000-0000-0000D8010000}"/>
    <cellStyle name="標準 3 5" xfId="492" xr:uid="{00000000-0005-0000-0000-0000D9010000}"/>
    <cellStyle name="標準 3 6" xfId="495" xr:uid="{4E6FB11C-AB00-4CAE-898C-BE1DA48941BA}"/>
    <cellStyle name="標準 3_DBデータ項目一覧" xfId="467" xr:uid="{00000000-0005-0000-0000-0000DA010000}"/>
    <cellStyle name="標準 4" xfId="468" xr:uid="{00000000-0005-0000-0000-0000DB010000}"/>
    <cellStyle name="標準 5" xfId="469" xr:uid="{00000000-0005-0000-0000-0000DC010000}"/>
    <cellStyle name="標準 6" xfId="470" xr:uid="{00000000-0005-0000-0000-0000DD010000}"/>
    <cellStyle name="標準 7" xfId="471" xr:uid="{00000000-0005-0000-0000-0000DE010000}"/>
    <cellStyle name="標準 8" xfId="472" xr:uid="{00000000-0005-0000-0000-0000DF010000}"/>
    <cellStyle name="標準 9" xfId="473" xr:uid="{00000000-0005-0000-0000-0000E0010000}"/>
    <cellStyle name="標準_Fit&amp;Gap分析一覧表" xfId="496" xr:uid="{2E06B7E8-2409-402A-92F5-318A36CAF0B7}"/>
    <cellStyle name="標準_画面ﾚｲｱｳﾄ" xfId="501" xr:uid="{7AB7619C-8A7D-4E65-847B-48E66EFF28A5}"/>
    <cellStyle name="標準Ａ" xfId="474" xr:uid="{00000000-0005-0000-0000-0000E1010000}"/>
    <cellStyle name="標準A.U" xfId="475" xr:uid="{00000000-0005-0000-0000-0000E2010000}"/>
    <cellStyle name="標準-UENO" xfId="476" xr:uid="{00000000-0005-0000-0000-0000E3010000}"/>
    <cellStyle name="文字列" xfId="477" xr:uid="{00000000-0005-0000-0000-0000E4010000}"/>
    <cellStyle name="未定義" xfId="478" xr:uid="{00000000-0005-0000-0000-0000E5010000}"/>
    <cellStyle name="網掛け" xfId="479" xr:uid="{00000000-0005-0000-0000-0000E6010000}"/>
    <cellStyle name="良い 2" xfId="480" xr:uid="{00000000-0005-0000-0000-0000E7010000}"/>
    <cellStyle name="良い 2 2" xfId="481" xr:uid="{00000000-0005-0000-0000-0000E8010000}"/>
    <cellStyle name="良い 2_3.3.1  FLT_SKDL_JL__2011FEB24" xfId="482" xr:uid="{00000000-0005-0000-0000-0000E9010000}"/>
    <cellStyle name="良い 3" xfId="483" xr:uid="{00000000-0005-0000-0000-0000EA010000}"/>
    <cellStyle name="良い 4" xfId="484" xr:uid="{00000000-0005-0000-0000-0000EB010000}"/>
    <cellStyle name="樘準_購－表紙 (2)_1_型－PRINT_ＳＩ型番 (2)_構成明細  (原調込み） (2)" xfId="485" xr:uid="{00000000-0005-0000-0000-0000EC010000}"/>
  </cellStyles>
  <dxfs count="0"/>
  <tableStyles count="0" defaultTableStyle="TableStyleMedium9" defaultPivotStyle="PivotStyleLight16"/>
  <colors>
    <mruColors>
      <color rgb="FFCCFFCC"/>
      <color rgb="FFFFFF99"/>
      <color rgb="FF0000FF"/>
      <color rgb="FF99CCFF"/>
      <color rgb="FFCCECFF"/>
      <color rgb="FFCCFFFF"/>
      <color rgb="FFFFCCFF"/>
      <color rgb="FFFFCC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emf"/></Relationships>
</file>

<file path=xl/drawings/_rels/drawing2.xml.rels><?xml version="1.0" encoding="UTF-8" standalone="yes"?>
<Relationships xmlns="http://schemas.openxmlformats.org/package/2006/relationships"><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1" Type="http://schemas.openxmlformats.org/officeDocument/2006/relationships/image" Target="../media/image7.emf"/></Relationships>
</file>

<file path=xl/drawings/_rels/drawing4.xml.rels><?xml version="1.0" encoding="UTF-8" standalone="yes"?>
<Relationships xmlns="http://schemas.openxmlformats.org/package/2006/relationships"><Relationship Id="rId1" Type="http://schemas.openxmlformats.org/officeDocument/2006/relationships/image" Target="../media/image9.emf"/></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3.emf"/></Relationships>
</file>

<file path=xl/drawings/_rels/drawing7.xml.rels><?xml version="1.0" encoding="UTF-8" standalone="yes"?>
<Relationships xmlns="http://schemas.openxmlformats.org/package/2006/relationships"><Relationship Id="rId1" Type="http://schemas.openxmlformats.org/officeDocument/2006/relationships/image" Target="../media/image13.emf"/></Relationships>
</file>

<file path=xl/drawings/_rels/drawing8.xml.rels><?xml version="1.0" encoding="UTF-8" standalone="yes"?>
<Relationships xmlns="http://schemas.openxmlformats.org/package/2006/relationships"><Relationship Id="rId1" Type="http://schemas.openxmlformats.org/officeDocument/2006/relationships/image" Target="../media/image2.emf"/></Relationships>
</file>

<file path=xl/drawings/_rels/drawing9.xml.rels><?xml version="1.0" encoding="UTF-8" standalone="yes"?>
<Relationships xmlns="http://schemas.openxmlformats.org/package/2006/relationships"><Relationship Id="rId1" Type="http://schemas.openxmlformats.org/officeDocument/2006/relationships/image" Target="../media/image2.emf"/></Relationships>
</file>

<file path=xl/drawings/_rels/drawing10.xml.rels><?xml version="1.0" encoding="UTF-8" standalone="yes"?>
<Relationships xmlns="http://schemas.openxmlformats.org/package/2006/relationships"><Relationship Id="rId1" Type="http://schemas.openxmlformats.org/officeDocument/2006/relationships/image" Target="../media/image2.emf"/></Relationships>
</file>

<file path=xl/drawings/_rels/drawing11.xml.rels><?xml version="1.0" encoding="UTF-8" standalone="yes"?>
<Relationships xmlns="http://schemas.openxmlformats.org/package/2006/relationships"><Relationship Id="rId1" Type="http://schemas.openxmlformats.org/officeDocument/2006/relationships/image" Target="../media/image9.emf"/></Relationships>
</file>

<file path=xl/drawings/_rels/drawing12.x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17</xdr:col>
          <xdr:colOff>47625</xdr:colOff>
          <xdr:row>3</xdr:row>
          <xdr:rowOff>161925</xdr:rowOff>
        </xdr:to>
        <xdr:pic>
          <xdr:nvPicPr>
            <xdr:cNvPr id="4" name="図 3">
              <a:extLst>
                <a:ext uri="{FF2B5EF4-FFF2-40B4-BE49-F238E27FC236}">
                  <a16:creationId xmlns:a16="http://schemas.microsoft.com/office/drawing/2014/main" id="{AB0C6BEA-FDC4-4E46-ACFB-3EC80F5ACB4B}"/>
                </a:ext>
              </a:extLst>
            </xdr:cNvPr>
            <xdr:cNvPicPr>
              <a:picLocks noChangeAspect="1" noChangeArrowheads="1"/>
              <a:extLst>
                <a:ext uri="{84589F7E-364E-4C9E-8A38-B11213B215E9}">
                  <a14:cameraTool cellRange="改版履歴!$A$1:$CE$4" spid="_x0000_s5445"/>
                </a:ext>
              </a:extLst>
            </xdr:cNvPicPr>
          </xdr:nvPicPr>
          <xdr:blipFill>
            <a:blip xmlns:r="http://schemas.openxmlformats.org/officeDocument/2006/relationships" r:embed="rId1"/>
            <a:srcRect/>
            <a:stretch>
              <a:fillRect/>
            </a:stretch>
          </xdr:blipFill>
          <xdr:spPr bwMode="auto">
            <a:xfrm>
              <a:off x="0" y="0"/>
              <a:ext cx="15020925" cy="762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495300</xdr:colOff>
      <xdr:row>11</xdr:row>
      <xdr:rowOff>190501</xdr:rowOff>
    </xdr:from>
    <xdr:to>
      <xdr:col>22</xdr:col>
      <xdr:colOff>171450</xdr:colOff>
      <xdr:row>14</xdr:row>
      <xdr:rowOff>66676</xdr:rowOff>
    </xdr:to>
    <xdr:sp macro="" textlink="">
      <xdr:nvSpPr>
        <xdr:cNvPr id="7" name="吹き出し: 折線 6">
          <a:extLst>
            <a:ext uri="{FF2B5EF4-FFF2-40B4-BE49-F238E27FC236}">
              <a16:creationId xmlns:a16="http://schemas.microsoft.com/office/drawing/2014/main" id="{80A56531-5461-42F0-A55A-3F65D7BA90D2}"/>
            </a:ext>
          </a:extLst>
        </xdr:cNvPr>
        <xdr:cNvSpPr/>
      </xdr:nvSpPr>
      <xdr:spPr>
        <a:xfrm>
          <a:off x="12696825" y="2143126"/>
          <a:ext cx="3638550" cy="476250"/>
        </a:xfrm>
        <a:prstGeom prst="borderCallout2">
          <a:avLst>
            <a:gd name="adj1" fmla="val 18750"/>
            <a:gd name="adj2" fmla="val -8333"/>
            <a:gd name="adj3" fmla="val 18750"/>
            <a:gd name="adj4" fmla="val -16667"/>
            <a:gd name="adj5" fmla="val -21775"/>
            <a:gd name="adj6" fmla="val -19156"/>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kumimoji="1" lang="ja-JP" altLang="ja-JP" sz="1100" baseline="0">
              <a:solidFill>
                <a:schemeClr val="dk1"/>
              </a:solidFill>
              <a:effectLst/>
              <a:latin typeface="+mn-lt"/>
              <a:ea typeface="+mn-ea"/>
              <a:cs typeface="+mn-cs"/>
            </a:rPr>
            <a:t>テーブル定義の</a:t>
          </a:r>
          <a:r>
            <a:rPr kumimoji="1" lang="en-US" altLang="ja-JP" sz="1100" baseline="0">
              <a:solidFill>
                <a:schemeClr val="dk1"/>
              </a:solidFill>
              <a:effectLst/>
              <a:latin typeface="+mn-lt"/>
              <a:ea typeface="+mn-ea"/>
              <a:cs typeface="+mn-cs"/>
            </a:rPr>
            <a:t>DM</a:t>
          </a:r>
          <a:r>
            <a:rPr kumimoji="1" lang="ja-JP" altLang="ja-JP" sz="1100" baseline="0">
              <a:solidFill>
                <a:schemeClr val="dk1"/>
              </a:solidFill>
              <a:effectLst/>
              <a:latin typeface="+mn-lt"/>
              <a:ea typeface="+mn-ea"/>
              <a:cs typeface="+mn-cs"/>
            </a:rPr>
            <a:t>の方の</a:t>
          </a:r>
          <a:r>
            <a:rPr kumimoji="1" lang="ja-JP" altLang="en-US" sz="1100" baseline="0">
              <a:solidFill>
                <a:schemeClr val="dk1"/>
              </a:solidFill>
              <a:effectLst/>
              <a:latin typeface="+mn-lt"/>
              <a:ea typeface="+mn-ea"/>
              <a:cs typeface="+mn-cs"/>
            </a:rPr>
            <a:t>型</a:t>
          </a:r>
          <a:r>
            <a:rPr kumimoji="1" lang="ja-JP" altLang="ja-JP" sz="1100" baseline="0">
              <a:solidFill>
                <a:schemeClr val="dk1"/>
              </a:solidFill>
              <a:effectLst/>
              <a:latin typeface="+mn-lt"/>
              <a:ea typeface="+mn-ea"/>
              <a:cs typeface="+mn-cs"/>
            </a:rPr>
            <a:t>とあわせる</a:t>
          </a:r>
          <a:endParaRPr lang="ja-JP" altLang="ja-JP">
            <a:effectLst/>
          </a:endParaRPr>
        </a:p>
      </xdr:txBody>
    </xdr:sp>
    <xdr:clientData/>
  </xdr:twoCellAnchor>
  <xdr:twoCellAnchor>
    <xdr:from>
      <xdr:col>4</xdr:col>
      <xdr:colOff>104774</xdr:colOff>
      <xdr:row>121</xdr:row>
      <xdr:rowOff>161924</xdr:rowOff>
    </xdr:from>
    <xdr:to>
      <xdr:col>15</xdr:col>
      <xdr:colOff>123825</xdr:colOff>
      <xdr:row>124</xdr:row>
      <xdr:rowOff>200024</xdr:rowOff>
    </xdr:to>
    <xdr:sp macro="" textlink="">
      <xdr:nvSpPr>
        <xdr:cNvPr id="10" name="吹き出し: 折線 9">
          <a:extLst>
            <a:ext uri="{FF2B5EF4-FFF2-40B4-BE49-F238E27FC236}">
              <a16:creationId xmlns:a16="http://schemas.microsoft.com/office/drawing/2014/main" id="{A3BF9CBF-3517-414A-97E8-D2E6BCA5BDA4}"/>
            </a:ext>
          </a:extLst>
        </xdr:cNvPr>
        <xdr:cNvSpPr/>
      </xdr:nvSpPr>
      <xdr:spPr>
        <a:xfrm>
          <a:off x="6324599" y="26917649"/>
          <a:ext cx="5200651" cy="638175"/>
        </a:xfrm>
        <a:prstGeom prst="borderCallout2">
          <a:avLst>
            <a:gd name="adj1" fmla="val 18750"/>
            <a:gd name="adj2" fmla="val -8333"/>
            <a:gd name="adj3" fmla="val 18750"/>
            <a:gd name="adj4" fmla="val -16667"/>
            <a:gd name="adj5" fmla="val -33442"/>
            <a:gd name="adj6" fmla="val -24731"/>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t>サブクエリで取得している値について、物理</a:t>
          </a:r>
          <a:r>
            <a:rPr kumimoji="1" lang="en-US" altLang="ja-JP" sz="1100" baseline="0"/>
            <a:t>SQL</a:t>
          </a:r>
          <a:r>
            <a:rPr kumimoji="1" lang="ja-JP" altLang="en-US" sz="1100" baseline="0"/>
            <a:t>だけでは内容が直感的に理解しづらいものは処理内容や意図などを日本語で補足しておく（フリーフォーマットで可）</a:t>
          </a:r>
          <a:endParaRPr kumimoji="1" lang="en-US" altLang="ja-JP" sz="1100" baseline="0"/>
        </a:p>
      </xdr:txBody>
    </xdr:sp>
    <xdr:clientData/>
  </xdr:twoCellAnchor>
  <xdr:twoCellAnchor>
    <xdr:from>
      <xdr:col>4</xdr:col>
      <xdr:colOff>342902</xdr:colOff>
      <xdr:row>173</xdr:row>
      <xdr:rowOff>57151</xdr:rowOff>
    </xdr:from>
    <xdr:to>
      <xdr:col>11</xdr:col>
      <xdr:colOff>590550</xdr:colOff>
      <xdr:row>189</xdr:row>
      <xdr:rowOff>76201</xdr:rowOff>
    </xdr:to>
    <xdr:sp macro="" textlink="">
      <xdr:nvSpPr>
        <xdr:cNvPr id="12" name="吹き出し: 折線 11">
          <a:extLst>
            <a:ext uri="{FF2B5EF4-FFF2-40B4-BE49-F238E27FC236}">
              <a16:creationId xmlns:a16="http://schemas.microsoft.com/office/drawing/2014/main" id="{8F2959EB-4ED3-4C59-8737-27D6CB137ECA}"/>
            </a:ext>
          </a:extLst>
        </xdr:cNvPr>
        <xdr:cNvSpPr/>
      </xdr:nvSpPr>
      <xdr:spPr>
        <a:xfrm>
          <a:off x="8086727" y="36414076"/>
          <a:ext cx="5600698" cy="3219450"/>
        </a:xfrm>
        <a:prstGeom prst="borderCallout2">
          <a:avLst>
            <a:gd name="adj1" fmla="val 18750"/>
            <a:gd name="adj2" fmla="val -8333"/>
            <a:gd name="adj3" fmla="val 18750"/>
            <a:gd name="adj4" fmla="val -16667"/>
            <a:gd name="adj5" fmla="val 32221"/>
            <a:gd name="adj6" fmla="val -24446"/>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solidFill>
                <a:schemeClr val="dk1"/>
              </a:solidFill>
              <a:effectLst/>
              <a:latin typeface="+mn-lt"/>
              <a:ea typeface="+mn-ea"/>
              <a:cs typeface="+mn-cs"/>
            </a:rPr>
            <a:t>画面設計書の対象条件欄</a:t>
          </a:r>
          <a:endParaRPr kumimoji="1" lang="en-US" altLang="ja-JP" sz="1100" baseline="0">
            <a:solidFill>
              <a:schemeClr val="dk1"/>
            </a:solidFill>
            <a:effectLst/>
            <a:latin typeface="+mn-lt"/>
            <a:ea typeface="+mn-ea"/>
            <a:cs typeface="+mn-cs"/>
          </a:endParaRPr>
        </a:p>
      </xdr:txBody>
    </xdr:sp>
    <xdr:clientData/>
  </xdr:twoCellAnchor>
  <xdr:twoCellAnchor>
    <xdr:from>
      <xdr:col>11</xdr:col>
      <xdr:colOff>685799</xdr:colOff>
      <xdr:row>25</xdr:row>
      <xdr:rowOff>28575</xdr:rowOff>
    </xdr:from>
    <xdr:to>
      <xdr:col>28</xdr:col>
      <xdr:colOff>152400</xdr:colOff>
      <xdr:row>29</xdr:row>
      <xdr:rowOff>38101</xdr:rowOff>
    </xdr:to>
    <xdr:sp macro="" textlink="">
      <xdr:nvSpPr>
        <xdr:cNvPr id="25" name="吹き出し: 折線 24">
          <a:extLst>
            <a:ext uri="{FF2B5EF4-FFF2-40B4-BE49-F238E27FC236}">
              <a16:creationId xmlns:a16="http://schemas.microsoft.com/office/drawing/2014/main" id="{99C61F24-5E98-4407-A5F9-81C3F6355791}"/>
            </a:ext>
          </a:extLst>
        </xdr:cNvPr>
        <xdr:cNvSpPr/>
      </xdr:nvSpPr>
      <xdr:spPr>
        <a:xfrm>
          <a:off x="13782674" y="4781550"/>
          <a:ext cx="3962401" cy="809626"/>
        </a:xfrm>
        <a:prstGeom prst="borderCallout2">
          <a:avLst>
            <a:gd name="adj1" fmla="val 18750"/>
            <a:gd name="adj2" fmla="val -8333"/>
            <a:gd name="adj3" fmla="val 18750"/>
            <a:gd name="adj4" fmla="val -16667"/>
            <a:gd name="adj5" fmla="val -174480"/>
            <a:gd name="adj6" fmla="val -83938"/>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t>カード定価マスタ</a:t>
          </a:r>
          <a:r>
            <a:rPr kumimoji="1" lang="en-US" altLang="ja-JP" sz="1100" baseline="0"/>
            <a:t>.</a:t>
          </a:r>
          <a:r>
            <a:rPr kumimoji="1" lang="ja-JP" altLang="en-US" sz="1100" baseline="0"/>
            <a:t>カード受注商品名</a:t>
          </a:r>
          <a:r>
            <a:rPr kumimoji="1" lang="en-US" altLang="ja-JP" sz="1100" baseline="0"/>
            <a:t>(40</a:t>
          </a:r>
          <a:r>
            <a:rPr kumimoji="1" lang="ja-JP" altLang="en-US" sz="1100" baseline="0"/>
            <a:t>桁</a:t>
          </a:r>
          <a:r>
            <a:rPr kumimoji="1" lang="en-US" altLang="ja-JP" sz="1100" baseline="0"/>
            <a:t>)</a:t>
          </a:r>
          <a:r>
            <a:rPr kumimoji="1" lang="ja-JP" altLang="en-US" sz="1100" baseline="0"/>
            <a:t>、または、商品マスタ</a:t>
          </a:r>
          <a:r>
            <a:rPr kumimoji="1" lang="en-US" altLang="ja-JP" sz="1100" baseline="0"/>
            <a:t>.</a:t>
          </a:r>
          <a:r>
            <a:rPr kumimoji="1" lang="ja-JP" altLang="en-US" sz="1100" baseline="0"/>
            <a:t>商品名</a:t>
          </a:r>
          <a:r>
            <a:rPr kumimoji="1" lang="en-US" altLang="ja-JP" sz="1100" baseline="0"/>
            <a:t>(120</a:t>
          </a:r>
          <a:r>
            <a:rPr kumimoji="1" lang="ja-JP" altLang="en-US" sz="1100" baseline="0"/>
            <a:t>桁</a:t>
          </a:r>
          <a:r>
            <a:rPr kumimoji="1" lang="en-US" altLang="ja-JP" sz="1100" baseline="0"/>
            <a:t>)</a:t>
          </a:r>
        </a:p>
        <a:p>
          <a:pPr algn="l"/>
          <a:r>
            <a:rPr kumimoji="1" lang="ja-JP" altLang="en-US" sz="1100" baseline="0"/>
            <a:t>など複数カラムから取得する場合、大きい方の桁数を記載</a:t>
          </a:r>
          <a:endParaRPr kumimoji="1" lang="en-US" altLang="ja-JP" sz="1100" baseline="0"/>
        </a:p>
      </xdr:txBody>
    </xdr:sp>
    <xdr:clientData/>
  </xdr:twoCellAnchor>
  <xdr:twoCellAnchor>
    <xdr:from>
      <xdr:col>3</xdr:col>
      <xdr:colOff>123826</xdr:colOff>
      <xdr:row>20</xdr:row>
      <xdr:rowOff>123826</xdr:rowOff>
    </xdr:from>
    <xdr:to>
      <xdr:col>8</xdr:col>
      <xdr:colOff>38100</xdr:colOff>
      <xdr:row>25</xdr:row>
      <xdr:rowOff>9524</xdr:rowOff>
    </xdr:to>
    <xdr:sp macro="" textlink="">
      <xdr:nvSpPr>
        <xdr:cNvPr id="3" name="吹き出し: 折線 2">
          <a:extLst>
            <a:ext uri="{FF2B5EF4-FFF2-40B4-BE49-F238E27FC236}">
              <a16:creationId xmlns:a16="http://schemas.microsoft.com/office/drawing/2014/main" id="{7E11D3E1-0294-43F0-970B-376ACEB20542}"/>
            </a:ext>
          </a:extLst>
        </xdr:cNvPr>
        <xdr:cNvSpPr/>
      </xdr:nvSpPr>
      <xdr:spPr>
        <a:xfrm>
          <a:off x="6134101" y="3876676"/>
          <a:ext cx="5333999" cy="885823"/>
        </a:xfrm>
        <a:prstGeom prst="borderCallout2">
          <a:avLst>
            <a:gd name="adj1" fmla="val 18750"/>
            <a:gd name="adj2" fmla="val -8333"/>
            <a:gd name="adj3" fmla="val 18750"/>
            <a:gd name="adj4" fmla="val -16667"/>
            <a:gd name="adj5" fmla="val -32575"/>
            <a:gd name="adj6" fmla="val -24374"/>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一覧に表示する項目を記載（チェックなどに使用する非表示項目も必要あれば）</a:t>
          </a:r>
          <a:endParaRPr kumimoji="1" lang="en-US" altLang="ja-JP" sz="1100"/>
        </a:p>
        <a:p>
          <a:pPr algn="l"/>
          <a:endParaRPr kumimoji="1" lang="en-US" altLang="ja-JP" sz="1100"/>
        </a:p>
        <a:p>
          <a:pPr algn="l"/>
          <a:r>
            <a:rPr kumimoji="1" lang="ja-JP" altLang="en-US" sz="1100"/>
            <a:t>カラム名（物理、論理）はドメイン一覧をもとに記載</a:t>
          </a:r>
          <a:endParaRPr kumimoji="1" lang="en-US" altLang="ja-JP" sz="1100"/>
        </a:p>
        <a:p>
          <a:pPr algn="l"/>
          <a:endParaRPr kumimoji="1" lang="en-US" altLang="ja-JP" sz="1100"/>
        </a:p>
      </xdr:txBody>
    </xdr:sp>
    <xdr:clientData/>
  </xdr:twoCellAnchor>
  <xdr:twoCellAnchor>
    <xdr:from>
      <xdr:col>10</xdr:col>
      <xdr:colOff>466270</xdr:colOff>
      <xdr:row>7</xdr:row>
      <xdr:rowOff>108404</xdr:rowOff>
    </xdr:from>
    <xdr:to>
      <xdr:col>26</xdr:col>
      <xdr:colOff>170542</xdr:colOff>
      <xdr:row>10</xdr:row>
      <xdr:rowOff>117930</xdr:rowOff>
    </xdr:to>
    <xdr:sp macro="" textlink="">
      <xdr:nvSpPr>
        <xdr:cNvPr id="2" name="吹き出し: 線 1">
          <a:extLst>
            <a:ext uri="{FF2B5EF4-FFF2-40B4-BE49-F238E27FC236}">
              <a16:creationId xmlns:a16="http://schemas.microsoft.com/office/drawing/2014/main" id="{9167E2DF-CE70-451A-9458-90186B51F70D}"/>
            </a:ext>
          </a:extLst>
        </xdr:cNvPr>
        <xdr:cNvSpPr/>
      </xdr:nvSpPr>
      <xdr:spPr>
        <a:xfrm>
          <a:off x="12694556" y="1251404"/>
          <a:ext cx="4720772" cy="626383"/>
        </a:xfrm>
        <a:prstGeom prst="borderCallout1">
          <a:avLst>
            <a:gd name="adj1" fmla="val 32687"/>
            <a:gd name="adj2" fmla="val -623"/>
            <a:gd name="adj3" fmla="val -43438"/>
            <a:gd name="adj4" fmla="val -1791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テーブル</a:t>
          </a:r>
          <a:r>
            <a:rPr kumimoji="1" lang="en-US" altLang="ja-JP" sz="1100">
              <a:latin typeface="Meiryo UI" panose="020B0604030504040204" pitchFamily="50" charset="-128"/>
              <a:ea typeface="Meiryo UI" panose="020B0604030504040204" pitchFamily="50" charset="-128"/>
            </a:rPr>
            <a:t>ID</a:t>
          </a:r>
          <a:r>
            <a:rPr kumimoji="1" lang="ja-JP" altLang="en-US" sz="1100">
              <a:latin typeface="Meiryo UI" panose="020B0604030504040204" pitchFamily="50" charset="-128"/>
              <a:ea typeface="Meiryo UI" panose="020B0604030504040204" pitchFamily="50" charset="-128"/>
            </a:rPr>
            <a:t>は「</a:t>
          </a:r>
          <a:r>
            <a:rPr kumimoji="1" lang="en-US" altLang="ja-JP" sz="1100">
              <a:latin typeface="Meiryo UI" panose="020B0604030504040204" pitchFamily="50" charset="-128"/>
              <a:ea typeface="Meiryo UI" panose="020B0604030504040204" pitchFamily="50" charset="-128"/>
            </a:rPr>
            <a:t>03_30_10_03_WebPerformer</a:t>
          </a:r>
          <a:r>
            <a:rPr kumimoji="1" lang="ja-JP" altLang="en-US" sz="1100">
              <a:latin typeface="Meiryo UI" panose="020B0604030504040204" pitchFamily="50" charset="-128"/>
              <a:ea typeface="Meiryo UI" panose="020B0604030504040204" pitchFamily="50" charset="-128"/>
            </a:rPr>
            <a:t>ネーミング規約</a:t>
          </a:r>
          <a:r>
            <a:rPr kumimoji="1" lang="en-US" altLang="ja-JP" sz="1100">
              <a:latin typeface="Meiryo UI" panose="020B0604030504040204" pitchFamily="50" charset="-128"/>
              <a:ea typeface="Meiryo UI" panose="020B0604030504040204" pitchFamily="50" charset="-128"/>
            </a:rPr>
            <a:t>.docx</a:t>
          </a:r>
          <a:r>
            <a:rPr kumimoji="1" lang="ja-JP" altLang="en-US" sz="1100">
              <a:latin typeface="Meiryo UI" panose="020B0604030504040204" pitchFamily="50" charset="-128"/>
              <a:ea typeface="Meiryo UI" panose="020B0604030504040204" pitchFamily="50" charset="-128"/>
            </a:rPr>
            <a:t>」の</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4-2.</a:t>
          </a:r>
          <a:r>
            <a:rPr kumimoji="1" lang="ja-JP" altLang="en-US" sz="1100">
              <a:latin typeface="Meiryo UI" panose="020B0604030504040204" pitchFamily="50" charset="-128"/>
              <a:ea typeface="Meiryo UI" panose="020B0604030504040204" pitchFamily="50" charset="-128"/>
            </a:rPr>
            <a:t>データモデル＞①データモデル」を参照してください。</a:t>
          </a:r>
        </a:p>
      </xdr:txBody>
    </xdr:sp>
    <xdr:clientData/>
  </xdr:twoCellAnchor>
  <xdr:twoCellAnchor>
    <xdr:from>
      <xdr:col>2</xdr:col>
      <xdr:colOff>552450</xdr:colOff>
      <xdr:row>570</xdr:row>
      <xdr:rowOff>66675</xdr:rowOff>
    </xdr:from>
    <xdr:to>
      <xdr:col>4</xdr:col>
      <xdr:colOff>1752600</xdr:colOff>
      <xdr:row>574</xdr:row>
      <xdr:rowOff>104775</xdr:rowOff>
    </xdr:to>
    <xdr:sp macro="" textlink="">
      <xdr:nvSpPr>
        <xdr:cNvPr id="19" name="正方形/長方形 18">
          <a:extLst>
            <a:ext uri="{FF2B5EF4-FFF2-40B4-BE49-F238E27FC236}">
              <a16:creationId xmlns:a16="http://schemas.microsoft.com/office/drawing/2014/main" id="{2FB6883C-C23A-496F-9AF7-B33EBFF8D3C3}"/>
            </a:ext>
          </a:extLst>
        </xdr:cNvPr>
        <xdr:cNvSpPr/>
      </xdr:nvSpPr>
      <xdr:spPr>
        <a:xfrm>
          <a:off x="4610100" y="47825025"/>
          <a:ext cx="4895850" cy="838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集計関数の検索条件については「</a:t>
          </a:r>
          <a:r>
            <a:rPr kumimoji="1" lang="en-US" altLang="ja-JP" sz="1100">
              <a:latin typeface="Meiryo UI" panose="020B0604030504040204" pitchFamily="50" charset="-128"/>
              <a:ea typeface="Meiryo UI" panose="020B0604030504040204" pitchFamily="50" charset="-128"/>
            </a:rPr>
            <a:t>WP</a:t>
          </a:r>
          <a:r>
            <a:rPr kumimoji="1" lang="ja-JP" altLang="en-US" sz="1100">
              <a:latin typeface="Meiryo UI" panose="020B0604030504040204" pitchFamily="50" charset="-128"/>
              <a:ea typeface="Meiryo UI" panose="020B0604030504040204" pitchFamily="50" charset="-128"/>
            </a:rPr>
            <a:t>定義ガイド</a:t>
          </a:r>
          <a:r>
            <a:rPr kumimoji="1" lang="en-US" altLang="ja-JP" sz="1100">
              <a:latin typeface="Meiryo UI" panose="020B0604030504040204" pitchFamily="50" charset="-128"/>
              <a:ea typeface="Meiryo UI" panose="020B0604030504040204" pitchFamily="50" charset="-128"/>
            </a:rPr>
            <a:t>.pdf</a:t>
          </a:r>
          <a:r>
            <a:rPr kumimoji="1" lang="ja-JP" altLang="en-US" sz="1100">
              <a:latin typeface="Meiryo UI" panose="020B0604030504040204" pitchFamily="50" charset="-128"/>
              <a:ea typeface="Meiryo UI" panose="020B0604030504040204" pitchFamily="50" charset="-128"/>
            </a:rPr>
            <a:t>」の以下を参照してください</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27.2.5. </a:t>
          </a:r>
          <a:r>
            <a:rPr kumimoji="1" lang="ja-JP" altLang="en-US" sz="1100">
              <a:latin typeface="Meiryo UI" panose="020B0604030504040204" pitchFamily="50" charset="-128"/>
              <a:ea typeface="Meiryo UI" panose="020B0604030504040204" pitchFamily="50" charset="-128"/>
            </a:rPr>
            <a:t>集計関数実行時に使用する</a:t>
          </a:r>
          <a:r>
            <a:rPr kumimoji="1" lang="en-US" altLang="ja-JP" sz="1100">
              <a:latin typeface="Meiryo UI" panose="020B0604030504040204" pitchFamily="50" charset="-128"/>
              <a:ea typeface="Meiryo UI" panose="020B0604030504040204" pitchFamily="50" charset="-128"/>
            </a:rPr>
            <a:t>SQL</a:t>
          </a:r>
          <a:r>
            <a:rPr kumimoji="1" lang="ja-JP" altLang="en-US" sz="1100">
              <a:latin typeface="Meiryo UI" panose="020B0604030504040204" pitchFamily="50" charset="-128"/>
              <a:ea typeface="Meiryo UI" panose="020B0604030504040204" pitchFamily="50" charset="-128"/>
            </a:rPr>
            <a:t>指定</a:t>
          </a: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27.3.5. </a:t>
          </a:r>
          <a:r>
            <a:rPr kumimoji="1" lang="ja-JP" altLang="en-US" sz="1100">
              <a:latin typeface="Meiryo UI" panose="020B0604030504040204" pitchFamily="50" charset="-128"/>
              <a:ea typeface="Meiryo UI" panose="020B0604030504040204" pitchFamily="50" charset="-128"/>
            </a:rPr>
            <a:t>集計関数実行時に使用する</a:t>
          </a:r>
          <a:r>
            <a:rPr kumimoji="1" lang="en-US" altLang="ja-JP" sz="1100">
              <a:latin typeface="Meiryo UI" panose="020B0604030504040204" pitchFamily="50" charset="-128"/>
              <a:ea typeface="Meiryo UI" panose="020B0604030504040204" pitchFamily="50" charset="-128"/>
            </a:rPr>
            <a:t>SQL</a:t>
          </a:r>
          <a:r>
            <a:rPr kumimoji="1" lang="ja-JP" altLang="en-US" sz="1100">
              <a:latin typeface="Meiryo UI" panose="020B0604030504040204" pitchFamily="50" charset="-128"/>
              <a:ea typeface="Meiryo UI" panose="020B0604030504040204" pitchFamily="50" charset="-128"/>
            </a:rPr>
            <a:t>指定</a:t>
          </a:r>
        </a:p>
      </xdr:txBody>
    </xdr:sp>
    <xdr:clientData/>
  </xdr:twoCellAnchor>
  <xdr:twoCellAnchor>
    <xdr:from>
      <xdr:col>2</xdr:col>
      <xdr:colOff>549088</xdr:colOff>
      <xdr:row>574</xdr:row>
      <xdr:rowOff>179293</xdr:rowOff>
    </xdr:from>
    <xdr:to>
      <xdr:col>7</xdr:col>
      <xdr:colOff>336176</xdr:colOff>
      <xdr:row>580</xdr:row>
      <xdr:rowOff>78441</xdr:rowOff>
    </xdr:to>
    <xdr:sp macro="" textlink="">
      <xdr:nvSpPr>
        <xdr:cNvPr id="20" name="吹き出し: 折線 19">
          <a:extLst>
            <a:ext uri="{FF2B5EF4-FFF2-40B4-BE49-F238E27FC236}">
              <a16:creationId xmlns:a16="http://schemas.microsoft.com/office/drawing/2014/main" id="{F56B7BF5-57A2-4735-86E9-8CEC6B516C19}"/>
            </a:ext>
          </a:extLst>
        </xdr:cNvPr>
        <xdr:cNvSpPr/>
      </xdr:nvSpPr>
      <xdr:spPr>
        <a:xfrm>
          <a:off x="4605617" y="51569469"/>
          <a:ext cx="6477000" cy="1109384"/>
        </a:xfrm>
        <a:prstGeom prst="borderCallout2">
          <a:avLst>
            <a:gd name="adj1" fmla="val 18750"/>
            <a:gd name="adj2" fmla="val -8333"/>
            <a:gd name="adj3" fmla="val 18750"/>
            <a:gd name="adj4" fmla="val -16667"/>
            <a:gd name="adj5" fmla="val -42123"/>
            <a:gd name="adj6" fmla="val -2657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baseline="0"/>
            <a:t>dbQuery</a:t>
          </a:r>
          <a:r>
            <a:rPr kumimoji="1" lang="ja-JP" altLang="en-US" sz="1100" baseline="0"/>
            <a:t>の</a:t>
          </a:r>
          <a:r>
            <a:rPr kumimoji="1" lang="en-US" altLang="ja-JP" sz="1100" baseline="0"/>
            <a:t>select</a:t>
          </a:r>
          <a:r>
            <a:rPr kumimoji="1" lang="ja-JP" altLang="en-US" sz="1100" baseline="0"/>
            <a:t>句のカラムを、</a:t>
          </a:r>
          <a:r>
            <a:rPr kumimoji="1" lang="en-US" altLang="ja-JP" sz="1100" baseline="0"/>
            <a:t>count(*)</a:t>
          </a:r>
          <a:r>
            <a:rPr kumimoji="1" lang="ja-JP" altLang="en-US" sz="1100" baseline="0"/>
            <a:t>に置換えて</a:t>
          </a:r>
          <a:r>
            <a:rPr kumimoji="1" lang="en-US" altLang="ja-JP" sz="1100" baseline="0"/>
            <a:t>SQL</a:t>
          </a:r>
          <a:r>
            <a:rPr kumimoji="1" lang="ja-JP" altLang="en-US" sz="1100" baseline="0"/>
            <a:t>構文エラーとなる場合に記載が必要</a:t>
          </a:r>
        </a:p>
        <a:p>
          <a:pPr algn="l"/>
          <a:r>
            <a:rPr kumimoji="1" lang="en-US" altLang="ja-JP" sz="1100" baseline="0"/>
            <a:t>※</a:t>
          </a:r>
          <a:r>
            <a:rPr kumimoji="1" lang="ja-JP" altLang="en-US" sz="1100" baseline="0"/>
            <a:t>該当する</a:t>
          </a:r>
          <a:r>
            <a:rPr kumimoji="1" lang="en-US" altLang="ja-JP" sz="1100" baseline="0"/>
            <a:t>dbQuery</a:t>
          </a:r>
          <a:r>
            <a:rPr kumimoji="1" lang="ja-JP" altLang="en-US" sz="1100" baseline="0"/>
            <a:t>例：</a:t>
          </a:r>
        </a:p>
        <a:p>
          <a:pPr algn="l"/>
          <a:r>
            <a:rPr kumimoji="1" lang="ja-JP" altLang="en-US" sz="1100" baseline="0"/>
            <a:t>  </a:t>
          </a:r>
          <a:r>
            <a:rPr kumimoji="1" lang="en-US" altLang="ja-JP" sz="1100" baseline="0"/>
            <a:t>group by</a:t>
          </a:r>
          <a:r>
            <a:rPr kumimoji="1" lang="ja-JP" altLang="en-US" sz="1100" baseline="0"/>
            <a:t>を利用している</a:t>
          </a:r>
          <a:r>
            <a:rPr kumimoji="1" lang="en-US" altLang="ja-JP" sz="1100" baseline="0"/>
            <a:t>SQL</a:t>
          </a:r>
        </a:p>
        <a:p>
          <a:pPr algn="l"/>
          <a:r>
            <a:rPr kumimoji="1" lang="en-US" altLang="ja-JP" sz="1100" baseline="0"/>
            <a:t>  union</a:t>
          </a:r>
          <a:r>
            <a:rPr kumimoji="1" lang="ja-JP" altLang="en-US" sz="1100" baseline="0"/>
            <a:t>を利用している</a:t>
          </a:r>
          <a:r>
            <a:rPr kumimoji="1" lang="en-US" altLang="ja-JP" sz="1100" baseline="0"/>
            <a:t>SQL </a:t>
          </a:r>
          <a:r>
            <a:rPr kumimoji="1" lang="ja-JP" altLang="en-US" sz="1100" baseline="0"/>
            <a:t>（</a:t>
          </a:r>
          <a:r>
            <a:rPr kumimoji="1" lang="en-US" altLang="ja-JP" sz="1100" baseline="0"/>
            <a:t>SQL</a:t>
          </a:r>
          <a:r>
            <a:rPr kumimoji="1" lang="ja-JP" altLang="en-US" sz="1100" baseline="0"/>
            <a:t>構文エラーにならない場合も正しくカウントが取得できない）</a:t>
          </a:r>
          <a:endParaRPr kumimoji="1" lang="en-US" altLang="ja-JP" sz="1100" baseline="0"/>
        </a:p>
      </xdr:txBody>
    </xdr:sp>
    <xdr:clientData/>
  </xdr:twoCellAnchor>
  <xdr:twoCellAnchor>
    <xdr:from>
      <xdr:col>7</xdr:col>
      <xdr:colOff>638175</xdr:colOff>
      <xdr:row>17</xdr:row>
      <xdr:rowOff>57150</xdr:rowOff>
    </xdr:from>
    <xdr:to>
      <xdr:col>14</xdr:col>
      <xdr:colOff>180975</xdr:colOff>
      <xdr:row>19</xdr:row>
      <xdr:rowOff>123825</xdr:rowOff>
    </xdr:to>
    <xdr:sp macro="" textlink="">
      <xdr:nvSpPr>
        <xdr:cNvPr id="6" name="吹き出し: 折線 5">
          <a:extLst>
            <a:ext uri="{FF2B5EF4-FFF2-40B4-BE49-F238E27FC236}">
              <a16:creationId xmlns:a16="http://schemas.microsoft.com/office/drawing/2014/main" id="{372DB607-99BB-4652-B468-71FE14FEC037}"/>
            </a:ext>
          </a:extLst>
        </xdr:cNvPr>
        <xdr:cNvSpPr/>
      </xdr:nvSpPr>
      <xdr:spPr>
        <a:xfrm>
          <a:off x="11382375" y="3209925"/>
          <a:ext cx="3057525" cy="466725"/>
        </a:xfrm>
        <a:prstGeom prst="borderCallout2">
          <a:avLst>
            <a:gd name="adj1" fmla="val 18750"/>
            <a:gd name="adj2" fmla="val -8333"/>
            <a:gd name="adj3" fmla="val 18750"/>
            <a:gd name="adj4" fmla="val -16667"/>
            <a:gd name="adj5" fmla="val -40826"/>
            <a:gd name="adj6" fmla="val -3207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t>テーブル定義の</a:t>
          </a:r>
          <a:r>
            <a:rPr kumimoji="1" lang="en-US" altLang="ja-JP" sz="1100" baseline="0"/>
            <a:t>DM</a:t>
          </a:r>
          <a:r>
            <a:rPr kumimoji="1" lang="ja-JP" altLang="en-US" sz="1100" baseline="0"/>
            <a:t>の方の桁数とあわせる</a:t>
          </a:r>
          <a:endParaRPr kumimoji="1" lang="en-US" altLang="ja-JP" sz="1100" baseline="0"/>
        </a:p>
      </xdr:txBody>
    </xdr:sp>
    <xdr:clientData/>
  </xdr:twoCellAnchor>
  <xdr:twoCellAnchor>
    <xdr:from>
      <xdr:col>1</xdr:col>
      <xdr:colOff>400050</xdr:colOff>
      <xdr:row>0</xdr:row>
      <xdr:rowOff>152400</xdr:rowOff>
    </xdr:from>
    <xdr:to>
      <xdr:col>1</xdr:col>
      <xdr:colOff>3686175</xdr:colOff>
      <xdr:row>3</xdr:row>
      <xdr:rowOff>171451</xdr:rowOff>
    </xdr:to>
    <xdr:sp macro="" textlink="">
      <xdr:nvSpPr>
        <xdr:cNvPr id="9" name="吹き出し: 折線 8">
          <a:extLst>
            <a:ext uri="{FF2B5EF4-FFF2-40B4-BE49-F238E27FC236}">
              <a16:creationId xmlns:a16="http://schemas.microsoft.com/office/drawing/2014/main" id="{6BF3A982-B343-4F60-AC87-847DFDD4DD4A}"/>
            </a:ext>
          </a:extLst>
        </xdr:cNvPr>
        <xdr:cNvSpPr/>
      </xdr:nvSpPr>
      <xdr:spPr>
        <a:xfrm>
          <a:off x="733425" y="152400"/>
          <a:ext cx="3286125" cy="619126"/>
        </a:xfrm>
        <a:prstGeom prst="borderCallout2">
          <a:avLst>
            <a:gd name="adj1" fmla="val 18750"/>
            <a:gd name="adj2" fmla="val -8333"/>
            <a:gd name="adj3" fmla="val 18750"/>
            <a:gd name="adj4" fmla="val -16667"/>
            <a:gd name="adj5" fmla="val 18245"/>
            <a:gd name="adj6" fmla="val -1140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はじめに、フォーマットシートをコピーして作成</a:t>
          </a:r>
          <a:endParaRPr kumimoji="1" lang="en-US" altLang="ja-JP" sz="1100"/>
        </a:p>
      </xdr:txBody>
    </xdr:sp>
    <xdr:clientData/>
  </xdr:twoCellAnchor>
  <xdr:twoCellAnchor>
    <xdr:from>
      <xdr:col>3</xdr:col>
      <xdr:colOff>292100</xdr:colOff>
      <xdr:row>9</xdr:row>
      <xdr:rowOff>50799</xdr:rowOff>
    </xdr:from>
    <xdr:to>
      <xdr:col>9</xdr:col>
      <xdr:colOff>196850</xdr:colOff>
      <xdr:row>13</xdr:row>
      <xdr:rowOff>181428</xdr:rowOff>
    </xdr:to>
    <xdr:sp macro="" textlink="">
      <xdr:nvSpPr>
        <xdr:cNvPr id="11" name="吹き出し: 折線 10">
          <a:extLst>
            <a:ext uri="{FF2B5EF4-FFF2-40B4-BE49-F238E27FC236}">
              <a16:creationId xmlns:a16="http://schemas.microsoft.com/office/drawing/2014/main" id="{2691BB31-4A4C-4970-800F-184F9A2D151B}"/>
            </a:ext>
          </a:extLst>
        </xdr:cNvPr>
        <xdr:cNvSpPr/>
      </xdr:nvSpPr>
      <xdr:spPr>
        <a:xfrm>
          <a:off x="6306457" y="1602013"/>
          <a:ext cx="5429250" cy="937986"/>
        </a:xfrm>
        <a:prstGeom prst="borderCallout2">
          <a:avLst>
            <a:gd name="adj1" fmla="val 18750"/>
            <a:gd name="adj2" fmla="val -8333"/>
            <a:gd name="adj3" fmla="val 18750"/>
            <a:gd name="adj4" fmla="val -16667"/>
            <a:gd name="adj5" fmla="val -59847"/>
            <a:gd name="adj6" fmla="val -2226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テーブル名称</a:t>
          </a:r>
          <a:endParaRPr kumimoji="1" lang="en-US" altLang="ja-JP" sz="1100"/>
        </a:p>
        <a:p>
          <a:pPr algn="l"/>
          <a:r>
            <a:rPr kumimoji="1" lang="en-US" altLang="ja-JP" sz="1100"/>
            <a:t>JOIN</a:t>
          </a:r>
          <a:r>
            <a:rPr kumimoji="1" lang="ja-JP" altLang="en-US" sz="1100"/>
            <a:t>の主となるテーブル </a:t>
          </a:r>
          <a:r>
            <a:rPr kumimoji="1" lang="en-US" altLang="ja-JP" sz="1100"/>
            <a:t>+ </a:t>
          </a:r>
          <a:r>
            <a:rPr kumimoji="1" lang="ja-JP" altLang="en-US" sz="1100"/>
            <a:t>使用用途　</a:t>
          </a:r>
          <a:endParaRPr kumimoji="1" lang="en-US" altLang="ja-JP" sz="1100"/>
        </a:p>
        <a:p>
          <a:pPr algn="l"/>
          <a:r>
            <a:rPr kumimoji="1" lang="ja-JP" altLang="en-US" sz="1100"/>
            <a:t>（</a:t>
          </a:r>
          <a:r>
            <a:rPr kumimoji="1" lang="en-US" altLang="ja-JP" sz="1100"/>
            <a:t>※</a:t>
          </a:r>
          <a:r>
            <a:rPr kumimoji="1" lang="ja-JP" altLang="en-US" sz="1100"/>
            <a:t>使用用途。受注状況一覧、受注受付状況一覧のように被る場合は分かるように注意）</a:t>
          </a:r>
          <a:endParaRPr kumimoji="1" lang="en-US" altLang="ja-JP" sz="1100"/>
        </a:p>
      </xdr:txBody>
    </xdr:sp>
    <xdr:clientData/>
  </xdr:twoCellAnchor>
  <xdr:twoCellAnchor>
    <xdr:from>
      <xdr:col>2</xdr:col>
      <xdr:colOff>1933575</xdr:colOff>
      <xdr:row>0</xdr:row>
      <xdr:rowOff>190500</xdr:rowOff>
    </xdr:from>
    <xdr:to>
      <xdr:col>7</xdr:col>
      <xdr:colOff>85725</xdr:colOff>
      <xdr:row>4</xdr:row>
      <xdr:rowOff>38100</xdr:rowOff>
    </xdr:to>
    <xdr:sp macro="" textlink="">
      <xdr:nvSpPr>
        <xdr:cNvPr id="23" name="吹き出し: 折線 22">
          <a:extLst>
            <a:ext uri="{FF2B5EF4-FFF2-40B4-BE49-F238E27FC236}">
              <a16:creationId xmlns:a16="http://schemas.microsoft.com/office/drawing/2014/main" id="{8F32D17A-B8F7-4CAA-8347-A2A28A4A8B52}"/>
            </a:ext>
          </a:extLst>
        </xdr:cNvPr>
        <xdr:cNvSpPr/>
      </xdr:nvSpPr>
      <xdr:spPr>
        <a:xfrm>
          <a:off x="5981700" y="190500"/>
          <a:ext cx="4848225" cy="647700"/>
        </a:xfrm>
        <a:prstGeom prst="borderCallout2">
          <a:avLst>
            <a:gd name="adj1" fmla="val 18750"/>
            <a:gd name="adj2" fmla="val -8333"/>
            <a:gd name="adj3" fmla="val 18750"/>
            <a:gd name="adj4" fmla="val -16667"/>
            <a:gd name="adj5" fmla="val 64353"/>
            <a:gd name="adj6" fmla="val -2850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既存機能は</a:t>
          </a:r>
          <a:r>
            <a:rPr kumimoji="1" lang="en-US" altLang="ja-JP" sz="1100"/>
            <a:t>e-bas</a:t>
          </a:r>
          <a:r>
            <a:rPr kumimoji="1" lang="ja-JP" altLang="en-US" sz="1100"/>
            <a:t>詳細設計書もインプットとなる。</a:t>
          </a:r>
          <a:endParaRPr kumimoji="1" lang="en-US" altLang="ja-JP" sz="1100"/>
        </a:p>
        <a:p>
          <a:pPr algn="l"/>
          <a:r>
            <a:rPr kumimoji="1" lang="en-US" altLang="ja-JP" sz="1100"/>
            <a:t>e-bas</a:t>
          </a:r>
          <a:r>
            <a:rPr kumimoji="1" lang="ja-JP" altLang="en-US" sz="1100"/>
            <a:t>詳細設計書の見方は別途連携（</a:t>
          </a:r>
          <a:r>
            <a:rPr kumimoji="1" lang="en-US" altLang="ja-JP" sz="1100"/>
            <a:t>2</a:t>
          </a:r>
          <a:r>
            <a:rPr kumimoji="1" lang="ja-JP" altLang="en-US" sz="1100"/>
            <a:t>月～参画メンバー）</a:t>
          </a:r>
          <a:endParaRPr kumimoji="1" lang="en-US" altLang="ja-JP" sz="1100"/>
        </a:p>
      </xdr:txBody>
    </xdr:sp>
    <xdr:clientData/>
  </xdr:twoCellAnchor>
  <xdr:twoCellAnchor editAs="oneCell">
    <xdr:from>
      <xdr:col>4</xdr:col>
      <xdr:colOff>571499</xdr:colOff>
      <xdr:row>174</xdr:row>
      <xdr:rowOff>183752</xdr:rowOff>
    </xdr:from>
    <xdr:to>
      <xdr:col>9</xdr:col>
      <xdr:colOff>0</xdr:colOff>
      <xdr:row>188</xdr:row>
      <xdr:rowOff>114862</xdr:rowOff>
    </xdr:to>
    <xdr:pic>
      <xdr:nvPicPr>
        <xdr:cNvPr id="26" name="図 25">
          <a:extLst>
            <a:ext uri="{FF2B5EF4-FFF2-40B4-BE49-F238E27FC236}">
              <a16:creationId xmlns:a16="http://schemas.microsoft.com/office/drawing/2014/main" id="{A1C3F26B-E9FB-3D07-0C65-1B9BEBC32CE5}"/>
            </a:ext>
          </a:extLst>
        </xdr:cNvPr>
        <xdr:cNvPicPr>
          <a:picLocks noChangeAspect="1"/>
        </xdr:cNvPicPr>
      </xdr:nvPicPr>
      <xdr:blipFill>
        <a:blip xmlns:r="http://schemas.openxmlformats.org/officeDocument/2006/relationships" r:embed="rId2"/>
        <a:stretch>
          <a:fillRect/>
        </a:stretch>
      </xdr:blipFill>
      <xdr:spPr>
        <a:xfrm>
          <a:off x="8315324" y="36740702"/>
          <a:ext cx="3200401" cy="2731460"/>
        </a:xfrm>
        <a:prstGeom prst="rect">
          <a:avLst/>
        </a:prstGeom>
      </xdr:spPr>
    </xdr:pic>
    <xdr:clientData/>
  </xdr:twoCellAnchor>
  <xdr:twoCellAnchor>
    <xdr:from>
      <xdr:col>4</xdr:col>
      <xdr:colOff>295275</xdr:colOff>
      <xdr:row>190</xdr:row>
      <xdr:rowOff>190499</xdr:rowOff>
    </xdr:from>
    <xdr:to>
      <xdr:col>15</xdr:col>
      <xdr:colOff>219075</xdr:colOff>
      <xdr:row>195</xdr:row>
      <xdr:rowOff>76199</xdr:rowOff>
    </xdr:to>
    <xdr:sp macro="" textlink="">
      <xdr:nvSpPr>
        <xdr:cNvPr id="5" name="吹き出し: 折線 4">
          <a:extLst>
            <a:ext uri="{FF2B5EF4-FFF2-40B4-BE49-F238E27FC236}">
              <a16:creationId xmlns:a16="http://schemas.microsoft.com/office/drawing/2014/main" id="{5FB5437A-1BF7-4D82-8F9D-E1F3E9062668}"/>
            </a:ext>
          </a:extLst>
        </xdr:cNvPr>
        <xdr:cNvSpPr/>
      </xdr:nvSpPr>
      <xdr:spPr>
        <a:xfrm>
          <a:off x="8039100" y="39947849"/>
          <a:ext cx="6677025" cy="885825"/>
        </a:xfrm>
        <a:prstGeom prst="borderCallout2">
          <a:avLst>
            <a:gd name="adj1" fmla="val 18750"/>
            <a:gd name="adj2" fmla="val -8333"/>
            <a:gd name="adj3" fmla="val 18750"/>
            <a:gd name="adj4" fmla="val -16667"/>
            <a:gd name="adj5" fmla="val 54896"/>
            <a:gd name="adj6" fmla="val -43149"/>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セッション管理項目は下記参照</a:t>
          </a:r>
          <a:endParaRPr kumimoji="1" lang="en-US" altLang="ja-JP" sz="1100"/>
        </a:p>
        <a:p>
          <a:pPr algn="l"/>
          <a:r>
            <a:rPr kumimoji="1" lang="en-US" altLang="ja-JP" sz="1100"/>
            <a:t>C:\ngc_niccs\documents\04_</a:t>
          </a:r>
          <a:r>
            <a:rPr kumimoji="1" lang="ja-JP" altLang="en-US" sz="1100"/>
            <a:t>内部設計</a:t>
          </a:r>
          <a:r>
            <a:rPr kumimoji="1" lang="en-US" altLang="ja-JP" sz="1100"/>
            <a:t>\02_</a:t>
          </a:r>
          <a:r>
            <a:rPr kumimoji="1" lang="ja-JP" altLang="en-US" sz="1100"/>
            <a:t>作成ドキュメント</a:t>
          </a:r>
          <a:r>
            <a:rPr kumimoji="1" lang="en-US" altLang="ja-JP" sz="1100"/>
            <a:t>\50_</a:t>
          </a:r>
          <a:r>
            <a:rPr kumimoji="1" lang="ja-JP" altLang="en-US" sz="1100"/>
            <a:t>機能設計</a:t>
          </a:r>
          <a:r>
            <a:rPr kumimoji="1" lang="en-US" altLang="ja-JP" sz="1100"/>
            <a:t>\45_</a:t>
          </a:r>
          <a:r>
            <a:rPr kumimoji="1" lang="ja-JP" altLang="en-US" sz="1100"/>
            <a:t>共通設計書</a:t>
          </a:r>
          <a:r>
            <a:rPr kumimoji="1" lang="en-US" altLang="ja-JP" sz="1100"/>
            <a:t>\01_</a:t>
          </a:r>
          <a:r>
            <a:rPr kumimoji="1" lang="ja-JP" altLang="en-US" sz="1100"/>
            <a:t>共通仕様</a:t>
          </a:r>
          <a:endParaRPr kumimoji="1" lang="en-US" altLang="ja-JP" sz="1100"/>
        </a:p>
        <a:p>
          <a:pPr algn="l"/>
          <a:r>
            <a:rPr kumimoji="1" lang="ja-JP" altLang="en-US" sz="1100"/>
            <a:t>　└</a:t>
          </a:r>
          <a:r>
            <a:rPr kumimoji="1" lang="en-US" altLang="ja-JP" sz="1100"/>
            <a:t>03_50_45_01_09_【</a:t>
          </a:r>
          <a:r>
            <a:rPr kumimoji="1" lang="ja-JP" altLang="en-US" sz="1100"/>
            <a:t>共通仕様</a:t>
          </a:r>
          <a:r>
            <a:rPr kumimoji="1" lang="en-US" altLang="ja-JP" sz="1100"/>
            <a:t>】</a:t>
          </a:r>
          <a:r>
            <a:rPr kumimoji="1" lang="ja-JP" altLang="en-US" sz="1100"/>
            <a:t>セッション管理項目一覧</a:t>
          </a:r>
          <a:r>
            <a:rPr kumimoji="1" lang="en-US" altLang="ja-JP" sz="1100"/>
            <a:t>.xlsx</a:t>
          </a:r>
        </a:p>
      </xdr:txBody>
    </xdr:sp>
    <xdr:clientData/>
  </xdr:twoCellAnchor>
  <xdr:twoCellAnchor>
    <xdr:from>
      <xdr:col>10</xdr:col>
      <xdr:colOff>661147</xdr:colOff>
      <xdr:row>32</xdr:row>
      <xdr:rowOff>56029</xdr:rowOff>
    </xdr:from>
    <xdr:to>
      <xdr:col>30</xdr:col>
      <xdr:colOff>11206</xdr:colOff>
      <xdr:row>36</xdr:row>
      <xdr:rowOff>65555</xdr:rowOff>
    </xdr:to>
    <xdr:sp macro="" textlink="">
      <xdr:nvSpPr>
        <xdr:cNvPr id="8" name="吹き出し: 折線 7">
          <a:extLst>
            <a:ext uri="{FF2B5EF4-FFF2-40B4-BE49-F238E27FC236}">
              <a16:creationId xmlns:a16="http://schemas.microsoft.com/office/drawing/2014/main" id="{F453B4A6-5321-4780-B5B8-7A6805980675}"/>
            </a:ext>
          </a:extLst>
        </xdr:cNvPr>
        <xdr:cNvSpPr/>
      </xdr:nvSpPr>
      <xdr:spPr>
        <a:xfrm flipH="1">
          <a:off x="12864353" y="6869205"/>
          <a:ext cx="5165912" cy="816350"/>
        </a:xfrm>
        <a:prstGeom prst="borderCallout2">
          <a:avLst>
            <a:gd name="adj1" fmla="val 18750"/>
            <a:gd name="adj2" fmla="val -8333"/>
            <a:gd name="adj3" fmla="val 18750"/>
            <a:gd name="adj4" fmla="val -16667"/>
            <a:gd name="adj5" fmla="val -82510"/>
            <a:gd name="adj6" fmla="val -25370"/>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en-US" altLang="ja-JP" sz="1100" baseline="0">
              <a:solidFill>
                <a:sysClr val="windowText" lastClr="000000"/>
              </a:solidFill>
            </a:rPr>
            <a:t>2026/03/12</a:t>
          </a:r>
        </a:p>
        <a:p>
          <a:pPr algn="l"/>
          <a:r>
            <a:rPr kumimoji="1" lang="ja-JP" altLang="en-US" sz="1100" baseline="0">
              <a:solidFill>
                <a:sysClr val="windowText" lastClr="000000"/>
              </a:solidFill>
            </a:rPr>
            <a:t>印刷欄外に実際の取得元テーブルと取得元カラムを記載</a:t>
          </a:r>
          <a:endParaRPr kumimoji="1" lang="en-US" altLang="ja-JP" sz="1100" baseline="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基本は画面設計書</a:t>
          </a:r>
          <a:r>
            <a:rPr kumimoji="1" lang="en-US" altLang="ja-JP" sz="1100">
              <a:solidFill>
                <a:sysClr val="windowText" lastClr="000000"/>
              </a:solidFill>
              <a:effectLst/>
              <a:latin typeface="+mn-lt"/>
              <a:ea typeface="+mn-ea"/>
              <a:cs typeface="+mn-cs"/>
            </a:rPr>
            <a:t>_</a:t>
          </a:r>
          <a:r>
            <a:rPr kumimoji="1" lang="ja-JP" altLang="ja-JP" sz="1100">
              <a:solidFill>
                <a:sysClr val="windowText" lastClr="000000"/>
              </a:solidFill>
              <a:effectLst/>
              <a:latin typeface="+mn-lt"/>
              <a:ea typeface="+mn-ea"/>
              <a:cs typeface="+mn-cs"/>
            </a:rPr>
            <a:t>画面項目説明書シートの対象テーブル情報をコピーでよいはず。</a:t>
          </a:r>
          <a:endParaRPr lang="ja-JP" altLang="ja-JP">
            <a:solidFill>
              <a:sysClr val="windowText" lastClr="000000"/>
            </a:solidFill>
            <a:effectLst/>
          </a:endParaRPr>
        </a:p>
        <a:p>
          <a:pPr algn="l"/>
          <a:endParaRPr kumimoji="1" lang="en-US" altLang="ja-JP" sz="1100" baseline="0">
            <a:solidFill>
              <a:sysClr val="windowText" lastClr="000000"/>
            </a:solidFill>
          </a:endParaRPr>
        </a:p>
      </xdr:txBody>
    </xdr:sp>
    <xdr:clientData/>
  </xdr:twoCellAnchor>
  <xdr:twoCellAnchor>
    <xdr:from>
      <xdr:col>1</xdr:col>
      <xdr:colOff>1938618</xdr:colOff>
      <xdr:row>579</xdr:row>
      <xdr:rowOff>145676</xdr:rowOff>
    </xdr:from>
    <xdr:to>
      <xdr:col>2</xdr:col>
      <xdr:colOff>33618</xdr:colOff>
      <xdr:row>582</xdr:row>
      <xdr:rowOff>67236</xdr:rowOff>
    </xdr:to>
    <xdr:sp macro="" textlink="">
      <xdr:nvSpPr>
        <xdr:cNvPr id="21" name="吹き出し: 折線 20">
          <a:extLst>
            <a:ext uri="{FF2B5EF4-FFF2-40B4-BE49-F238E27FC236}">
              <a16:creationId xmlns:a16="http://schemas.microsoft.com/office/drawing/2014/main" id="{30A2BDE8-FB15-4908-A8DD-489B353B67F7}"/>
            </a:ext>
          </a:extLst>
        </xdr:cNvPr>
        <xdr:cNvSpPr/>
      </xdr:nvSpPr>
      <xdr:spPr>
        <a:xfrm>
          <a:off x="2274794" y="52947794"/>
          <a:ext cx="1815353" cy="526677"/>
        </a:xfrm>
        <a:prstGeom prst="borderCallout2">
          <a:avLst>
            <a:gd name="adj1" fmla="val 18750"/>
            <a:gd name="adj2" fmla="val -8333"/>
            <a:gd name="adj3" fmla="val 18750"/>
            <a:gd name="adj4" fmla="val -16667"/>
            <a:gd name="adj5" fmla="val -82510"/>
            <a:gd name="adj6" fmla="val -25370"/>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ja-JP" altLang="en-US" sz="1100" baseline="0">
              <a:solidFill>
                <a:sysClr val="windowText" lastClr="000000"/>
              </a:solidFill>
            </a:rPr>
            <a:t>備考欄の追加</a:t>
          </a:r>
          <a:endParaRPr kumimoji="1" lang="en-US" altLang="ja-JP" sz="1100" baseline="0">
            <a:solidFill>
              <a:sysClr val="windowText" lastClr="000000"/>
            </a:solidFill>
          </a:endParaRPr>
        </a:p>
      </xdr:txBody>
    </xdr:sp>
    <xdr:clientData/>
  </xdr:twoCellAnchor>
  <xdr:twoCellAnchor>
    <xdr:from>
      <xdr:col>9</xdr:col>
      <xdr:colOff>224118</xdr:colOff>
      <xdr:row>200</xdr:row>
      <xdr:rowOff>67236</xdr:rowOff>
    </xdr:from>
    <xdr:to>
      <xdr:col>31</xdr:col>
      <xdr:colOff>145677</xdr:colOff>
      <xdr:row>530</xdr:row>
      <xdr:rowOff>33617</xdr:rowOff>
    </xdr:to>
    <xdr:sp macro="" textlink="">
      <xdr:nvSpPr>
        <xdr:cNvPr id="27" name="吹き出し: 折線 26">
          <a:extLst>
            <a:ext uri="{FF2B5EF4-FFF2-40B4-BE49-F238E27FC236}">
              <a16:creationId xmlns:a16="http://schemas.microsoft.com/office/drawing/2014/main" id="{4B1D4C65-01A9-4086-9B36-E50DF7AD02F4}"/>
            </a:ext>
          </a:extLst>
        </xdr:cNvPr>
        <xdr:cNvSpPr/>
      </xdr:nvSpPr>
      <xdr:spPr>
        <a:xfrm>
          <a:off x="11743765" y="40363589"/>
          <a:ext cx="6656294" cy="2185146"/>
        </a:xfrm>
        <a:prstGeom prst="borderCallout2">
          <a:avLst>
            <a:gd name="adj1" fmla="val 18750"/>
            <a:gd name="adj2" fmla="val -8333"/>
            <a:gd name="adj3" fmla="val 18750"/>
            <a:gd name="adj4" fmla="val -16667"/>
            <a:gd name="adj5" fmla="val 64395"/>
            <a:gd name="adj6" fmla="val -25773"/>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ja-JP" altLang="en-US" sz="1100" strike="sngStrike" baseline="0">
              <a:solidFill>
                <a:sysClr val="windowText" lastClr="000000"/>
              </a:solidFill>
            </a:rPr>
            <a:t>①</a:t>
          </a:r>
          <a:r>
            <a:rPr kumimoji="1" lang="en-US" altLang="ja-JP" sz="1100" strike="sngStrike" baseline="0">
              <a:solidFill>
                <a:sysClr val="windowText" lastClr="000000"/>
              </a:solidFill>
            </a:rPr>
            <a:t>B</a:t>
          </a:r>
          <a:r>
            <a:rPr kumimoji="1" lang="ja-JP" altLang="en-US" sz="1100" strike="sngStrike" baseline="0">
              <a:solidFill>
                <a:sysClr val="windowText" lastClr="000000"/>
              </a:solidFill>
            </a:rPr>
            <a:t>、</a:t>
          </a:r>
          <a:r>
            <a:rPr kumimoji="1" lang="en-US" altLang="ja-JP" sz="1100" strike="sngStrike" baseline="0">
              <a:solidFill>
                <a:sysClr val="windowText" lastClr="000000"/>
              </a:solidFill>
            </a:rPr>
            <a:t>C</a:t>
          </a:r>
          <a:r>
            <a:rPr kumimoji="1" lang="ja-JP" altLang="en-US" sz="1100" strike="sngStrike" baseline="0">
              <a:solidFill>
                <a:sysClr val="windowText" lastClr="000000"/>
              </a:solidFill>
            </a:rPr>
            <a:t>列に上のカラム欄をコピー</a:t>
          </a:r>
          <a:endParaRPr kumimoji="1" lang="en-US" altLang="ja-JP" sz="1100" strike="sngStrike" baseline="0">
            <a:solidFill>
              <a:sysClr val="windowText" lastClr="000000"/>
            </a:solidFill>
          </a:endParaRPr>
        </a:p>
        <a:p>
          <a:pPr algn="l"/>
          <a:r>
            <a:rPr kumimoji="1" lang="ja-JP" altLang="en-US" sz="1100" strike="sngStrike" baseline="0">
              <a:solidFill>
                <a:sysClr val="windowText" lastClr="000000"/>
              </a:solidFill>
            </a:rPr>
            <a:t>②</a:t>
          </a:r>
          <a:r>
            <a:rPr kumimoji="1" lang="en-US" altLang="ja-JP" sz="1100" strike="sngStrike" baseline="0">
              <a:solidFill>
                <a:sysClr val="windowText" lastClr="000000"/>
              </a:solidFill>
            </a:rPr>
            <a:t>D</a:t>
          </a:r>
          <a:r>
            <a:rPr kumimoji="1" lang="ja-JP" altLang="en-US" sz="1100" strike="sngStrike" baseline="0">
              <a:solidFill>
                <a:sysClr val="windowText" lastClr="000000"/>
              </a:solidFill>
            </a:rPr>
            <a:t>、</a:t>
          </a:r>
          <a:r>
            <a:rPr kumimoji="1" lang="en-US" altLang="ja-JP" sz="1100" strike="sngStrike" baseline="0">
              <a:solidFill>
                <a:sysClr val="windowText" lastClr="000000"/>
              </a:solidFill>
            </a:rPr>
            <a:t>E</a:t>
          </a:r>
          <a:r>
            <a:rPr kumimoji="1" lang="ja-JP" altLang="en-US" sz="1100" strike="sngStrike" baseline="0">
              <a:solidFill>
                <a:sysClr val="windowText" lastClr="000000"/>
              </a:solidFill>
            </a:rPr>
            <a:t>列にテーブル名、カラム名欄を用意し、取得元テーブル、カラムが分かるようにする</a:t>
          </a:r>
          <a:endParaRPr kumimoji="1" lang="en-US" altLang="ja-JP" sz="1100" strike="sngStrike" baseline="0">
            <a:solidFill>
              <a:sysClr val="windowText" lastClr="000000"/>
            </a:solidFill>
          </a:endParaRPr>
        </a:p>
        <a:p>
          <a:pPr algn="l"/>
          <a:r>
            <a:rPr kumimoji="1" lang="ja-JP" altLang="en-US" sz="1100" strike="sngStrike" baseline="0">
              <a:solidFill>
                <a:sysClr val="windowText" lastClr="000000"/>
              </a:solidFill>
            </a:rPr>
            <a:t>　基本は画面設計書</a:t>
          </a:r>
          <a:r>
            <a:rPr kumimoji="1" lang="en-US" altLang="ja-JP" sz="1100" strike="sngStrike" baseline="0">
              <a:solidFill>
                <a:sysClr val="windowText" lastClr="000000"/>
              </a:solidFill>
            </a:rPr>
            <a:t>_</a:t>
          </a:r>
          <a:r>
            <a:rPr kumimoji="1" lang="ja-JP" altLang="en-US" sz="1100" strike="sngStrike" baseline="0">
              <a:solidFill>
                <a:sysClr val="windowText" lastClr="000000"/>
              </a:solidFill>
            </a:rPr>
            <a:t>画面項目説明書シートの対象テーブル情報をコピーでよいはず。</a:t>
          </a:r>
          <a:endParaRPr kumimoji="1" lang="en-US" altLang="ja-JP" sz="1100" strike="sngStrike" baseline="0">
            <a:solidFill>
              <a:sysClr val="windowText" lastClr="000000"/>
            </a:solidFill>
          </a:endParaRPr>
        </a:p>
        <a:p>
          <a:pPr algn="l"/>
          <a:r>
            <a:rPr kumimoji="1" lang="ja-JP" altLang="en-US" sz="1100" strike="sngStrike" baseline="0">
              <a:solidFill>
                <a:sysClr val="windowText" lastClr="000000"/>
              </a:solidFill>
            </a:rPr>
            <a:t>③カードでは、左記のように</a:t>
          </a:r>
          <a:r>
            <a:rPr kumimoji="1" lang="en-US" altLang="ja-JP" sz="1100" strike="sngStrike" baseline="0">
              <a:solidFill>
                <a:sysClr val="windowText" lastClr="000000"/>
              </a:solidFill>
            </a:rPr>
            <a:t>select</a:t>
          </a:r>
          <a:r>
            <a:rPr kumimoji="1" lang="ja-JP" altLang="en-US" sz="1100" strike="sngStrike" baseline="0">
              <a:solidFill>
                <a:sysClr val="windowText" lastClr="000000"/>
              </a:solidFill>
            </a:rPr>
            <a:t>句、</a:t>
          </a:r>
          <a:r>
            <a:rPr kumimoji="1" lang="en-US" altLang="ja-JP" sz="1100" strike="sngStrike" baseline="0">
              <a:solidFill>
                <a:sysClr val="windowText" lastClr="000000"/>
              </a:solidFill>
            </a:rPr>
            <a:t>where</a:t>
          </a:r>
          <a:r>
            <a:rPr kumimoji="1" lang="ja-JP" altLang="en-US" sz="1100" strike="sngStrike" baseline="0">
              <a:solidFill>
                <a:sysClr val="windowText" lastClr="000000"/>
              </a:solidFill>
            </a:rPr>
            <a:t>句のみを記載し、詳細な記載は開発局面とする</a:t>
          </a:r>
          <a:endParaRPr kumimoji="1" lang="en-US" altLang="ja-JP" sz="1100" strike="sngStrike" baseline="0">
            <a:solidFill>
              <a:sysClr val="windowText" lastClr="000000"/>
            </a:solidFill>
          </a:endParaRPr>
        </a:p>
        <a:p>
          <a:pPr algn="l"/>
          <a:r>
            <a:rPr kumimoji="1" lang="ja-JP" altLang="en-US" sz="1100" strike="sngStrike" baseline="0">
              <a:solidFill>
                <a:sysClr val="windowText" lastClr="000000"/>
              </a:solidFill>
            </a:rPr>
            <a:t>④外部設計で記載した対象条件を</a:t>
          </a:r>
          <a:r>
            <a:rPr kumimoji="1" lang="en-US" altLang="ja-JP" sz="1100" strike="sngStrike" baseline="0">
              <a:solidFill>
                <a:sysClr val="windowText" lastClr="000000"/>
              </a:solidFill>
            </a:rPr>
            <a:t>where</a:t>
          </a:r>
          <a:r>
            <a:rPr kumimoji="1" lang="ja-JP" altLang="en-US" sz="1100" strike="sngStrike" baseline="0">
              <a:solidFill>
                <a:sysClr val="windowText" lastClr="000000"/>
              </a:solidFill>
            </a:rPr>
            <a:t>句に記載する（日本語）</a:t>
          </a:r>
          <a:r>
            <a:rPr kumimoji="1" lang="en-US" altLang="ja-JP" sz="1100" strike="sngStrike" baseline="0">
              <a:solidFill>
                <a:sysClr val="windowText" lastClr="000000"/>
              </a:solidFill>
            </a:rPr>
            <a:t>※</a:t>
          </a:r>
          <a:r>
            <a:rPr kumimoji="1" lang="ja-JP" altLang="en-US" sz="1100" strike="sngStrike" baseline="0">
              <a:solidFill>
                <a:sysClr val="windowText" lastClr="000000"/>
              </a:solidFill>
            </a:rPr>
            <a:t>要見直し</a:t>
          </a:r>
          <a:endParaRPr kumimoji="1" lang="en-US" altLang="ja-JP" sz="1100" strike="sngStrike" baseline="0">
            <a:solidFill>
              <a:sysClr val="windowText" lastClr="000000"/>
            </a:solidFill>
          </a:endParaRPr>
        </a:p>
        <a:p>
          <a:pPr algn="l"/>
          <a:endParaRPr kumimoji="1" lang="en-US" altLang="ja-JP" sz="1100" strike="sngStrike" baseline="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2026/03/12</a:t>
          </a:r>
          <a:endParaRPr kumimoji="1" lang="en-US" altLang="ja-JP" sz="1100" strike="sngStrike" baseline="0">
            <a:solidFill>
              <a:sysClr val="windowText" lastClr="000000"/>
            </a:solidFill>
          </a:endParaRPr>
        </a:p>
        <a:p>
          <a:r>
            <a:rPr kumimoji="1" lang="ja-JP" altLang="ja-JP" sz="1100">
              <a:solidFill>
                <a:schemeClr val="dk1"/>
              </a:solidFill>
              <a:effectLst/>
              <a:latin typeface="+mn-lt"/>
              <a:ea typeface="+mn-ea"/>
              <a:cs typeface="+mn-cs"/>
            </a:rPr>
            <a:t>①カードでは、左記のように</a:t>
          </a:r>
          <a:r>
            <a:rPr kumimoji="1" lang="en-US" altLang="ja-JP" sz="1100">
              <a:solidFill>
                <a:schemeClr val="dk1"/>
              </a:solidFill>
              <a:effectLst/>
              <a:latin typeface="+mn-lt"/>
              <a:ea typeface="+mn-ea"/>
              <a:cs typeface="+mn-cs"/>
            </a:rPr>
            <a:t>select</a:t>
          </a:r>
          <a:r>
            <a:rPr kumimoji="1" lang="ja-JP" altLang="ja-JP" sz="1100">
              <a:solidFill>
                <a:schemeClr val="dk1"/>
              </a:solidFill>
              <a:effectLst/>
              <a:latin typeface="+mn-lt"/>
              <a:ea typeface="+mn-ea"/>
              <a:cs typeface="+mn-cs"/>
            </a:rPr>
            <a:t>句、</a:t>
          </a:r>
          <a:r>
            <a:rPr kumimoji="1" lang="en-US" altLang="ja-JP" sz="1100">
              <a:solidFill>
                <a:schemeClr val="dk1"/>
              </a:solidFill>
              <a:effectLst/>
              <a:latin typeface="+mn-lt"/>
              <a:ea typeface="+mn-ea"/>
              <a:cs typeface="+mn-cs"/>
            </a:rPr>
            <a:t>from</a:t>
          </a:r>
          <a:r>
            <a:rPr kumimoji="1" lang="ja-JP" altLang="ja-JP" sz="1100">
              <a:solidFill>
                <a:schemeClr val="dk1"/>
              </a:solidFill>
              <a:effectLst/>
              <a:latin typeface="+mn-lt"/>
              <a:ea typeface="+mn-ea"/>
              <a:cs typeface="+mn-cs"/>
            </a:rPr>
            <a:t>句、</a:t>
          </a:r>
          <a:r>
            <a:rPr kumimoji="1" lang="en-US" altLang="ja-JP" sz="1100">
              <a:solidFill>
                <a:schemeClr val="dk1"/>
              </a:solidFill>
              <a:effectLst/>
              <a:latin typeface="+mn-lt"/>
              <a:ea typeface="+mn-ea"/>
              <a:cs typeface="+mn-cs"/>
            </a:rPr>
            <a:t>where</a:t>
          </a:r>
          <a:r>
            <a:rPr kumimoji="1" lang="ja-JP" altLang="ja-JP" sz="1100">
              <a:solidFill>
                <a:schemeClr val="dk1"/>
              </a:solidFill>
              <a:effectLst/>
              <a:latin typeface="+mn-lt"/>
              <a:ea typeface="+mn-ea"/>
              <a:cs typeface="+mn-cs"/>
            </a:rPr>
            <a:t>句のみを記載し、詳細な記載は開発局面とする</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select</a:t>
          </a:r>
          <a:r>
            <a:rPr kumimoji="1" lang="ja-JP" altLang="en-US" sz="1100">
              <a:solidFill>
                <a:schemeClr val="dk1"/>
              </a:solidFill>
              <a:effectLst/>
              <a:latin typeface="+mn-lt"/>
              <a:ea typeface="+mn-ea"/>
              <a:cs typeface="+mn-cs"/>
            </a:rPr>
            <a:t>句：上記参照（カラムリストの印刷範囲外）</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from</a:t>
          </a:r>
          <a:r>
            <a:rPr kumimoji="1" lang="ja-JP" altLang="en-US" sz="1100">
              <a:solidFill>
                <a:schemeClr val="dk1"/>
              </a:solidFill>
              <a:effectLst/>
              <a:latin typeface="+mn-lt"/>
              <a:ea typeface="+mn-ea"/>
              <a:cs typeface="+mn-cs"/>
            </a:rPr>
            <a:t>句：上記参照（概要　１．対象テーブル、２．結合条件）</a:t>
          </a:r>
          <a:endParaRPr kumimoji="1" lang="en-US" altLang="ja-JP" sz="1100">
            <a:solidFill>
              <a:schemeClr val="dk1"/>
            </a:solidFill>
            <a:effectLst/>
            <a:latin typeface="+mn-lt"/>
            <a:ea typeface="+mn-ea"/>
            <a:cs typeface="+mn-cs"/>
          </a:endParaRPr>
        </a:p>
        <a:p>
          <a:r>
            <a:rPr kumimoji="1" lang="en-US" altLang="ja-JP" sz="110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where</a:t>
          </a:r>
          <a:r>
            <a:rPr kumimoji="1" lang="ja-JP" altLang="en-US" sz="1100" baseline="0">
              <a:solidFill>
                <a:schemeClr val="dk1"/>
              </a:solidFill>
              <a:effectLst/>
              <a:latin typeface="+mn-lt"/>
              <a:ea typeface="+mn-ea"/>
              <a:cs typeface="+mn-cs"/>
            </a:rPr>
            <a:t>句：</a:t>
          </a:r>
          <a:r>
            <a:rPr kumimoji="1" lang="ja-JP" altLang="ja-JP" sz="1100">
              <a:solidFill>
                <a:schemeClr val="dk1"/>
              </a:solidFill>
              <a:effectLst/>
              <a:latin typeface="+mn-lt"/>
              <a:ea typeface="+mn-ea"/>
              <a:cs typeface="+mn-cs"/>
            </a:rPr>
            <a:t>外部設計で記載した対象条件を</a:t>
          </a:r>
          <a:r>
            <a:rPr kumimoji="1" lang="en-US" altLang="ja-JP" sz="1100">
              <a:solidFill>
                <a:schemeClr val="dk1"/>
              </a:solidFill>
              <a:effectLst/>
              <a:latin typeface="+mn-lt"/>
              <a:ea typeface="+mn-ea"/>
              <a:cs typeface="+mn-cs"/>
            </a:rPr>
            <a:t>where</a:t>
          </a:r>
          <a:r>
            <a:rPr kumimoji="1" lang="ja-JP" altLang="ja-JP" sz="1100">
              <a:solidFill>
                <a:schemeClr val="dk1"/>
              </a:solidFill>
              <a:effectLst/>
              <a:latin typeface="+mn-lt"/>
              <a:ea typeface="+mn-ea"/>
              <a:cs typeface="+mn-cs"/>
            </a:rPr>
            <a:t>句に記載する（日本語）</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要見直し</a:t>
          </a:r>
          <a:endParaRPr lang="ja-JP" altLang="ja-JP">
            <a:effectLst/>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2</xdr:colOff>
          <xdr:row>0</xdr:row>
          <xdr:rowOff>0</xdr:rowOff>
        </xdr:from>
        <xdr:ext cx="15020925" cy="762000"/>
        <xdr:pic>
          <xdr:nvPicPr>
            <xdr:cNvPr id="2" name="図 1">
              <a:extLst>
                <a:ext uri="{FF2B5EF4-FFF2-40B4-BE49-F238E27FC236}">
                  <a16:creationId xmlns:a16="http://schemas.microsoft.com/office/drawing/2014/main" id="{F9D3F358-0D74-401F-AC38-DDF753F51F3B}"/>
                </a:ext>
              </a:extLst>
            </xdr:cNvPr>
            <xdr:cNvPicPr>
              <a:picLocks noChangeAspect="1" noChangeArrowheads="1"/>
              <a:extLst>
                <a:ext uri="{84589F7E-364E-4C9E-8A38-B11213B215E9}">
                  <a14:cameraTool cellRange="改版履歴!$A$1:$CE$4" spid="_x0000_s34833"/>
                </a:ext>
              </a:extLst>
            </xdr:cNvPicPr>
          </xdr:nvPicPr>
          <xdr:blipFill>
            <a:blip xmlns:r="http://schemas.openxmlformats.org/officeDocument/2006/relationships" r:embed="rId1"/>
            <a:srcRect/>
            <a:stretch>
              <a:fillRect/>
            </a:stretch>
          </xdr:blipFill>
          <xdr:spPr bwMode="auto">
            <a:xfrm>
              <a:off x="2" y="0"/>
              <a:ext cx="15020925" cy="762000"/>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2</xdr:col>
      <xdr:colOff>392205</xdr:colOff>
      <xdr:row>110</xdr:row>
      <xdr:rowOff>11206</xdr:rowOff>
    </xdr:from>
    <xdr:to>
      <xdr:col>9</xdr:col>
      <xdr:colOff>302559</xdr:colOff>
      <xdr:row>113</xdr:row>
      <xdr:rowOff>112059</xdr:rowOff>
    </xdr:to>
    <xdr:sp macro="" textlink="">
      <xdr:nvSpPr>
        <xdr:cNvPr id="3" name="吹き出し: 折線 2">
          <a:extLst>
            <a:ext uri="{FF2B5EF4-FFF2-40B4-BE49-F238E27FC236}">
              <a16:creationId xmlns:a16="http://schemas.microsoft.com/office/drawing/2014/main" id="{B721FAF3-C750-493C-9395-5C821F04BDB3}"/>
            </a:ext>
          </a:extLst>
        </xdr:cNvPr>
        <xdr:cNvSpPr/>
      </xdr:nvSpPr>
      <xdr:spPr>
        <a:xfrm>
          <a:off x="2991970" y="23554765"/>
          <a:ext cx="4269442" cy="705970"/>
        </a:xfrm>
        <a:prstGeom prst="borderCallout2">
          <a:avLst>
            <a:gd name="adj1" fmla="val 18750"/>
            <a:gd name="adj2" fmla="val -8333"/>
            <a:gd name="adj3" fmla="val 18750"/>
            <a:gd name="adj4" fmla="val -16667"/>
            <a:gd name="adj5" fmla="val 80839"/>
            <a:gd name="adj6" fmla="val -37251"/>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en-US" altLang="ja-JP" sz="1100" baseline="0">
              <a:solidFill>
                <a:sysClr val="windowText" lastClr="000000"/>
              </a:solidFill>
            </a:rPr>
            <a:t>2026/03/12</a:t>
          </a:r>
        </a:p>
        <a:p>
          <a:pPr algn="l"/>
          <a:r>
            <a:rPr kumimoji="1" lang="ja-JP" altLang="en-US" sz="1100" baseline="0">
              <a:solidFill>
                <a:sysClr val="windowText" lastClr="000000"/>
              </a:solidFill>
            </a:rPr>
            <a:t>結合テーブル数が多かったり複雑なものは、備考欄に表形式で記載</a:t>
          </a:r>
          <a:endParaRPr kumimoji="1" lang="en-US" altLang="ja-JP" sz="1100" baseline="0">
            <a:solidFill>
              <a:sysClr val="windowText" lastClr="000000"/>
            </a:solidFill>
          </a:endParaRPr>
        </a:p>
      </xdr:txBody>
    </xdr:sp>
    <xdr:clientData/>
  </xdr:twoCellAnchor>
  <xdr:twoCellAnchor>
    <xdr:from>
      <xdr:col>17</xdr:col>
      <xdr:colOff>123265</xdr:colOff>
      <xdr:row>168</xdr:row>
      <xdr:rowOff>168088</xdr:rowOff>
    </xdr:from>
    <xdr:to>
      <xdr:col>34</xdr:col>
      <xdr:colOff>392207</xdr:colOff>
      <xdr:row>172</xdr:row>
      <xdr:rowOff>67234</xdr:rowOff>
    </xdr:to>
    <xdr:sp macro="" textlink="">
      <xdr:nvSpPr>
        <xdr:cNvPr id="4" name="吹き出し: 折線 3">
          <a:extLst>
            <a:ext uri="{FF2B5EF4-FFF2-40B4-BE49-F238E27FC236}">
              <a16:creationId xmlns:a16="http://schemas.microsoft.com/office/drawing/2014/main" id="{1760FFF8-4E93-4651-9905-726EA5599D0D}"/>
            </a:ext>
          </a:extLst>
        </xdr:cNvPr>
        <xdr:cNvSpPr/>
      </xdr:nvSpPr>
      <xdr:spPr>
        <a:xfrm>
          <a:off x="10522324" y="35410588"/>
          <a:ext cx="4269442" cy="705970"/>
        </a:xfrm>
        <a:prstGeom prst="borderCallout2">
          <a:avLst>
            <a:gd name="adj1" fmla="val 18750"/>
            <a:gd name="adj2" fmla="val -8333"/>
            <a:gd name="adj3" fmla="val 18750"/>
            <a:gd name="adj4" fmla="val -16667"/>
            <a:gd name="adj5" fmla="val 80839"/>
            <a:gd name="adj6" fmla="val -37251"/>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en-US" altLang="ja-JP" sz="1100" baseline="0">
              <a:solidFill>
                <a:sysClr val="windowText" lastClr="000000"/>
              </a:solidFill>
            </a:rPr>
            <a:t>2026/03/12</a:t>
          </a:r>
        </a:p>
        <a:p>
          <a:pPr algn="l"/>
          <a:r>
            <a:rPr kumimoji="1" lang="ja-JP" altLang="en-US" sz="1100" baseline="0">
              <a:solidFill>
                <a:sysClr val="windowText" lastClr="000000"/>
              </a:solidFill>
            </a:rPr>
            <a:t>結合テーブル数が多かったり複雑なものは、備考欄に表形式で記載</a:t>
          </a:r>
          <a:endParaRPr kumimoji="1" lang="en-US" altLang="ja-JP" sz="1100" baseline="0">
            <a:solidFill>
              <a:sysClr val="windowText" lastClr="000000"/>
            </a:solidFill>
          </a:endParaRPr>
        </a:p>
      </xdr:txBody>
    </xdr:sp>
    <xdr:clientData/>
  </xdr:twoCellAnchor>
  <xdr:twoCellAnchor>
    <xdr:from>
      <xdr:col>14</xdr:col>
      <xdr:colOff>0</xdr:colOff>
      <xdr:row>217</xdr:row>
      <xdr:rowOff>0</xdr:rowOff>
    </xdr:from>
    <xdr:to>
      <xdr:col>32</xdr:col>
      <xdr:colOff>33618</xdr:colOff>
      <xdr:row>220</xdr:row>
      <xdr:rowOff>100852</xdr:rowOff>
    </xdr:to>
    <xdr:sp macro="" textlink="">
      <xdr:nvSpPr>
        <xdr:cNvPr id="5" name="吹き出し: 折線 4">
          <a:extLst>
            <a:ext uri="{FF2B5EF4-FFF2-40B4-BE49-F238E27FC236}">
              <a16:creationId xmlns:a16="http://schemas.microsoft.com/office/drawing/2014/main" id="{EC80C247-0FAD-4C4A-B613-7CFE08CE2983}"/>
            </a:ext>
          </a:extLst>
        </xdr:cNvPr>
        <xdr:cNvSpPr/>
      </xdr:nvSpPr>
      <xdr:spPr>
        <a:xfrm>
          <a:off x="9693088" y="45126088"/>
          <a:ext cx="4269442" cy="705970"/>
        </a:xfrm>
        <a:prstGeom prst="borderCallout2">
          <a:avLst>
            <a:gd name="adj1" fmla="val 18750"/>
            <a:gd name="adj2" fmla="val -8333"/>
            <a:gd name="adj3" fmla="val 18750"/>
            <a:gd name="adj4" fmla="val -16667"/>
            <a:gd name="adj5" fmla="val 80839"/>
            <a:gd name="adj6" fmla="val -37251"/>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en-US" altLang="ja-JP" sz="1100" baseline="0">
              <a:solidFill>
                <a:sysClr val="windowText" lastClr="000000"/>
              </a:solidFill>
            </a:rPr>
            <a:t>2026/03/12</a:t>
          </a:r>
        </a:p>
        <a:p>
          <a:pPr algn="l"/>
          <a:r>
            <a:rPr kumimoji="1" lang="ja-JP" altLang="en-US" sz="1100" baseline="0">
              <a:solidFill>
                <a:sysClr val="windowText" lastClr="000000"/>
              </a:solidFill>
            </a:rPr>
            <a:t>サブクエリの記載はフリーフォーマット</a:t>
          </a:r>
          <a:endParaRPr kumimoji="1" lang="en-US" altLang="ja-JP" sz="1100" baseline="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34</xdr:col>
          <xdr:colOff>621366</xdr:colOff>
          <xdr:row>3</xdr:row>
          <xdr:rowOff>156882</xdr:rowOff>
        </xdr:to>
        <xdr:pic>
          <xdr:nvPicPr>
            <xdr:cNvPr id="2" name="図 1">
              <a:extLst>
                <a:ext uri="{FF2B5EF4-FFF2-40B4-BE49-F238E27FC236}">
                  <a16:creationId xmlns:a16="http://schemas.microsoft.com/office/drawing/2014/main" id="{2ABD3226-2386-47DD-AA71-67974D1DD112}"/>
                </a:ext>
              </a:extLst>
            </xdr:cNvPr>
            <xdr:cNvPicPr>
              <a:picLocks noChangeAspect="1" noChangeArrowheads="1"/>
              <a:extLst>
                <a:ext uri="{84589F7E-364E-4C9E-8A38-B11213B215E9}">
                  <a14:cameraTool cellRange="[4]改版履歴!$A$1:$CE$4" spid="_x0000_s45072"/>
                </a:ext>
              </a:extLst>
            </xdr:cNvPicPr>
          </xdr:nvPicPr>
          <xdr:blipFill>
            <a:blip xmlns:r="http://schemas.openxmlformats.org/officeDocument/2006/relationships" r:embed="rId1"/>
            <a:srcRect/>
            <a:stretch>
              <a:fillRect/>
            </a:stretch>
          </xdr:blipFill>
          <xdr:spPr bwMode="auto">
            <a:xfrm>
              <a:off x="0" y="0"/>
              <a:ext cx="15089841" cy="75695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33</xdr:col>
          <xdr:colOff>200026</xdr:colOff>
          <xdr:row>3</xdr:row>
          <xdr:rowOff>131967</xdr:rowOff>
        </xdr:to>
        <xdr:pic>
          <xdr:nvPicPr>
            <xdr:cNvPr id="2" name="図 1">
              <a:extLst>
                <a:ext uri="{FF2B5EF4-FFF2-40B4-BE49-F238E27FC236}">
                  <a16:creationId xmlns:a16="http://schemas.microsoft.com/office/drawing/2014/main" id="{9A74511F-5131-4929-9574-7D559BF80564}"/>
                </a:ext>
              </a:extLst>
            </xdr:cNvPr>
            <xdr:cNvPicPr>
              <a:picLocks noChangeAspect="1" noChangeArrowheads="1"/>
              <a:extLst>
                <a:ext uri="{84589F7E-364E-4C9E-8A38-B11213B215E9}">
                  <a14:cameraTool cellRange="改版履歴!$A$1:$CE$4" spid="_x0000_s10453"/>
                </a:ext>
              </a:extLst>
            </xdr:cNvPicPr>
          </xdr:nvPicPr>
          <xdr:blipFill>
            <a:blip xmlns:r="http://schemas.openxmlformats.org/officeDocument/2006/relationships" r:embed="rId1"/>
            <a:srcRect/>
            <a:stretch>
              <a:fillRect/>
            </a:stretch>
          </xdr:blipFill>
          <xdr:spPr bwMode="auto">
            <a:xfrm>
              <a:off x="2" y="0"/>
              <a:ext cx="14430374" cy="73204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638174</xdr:colOff>
      <xdr:row>7</xdr:row>
      <xdr:rowOff>114300</xdr:rowOff>
    </xdr:from>
    <xdr:to>
      <xdr:col>27</xdr:col>
      <xdr:colOff>104774</xdr:colOff>
      <xdr:row>10</xdr:row>
      <xdr:rowOff>171450</xdr:rowOff>
    </xdr:to>
    <xdr:sp macro="" textlink="">
      <xdr:nvSpPr>
        <xdr:cNvPr id="3" name="吹き出し: 折線 2">
          <a:extLst>
            <a:ext uri="{FF2B5EF4-FFF2-40B4-BE49-F238E27FC236}">
              <a16:creationId xmlns:a16="http://schemas.microsoft.com/office/drawing/2014/main" id="{EF3921AC-F645-4F1A-B671-67B8D947E58C}"/>
            </a:ext>
          </a:extLst>
        </xdr:cNvPr>
        <xdr:cNvSpPr/>
      </xdr:nvSpPr>
      <xdr:spPr>
        <a:xfrm>
          <a:off x="7600949" y="1247775"/>
          <a:ext cx="5305425" cy="676275"/>
        </a:xfrm>
        <a:prstGeom prst="borderCallout2">
          <a:avLst>
            <a:gd name="adj1" fmla="val 18750"/>
            <a:gd name="adj2" fmla="val -8333"/>
            <a:gd name="adj3" fmla="val 18750"/>
            <a:gd name="adj4" fmla="val -16667"/>
            <a:gd name="adj5" fmla="val -21775"/>
            <a:gd name="adj6" fmla="val -19156"/>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t>個別</a:t>
          </a:r>
          <a:r>
            <a:rPr kumimoji="1" lang="en-US" altLang="ja-JP" sz="1100" baseline="0"/>
            <a:t>CSV</a:t>
          </a:r>
          <a:r>
            <a:rPr kumimoji="1" lang="ja-JP" altLang="en-US" sz="1100" baseline="0"/>
            <a:t>のテーブル</a:t>
          </a:r>
          <a:r>
            <a:rPr kumimoji="1" lang="en-US" altLang="ja-JP" sz="1100" baseline="0"/>
            <a:t>ID</a:t>
          </a:r>
          <a:r>
            <a:rPr kumimoji="1" lang="ja-JP" altLang="en-US" sz="1100" baseline="0"/>
            <a:t>は</a:t>
          </a:r>
          <a:endParaRPr kumimoji="1" lang="en-US" altLang="ja-JP" sz="1100" baseline="0"/>
        </a:p>
        <a:p>
          <a:pPr algn="l"/>
          <a:r>
            <a:rPr kumimoji="1" lang="ja-JP" altLang="en-US" sz="1100" baseline="0"/>
            <a:t>カード受注ヘッダ</a:t>
          </a:r>
          <a:r>
            <a:rPr kumimoji="1" lang="en-US" altLang="ja-JP" sz="1100" baseline="0"/>
            <a:t>_</a:t>
          </a:r>
          <a:r>
            <a:rPr kumimoji="1" lang="ja-JP" altLang="en-US" sz="1100" baseline="0"/>
            <a:t>受注</a:t>
          </a:r>
          <a:r>
            <a:rPr kumimoji="1" lang="en-US" altLang="ja-JP" sz="1100" baseline="0"/>
            <a:t>_</a:t>
          </a:r>
          <a:r>
            <a:rPr kumimoji="1" lang="ja-JP" altLang="en-US" sz="1100" baseline="0"/>
            <a:t>一覧表示用のテーブル</a:t>
          </a:r>
          <a:r>
            <a:rPr kumimoji="1" lang="en-US" altLang="ja-JP" sz="1100" baseline="0"/>
            <a:t>ID</a:t>
          </a:r>
          <a:r>
            <a:rPr kumimoji="1" lang="ja-JP" altLang="en-US" sz="1100" baseline="0"/>
            <a:t>　＋　</a:t>
          </a:r>
          <a:r>
            <a:rPr kumimoji="1" lang="en-US" altLang="ja-JP" sz="1100" baseline="0"/>
            <a:t>1</a:t>
          </a:r>
          <a:r>
            <a:rPr kumimoji="1" lang="ja-JP" altLang="en-US" sz="1100" baseline="0"/>
            <a:t>番で採番</a:t>
          </a:r>
          <a:endParaRPr kumimoji="1" lang="en-US" altLang="ja-JP" sz="1100" baseline="0"/>
        </a:p>
      </xdr:txBody>
    </xdr:sp>
    <xdr:clientData/>
  </xdr:twoCellAnchor>
  <xdr:twoCellAnchor>
    <xdr:from>
      <xdr:col>4</xdr:col>
      <xdr:colOff>638176</xdr:colOff>
      <xdr:row>24</xdr:row>
      <xdr:rowOff>171450</xdr:rowOff>
    </xdr:from>
    <xdr:to>
      <xdr:col>11</xdr:col>
      <xdr:colOff>342901</xdr:colOff>
      <xdr:row>27</xdr:row>
      <xdr:rowOff>95250</xdr:rowOff>
    </xdr:to>
    <xdr:sp macro="" textlink="">
      <xdr:nvSpPr>
        <xdr:cNvPr id="6" name="吹き出し: 折線 5">
          <a:extLst>
            <a:ext uri="{FF2B5EF4-FFF2-40B4-BE49-F238E27FC236}">
              <a16:creationId xmlns:a16="http://schemas.microsoft.com/office/drawing/2014/main" id="{2568DDB0-94AC-4049-B026-9B1B314EAF85}"/>
            </a:ext>
          </a:extLst>
        </xdr:cNvPr>
        <xdr:cNvSpPr/>
      </xdr:nvSpPr>
      <xdr:spPr>
        <a:xfrm>
          <a:off x="5400676" y="4765862"/>
          <a:ext cx="3481107" cy="528917"/>
        </a:xfrm>
        <a:prstGeom prst="borderCallout2">
          <a:avLst>
            <a:gd name="adj1" fmla="val 18750"/>
            <a:gd name="adj2" fmla="val -8333"/>
            <a:gd name="adj3" fmla="val 18750"/>
            <a:gd name="adj4" fmla="val -16667"/>
            <a:gd name="adj5" fmla="val 64395"/>
            <a:gd name="adj6" fmla="val -25773"/>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solidFill>
                <a:sysClr val="windowText" lastClr="000000"/>
              </a:solidFill>
            </a:rPr>
            <a:t>カード受注ヘッダ</a:t>
          </a:r>
          <a:r>
            <a:rPr kumimoji="1" lang="en-US" altLang="ja-JP" sz="1100">
              <a:solidFill>
                <a:sysClr val="windowText" lastClr="000000"/>
              </a:solidFill>
            </a:rPr>
            <a:t>_</a:t>
          </a:r>
          <a:r>
            <a:rPr kumimoji="1" lang="ja-JP" altLang="en-US" sz="1100">
              <a:solidFill>
                <a:sysClr val="windowText" lastClr="000000"/>
              </a:solidFill>
            </a:rPr>
            <a:t>受注</a:t>
          </a:r>
          <a:r>
            <a:rPr kumimoji="1" lang="en-US" altLang="ja-JP" sz="1100">
              <a:solidFill>
                <a:sysClr val="windowText" lastClr="000000"/>
              </a:solidFill>
            </a:rPr>
            <a:t>_</a:t>
          </a:r>
          <a:r>
            <a:rPr kumimoji="1" lang="ja-JP" altLang="en-US" sz="1100">
              <a:solidFill>
                <a:sysClr val="windowText" lastClr="000000"/>
              </a:solidFill>
            </a:rPr>
            <a:t>一覧表示用シート同様</a:t>
          </a:r>
          <a:endParaRPr kumimoji="1" lang="en-US" altLang="ja-JP"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17</xdr:col>
          <xdr:colOff>47625</xdr:colOff>
          <xdr:row>3</xdr:row>
          <xdr:rowOff>161925</xdr:rowOff>
        </xdr:to>
        <xdr:pic>
          <xdr:nvPicPr>
            <xdr:cNvPr id="2" name="図 1">
              <a:extLst>
                <a:ext uri="{FF2B5EF4-FFF2-40B4-BE49-F238E27FC236}">
                  <a16:creationId xmlns:a16="http://schemas.microsoft.com/office/drawing/2014/main" id="{03017D1A-4155-452D-B151-8CF6134826D0}"/>
                </a:ext>
              </a:extLst>
            </xdr:cNvPr>
            <xdr:cNvPicPr>
              <a:picLocks noChangeAspect="1" noChangeArrowheads="1"/>
              <a:extLst>
                <a:ext uri="{84589F7E-364E-4C9E-8A38-B11213B215E9}">
                  <a14:cameraTool cellRange="[5]改版履歴!$A$1:$CE$4" spid="_x0000_s33810"/>
                </a:ext>
              </a:extLst>
            </xdr:cNvPicPr>
          </xdr:nvPicPr>
          <xdr:blipFill>
            <a:blip xmlns:r="http://schemas.openxmlformats.org/officeDocument/2006/relationships" r:embed="rId1"/>
            <a:srcRect/>
            <a:stretch>
              <a:fillRect/>
            </a:stretch>
          </xdr:blipFill>
          <xdr:spPr bwMode="auto">
            <a:xfrm>
              <a:off x="0" y="0"/>
              <a:ext cx="15020925" cy="762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495300</xdr:colOff>
      <xdr:row>11</xdr:row>
      <xdr:rowOff>190501</xdr:rowOff>
    </xdr:from>
    <xdr:to>
      <xdr:col>22</xdr:col>
      <xdr:colOff>171450</xdr:colOff>
      <xdr:row>14</xdr:row>
      <xdr:rowOff>66676</xdr:rowOff>
    </xdr:to>
    <xdr:sp macro="" textlink="">
      <xdr:nvSpPr>
        <xdr:cNvPr id="3" name="吹き出し: 折線 2">
          <a:extLst>
            <a:ext uri="{FF2B5EF4-FFF2-40B4-BE49-F238E27FC236}">
              <a16:creationId xmlns:a16="http://schemas.microsoft.com/office/drawing/2014/main" id="{ABAD0DE2-4D7E-4FE3-98D1-1886F6140726}"/>
            </a:ext>
          </a:extLst>
        </xdr:cNvPr>
        <xdr:cNvSpPr/>
      </xdr:nvSpPr>
      <xdr:spPr>
        <a:xfrm>
          <a:off x="12696825" y="2143126"/>
          <a:ext cx="3638550" cy="476250"/>
        </a:xfrm>
        <a:prstGeom prst="borderCallout2">
          <a:avLst>
            <a:gd name="adj1" fmla="val 18750"/>
            <a:gd name="adj2" fmla="val -8333"/>
            <a:gd name="adj3" fmla="val 18750"/>
            <a:gd name="adj4" fmla="val -16667"/>
            <a:gd name="adj5" fmla="val -21775"/>
            <a:gd name="adj6" fmla="val -19156"/>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kumimoji="1" lang="ja-JP" altLang="ja-JP" sz="1100" baseline="0">
              <a:solidFill>
                <a:schemeClr val="dk1"/>
              </a:solidFill>
              <a:effectLst/>
              <a:latin typeface="+mn-lt"/>
              <a:ea typeface="+mn-ea"/>
              <a:cs typeface="+mn-cs"/>
            </a:rPr>
            <a:t>テーブル定義の</a:t>
          </a:r>
          <a:r>
            <a:rPr kumimoji="1" lang="en-US" altLang="ja-JP" sz="1100" baseline="0">
              <a:solidFill>
                <a:schemeClr val="dk1"/>
              </a:solidFill>
              <a:effectLst/>
              <a:latin typeface="+mn-lt"/>
              <a:ea typeface="+mn-ea"/>
              <a:cs typeface="+mn-cs"/>
            </a:rPr>
            <a:t>DM</a:t>
          </a:r>
          <a:r>
            <a:rPr kumimoji="1" lang="ja-JP" altLang="ja-JP" sz="1100" baseline="0">
              <a:solidFill>
                <a:schemeClr val="dk1"/>
              </a:solidFill>
              <a:effectLst/>
              <a:latin typeface="+mn-lt"/>
              <a:ea typeface="+mn-ea"/>
              <a:cs typeface="+mn-cs"/>
            </a:rPr>
            <a:t>の方の</a:t>
          </a:r>
          <a:r>
            <a:rPr kumimoji="1" lang="ja-JP" altLang="en-US" sz="1100" baseline="0">
              <a:solidFill>
                <a:schemeClr val="dk1"/>
              </a:solidFill>
              <a:effectLst/>
              <a:latin typeface="+mn-lt"/>
              <a:ea typeface="+mn-ea"/>
              <a:cs typeface="+mn-cs"/>
            </a:rPr>
            <a:t>型</a:t>
          </a:r>
          <a:r>
            <a:rPr kumimoji="1" lang="ja-JP" altLang="ja-JP" sz="1100" baseline="0">
              <a:solidFill>
                <a:schemeClr val="dk1"/>
              </a:solidFill>
              <a:effectLst/>
              <a:latin typeface="+mn-lt"/>
              <a:ea typeface="+mn-ea"/>
              <a:cs typeface="+mn-cs"/>
            </a:rPr>
            <a:t>とあわせる</a:t>
          </a:r>
          <a:endParaRPr lang="ja-JP" altLang="ja-JP">
            <a:effectLst/>
          </a:endParaRPr>
        </a:p>
      </xdr:txBody>
    </xdr:sp>
    <xdr:clientData/>
  </xdr:twoCellAnchor>
  <xdr:twoCellAnchor>
    <xdr:from>
      <xdr:col>4</xdr:col>
      <xdr:colOff>104774</xdr:colOff>
      <xdr:row>131</xdr:row>
      <xdr:rowOff>161924</xdr:rowOff>
    </xdr:from>
    <xdr:to>
      <xdr:col>15</xdr:col>
      <xdr:colOff>123825</xdr:colOff>
      <xdr:row>134</xdr:row>
      <xdr:rowOff>200024</xdr:rowOff>
    </xdr:to>
    <xdr:sp macro="" textlink="">
      <xdr:nvSpPr>
        <xdr:cNvPr id="4" name="吹き出し: 折線 3">
          <a:extLst>
            <a:ext uri="{FF2B5EF4-FFF2-40B4-BE49-F238E27FC236}">
              <a16:creationId xmlns:a16="http://schemas.microsoft.com/office/drawing/2014/main" id="{39550E96-00C6-4401-A9FB-93B9075198A5}"/>
            </a:ext>
          </a:extLst>
        </xdr:cNvPr>
        <xdr:cNvSpPr/>
      </xdr:nvSpPr>
      <xdr:spPr>
        <a:xfrm>
          <a:off x="7848599" y="26117549"/>
          <a:ext cx="6772276" cy="638175"/>
        </a:xfrm>
        <a:prstGeom prst="borderCallout2">
          <a:avLst>
            <a:gd name="adj1" fmla="val 18750"/>
            <a:gd name="adj2" fmla="val -8333"/>
            <a:gd name="adj3" fmla="val 18750"/>
            <a:gd name="adj4" fmla="val -16667"/>
            <a:gd name="adj5" fmla="val -33442"/>
            <a:gd name="adj6" fmla="val -24731"/>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t>サブクエリで取得している値について、物理</a:t>
          </a:r>
          <a:r>
            <a:rPr kumimoji="1" lang="en-US" altLang="ja-JP" sz="1100" baseline="0"/>
            <a:t>SQL</a:t>
          </a:r>
          <a:r>
            <a:rPr kumimoji="1" lang="ja-JP" altLang="en-US" sz="1100" baseline="0"/>
            <a:t>だけでは内容が直感的に理解しづらいものは処理内容や意図などを日本語で補足しておく（フリーフォーマットで可）</a:t>
          </a:r>
          <a:endParaRPr kumimoji="1" lang="en-US" altLang="ja-JP" sz="1100" baseline="0"/>
        </a:p>
      </xdr:txBody>
    </xdr:sp>
    <xdr:clientData/>
  </xdr:twoCellAnchor>
  <xdr:twoCellAnchor>
    <xdr:from>
      <xdr:col>4</xdr:col>
      <xdr:colOff>342902</xdr:colOff>
      <xdr:row>183</xdr:row>
      <xdr:rowOff>57151</xdr:rowOff>
    </xdr:from>
    <xdr:to>
      <xdr:col>11</xdr:col>
      <xdr:colOff>590550</xdr:colOff>
      <xdr:row>199</xdr:row>
      <xdr:rowOff>76201</xdr:rowOff>
    </xdr:to>
    <xdr:sp macro="" textlink="">
      <xdr:nvSpPr>
        <xdr:cNvPr id="5" name="吹き出し: 折線 4">
          <a:extLst>
            <a:ext uri="{FF2B5EF4-FFF2-40B4-BE49-F238E27FC236}">
              <a16:creationId xmlns:a16="http://schemas.microsoft.com/office/drawing/2014/main" id="{9B26B794-AE29-4938-9F10-23F12911BDB2}"/>
            </a:ext>
          </a:extLst>
        </xdr:cNvPr>
        <xdr:cNvSpPr/>
      </xdr:nvSpPr>
      <xdr:spPr>
        <a:xfrm>
          <a:off x="8086727" y="36414076"/>
          <a:ext cx="5600698" cy="3219450"/>
        </a:xfrm>
        <a:prstGeom prst="borderCallout2">
          <a:avLst>
            <a:gd name="adj1" fmla="val 18750"/>
            <a:gd name="adj2" fmla="val -8333"/>
            <a:gd name="adj3" fmla="val 18750"/>
            <a:gd name="adj4" fmla="val -16667"/>
            <a:gd name="adj5" fmla="val 32221"/>
            <a:gd name="adj6" fmla="val -24446"/>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solidFill>
                <a:schemeClr val="dk1"/>
              </a:solidFill>
              <a:effectLst/>
              <a:latin typeface="+mn-lt"/>
              <a:ea typeface="+mn-ea"/>
              <a:cs typeface="+mn-cs"/>
            </a:rPr>
            <a:t>画面設計書の対象条件欄</a:t>
          </a:r>
          <a:endParaRPr kumimoji="1" lang="en-US" altLang="ja-JP" sz="1100" baseline="0">
            <a:solidFill>
              <a:schemeClr val="dk1"/>
            </a:solidFill>
            <a:effectLst/>
            <a:latin typeface="+mn-lt"/>
            <a:ea typeface="+mn-ea"/>
            <a:cs typeface="+mn-cs"/>
          </a:endParaRPr>
        </a:p>
      </xdr:txBody>
    </xdr:sp>
    <xdr:clientData/>
  </xdr:twoCellAnchor>
  <xdr:twoCellAnchor>
    <xdr:from>
      <xdr:col>9</xdr:col>
      <xdr:colOff>561975</xdr:colOff>
      <xdr:row>78</xdr:row>
      <xdr:rowOff>161925</xdr:rowOff>
    </xdr:from>
    <xdr:to>
      <xdr:col>16</xdr:col>
      <xdr:colOff>152400</xdr:colOff>
      <xdr:row>82</xdr:row>
      <xdr:rowOff>28575</xdr:rowOff>
    </xdr:to>
    <xdr:sp macro="" textlink="">
      <xdr:nvSpPr>
        <xdr:cNvPr id="6" name="吹き出し: 折線 5">
          <a:extLst>
            <a:ext uri="{FF2B5EF4-FFF2-40B4-BE49-F238E27FC236}">
              <a16:creationId xmlns:a16="http://schemas.microsoft.com/office/drawing/2014/main" id="{1C565F41-DB45-4E85-8A0E-7B26D7DDFE12}"/>
            </a:ext>
          </a:extLst>
        </xdr:cNvPr>
        <xdr:cNvSpPr/>
      </xdr:nvSpPr>
      <xdr:spPr>
        <a:xfrm>
          <a:off x="12077700" y="15516225"/>
          <a:ext cx="2809875" cy="666750"/>
        </a:xfrm>
        <a:prstGeom prst="borderCallout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個別</a:t>
          </a:r>
          <a:r>
            <a:rPr kumimoji="1" lang="en-US" altLang="ja-JP" sz="1100"/>
            <a:t>CSV</a:t>
          </a:r>
          <a:r>
            <a:rPr kumimoji="1" lang="ja-JP" altLang="en-US" sz="1100"/>
            <a:t>出力時に店舗名を取得するための結合であり、一覧表示用には不要</a:t>
          </a:r>
        </a:p>
      </xdr:txBody>
    </xdr:sp>
    <xdr:clientData/>
  </xdr:twoCellAnchor>
  <xdr:twoCellAnchor>
    <xdr:from>
      <xdr:col>9</xdr:col>
      <xdr:colOff>0</xdr:colOff>
      <xdr:row>66</xdr:row>
      <xdr:rowOff>200023</xdr:rowOff>
    </xdr:from>
    <xdr:to>
      <xdr:col>21</xdr:col>
      <xdr:colOff>161925</xdr:colOff>
      <xdr:row>72</xdr:row>
      <xdr:rowOff>28574</xdr:rowOff>
    </xdr:to>
    <xdr:sp macro="" textlink="">
      <xdr:nvSpPr>
        <xdr:cNvPr id="7" name="吹き出し: 折線 6">
          <a:extLst>
            <a:ext uri="{FF2B5EF4-FFF2-40B4-BE49-F238E27FC236}">
              <a16:creationId xmlns:a16="http://schemas.microsoft.com/office/drawing/2014/main" id="{9D44C67B-4895-4186-A485-07AD26E880FE}"/>
            </a:ext>
          </a:extLst>
        </xdr:cNvPr>
        <xdr:cNvSpPr/>
      </xdr:nvSpPr>
      <xdr:spPr>
        <a:xfrm>
          <a:off x="11515725" y="13154023"/>
          <a:ext cx="4572000" cy="1028701"/>
        </a:xfrm>
        <a:prstGeom prst="borderCallout2">
          <a:avLst>
            <a:gd name="adj1" fmla="val 18750"/>
            <a:gd name="adj2" fmla="val -8333"/>
            <a:gd name="adj3" fmla="val 18750"/>
            <a:gd name="adj4" fmla="val -16667"/>
            <a:gd name="adj5" fmla="val 49863"/>
            <a:gd name="adj6" fmla="val -2317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ホールコードに紐づくホール名を取得する場合</a:t>
          </a:r>
          <a:endParaRPr kumimoji="1" lang="en-US" altLang="ja-JP" sz="1100"/>
        </a:p>
        <a:p>
          <a:pPr algn="l"/>
          <a:r>
            <a:rPr kumimoji="1" lang="ja-JP" altLang="en-US" sz="1100"/>
            <a:t>ホール契約マスタ、ホール管理マスタと結合し、</a:t>
          </a:r>
          <a:endParaRPr kumimoji="1" lang="en-US" altLang="ja-JP" sz="1100"/>
        </a:p>
        <a:p>
          <a:pPr algn="l"/>
          <a:r>
            <a:rPr kumimoji="1" lang="ja-JP" altLang="en-US" sz="1100"/>
            <a:t>どちらも適用開始日～適用終了日であることを条件とする必要がある？</a:t>
          </a:r>
          <a:endParaRPr kumimoji="1" lang="en-US" altLang="ja-JP" sz="1100"/>
        </a:p>
        <a:p>
          <a:pPr algn="l"/>
          <a:r>
            <a:rPr kumimoji="1" lang="ja-JP" altLang="en-US" sz="1100"/>
            <a:t>⇒他機能でも多々ありそう</a:t>
          </a:r>
        </a:p>
      </xdr:txBody>
    </xdr:sp>
    <xdr:clientData/>
  </xdr:twoCellAnchor>
  <xdr:twoCellAnchor>
    <xdr:from>
      <xdr:col>10</xdr:col>
      <xdr:colOff>514350</xdr:colOff>
      <xdr:row>87</xdr:row>
      <xdr:rowOff>0</xdr:rowOff>
    </xdr:from>
    <xdr:to>
      <xdr:col>19</xdr:col>
      <xdr:colOff>76200</xdr:colOff>
      <xdr:row>90</xdr:row>
      <xdr:rowOff>66675</xdr:rowOff>
    </xdr:to>
    <xdr:sp macro="" textlink="">
      <xdr:nvSpPr>
        <xdr:cNvPr id="8" name="吹き出し: 折線 7">
          <a:extLst>
            <a:ext uri="{FF2B5EF4-FFF2-40B4-BE49-F238E27FC236}">
              <a16:creationId xmlns:a16="http://schemas.microsoft.com/office/drawing/2014/main" id="{3EADCE7D-C1A7-4722-8000-827AB4ED57ED}"/>
            </a:ext>
          </a:extLst>
        </xdr:cNvPr>
        <xdr:cNvSpPr/>
      </xdr:nvSpPr>
      <xdr:spPr>
        <a:xfrm>
          <a:off x="12715875" y="17154525"/>
          <a:ext cx="2809875" cy="666750"/>
        </a:xfrm>
        <a:prstGeom prst="borderCallout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個別</a:t>
          </a:r>
          <a:r>
            <a:rPr kumimoji="1" lang="en-US" altLang="ja-JP" sz="1100"/>
            <a:t>CSV</a:t>
          </a:r>
          <a:r>
            <a:rPr kumimoji="1" lang="ja-JP" altLang="en-US" sz="1100"/>
            <a:t>出力時に法人名を取得するための結合であり、一覧表示用には不要</a:t>
          </a:r>
        </a:p>
      </xdr:txBody>
    </xdr:sp>
    <xdr:clientData/>
  </xdr:twoCellAnchor>
  <xdr:twoCellAnchor>
    <xdr:from>
      <xdr:col>2</xdr:col>
      <xdr:colOff>1333500</xdr:colOff>
      <xdr:row>50</xdr:row>
      <xdr:rowOff>28575</xdr:rowOff>
    </xdr:from>
    <xdr:to>
      <xdr:col>7</xdr:col>
      <xdr:colOff>552450</xdr:colOff>
      <xdr:row>53</xdr:row>
      <xdr:rowOff>19050</xdr:rowOff>
    </xdr:to>
    <xdr:sp macro="" textlink="">
      <xdr:nvSpPr>
        <xdr:cNvPr id="9" name="吹き出し: 折線 8">
          <a:extLst>
            <a:ext uri="{FF2B5EF4-FFF2-40B4-BE49-F238E27FC236}">
              <a16:creationId xmlns:a16="http://schemas.microsoft.com/office/drawing/2014/main" id="{5FC965A7-39F2-4B2C-8F50-60EFCD10E1E7}"/>
            </a:ext>
          </a:extLst>
        </xdr:cNvPr>
        <xdr:cNvSpPr/>
      </xdr:nvSpPr>
      <xdr:spPr>
        <a:xfrm>
          <a:off x="5381625" y="9782175"/>
          <a:ext cx="5915025" cy="590550"/>
        </a:xfrm>
        <a:prstGeom prst="borderCallout2">
          <a:avLst>
            <a:gd name="adj1" fmla="val 23036"/>
            <a:gd name="adj2" fmla="val -4943"/>
            <a:gd name="adj3" fmla="val 18750"/>
            <a:gd name="adj4" fmla="val -16667"/>
            <a:gd name="adj5" fmla="val 74712"/>
            <a:gd name="adj6" fmla="val -4700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e-bas</a:t>
          </a:r>
          <a:r>
            <a:rPr kumimoji="1" lang="ja-JP" altLang="en-US" sz="1100"/>
            <a:t>基本設計書には入出力概要に記載があるが、実際は参照されていない？</a:t>
          </a:r>
        </a:p>
      </xdr:txBody>
    </xdr:sp>
    <xdr:clientData/>
  </xdr:twoCellAnchor>
  <xdr:twoCellAnchor>
    <xdr:from>
      <xdr:col>2</xdr:col>
      <xdr:colOff>1295400</xdr:colOff>
      <xdr:row>41</xdr:row>
      <xdr:rowOff>57149</xdr:rowOff>
    </xdr:from>
    <xdr:to>
      <xdr:col>7</xdr:col>
      <xdr:colOff>514350</xdr:colOff>
      <xdr:row>44</xdr:row>
      <xdr:rowOff>9525</xdr:rowOff>
    </xdr:to>
    <xdr:sp macro="" textlink="">
      <xdr:nvSpPr>
        <xdr:cNvPr id="10" name="吹き出し: 折線 9">
          <a:extLst>
            <a:ext uri="{FF2B5EF4-FFF2-40B4-BE49-F238E27FC236}">
              <a16:creationId xmlns:a16="http://schemas.microsoft.com/office/drawing/2014/main" id="{0B269735-4201-4FC0-8F69-BB5408F56A20}"/>
            </a:ext>
          </a:extLst>
        </xdr:cNvPr>
        <xdr:cNvSpPr/>
      </xdr:nvSpPr>
      <xdr:spPr>
        <a:xfrm>
          <a:off x="5343525" y="8010524"/>
          <a:ext cx="5915025" cy="552451"/>
        </a:xfrm>
        <a:prstGeom prst="borderCallout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個別</a:t>
          </a:r>
          <a:r>
            <a:rPr kumimoji="1" lang="en-US" altLang="ja-JP" sz="1100"/>
            <a:t>CSV</a:t>
          </a:r>
          <a:r>
            <a:rPr kumimoji="1" lang="ja-JP" altLang="en-US" sz="1100"/>
            <a:t>出力時に店舗名を取得するための結合であり、一覧表示用には不要</a:t>
          </a:r>
        </a:p>
      </xdr:txBody>
    </xdr:sp>
    <xdr:clientData/>
  </xdr:twoCellAnchor>
  <xdr:twoCellAnchor>
    <xdr:from>
      <xdr:col>11</xdr:col>
      <xdr:colOff>685799</xdr:colOff>
      <xdr:row>25</xdr:row>
      <xdr:rowOff>28575</xdr:rowOff>
    </xdr:from>
    <xdr:to>
      <xdr:col>28</xdr:col>
      <xdr:colOff>152400</xdr:colOff>
      <xdr:row>29</xdr:row>
      <xdr:rowOff>38101</xdr:rowOff>
    </xdr:to>
    <xdr:sp macro="" textlink="">
      <xdr:nvSpPr>
        <xdr:cNvPr id="11" name="吹き出し: 折線 10">
          <a:extLst>
            <a:ext uri="{FF2B5EF4-FFF2-40B4-BE49-F238E27FC236}">
              <a16:creationId xmlns:a16="http://schemas.microsoft.com/office/drawing/2014/main" id="{AC9045A4-3A42-415B-B693-6251D63284D3}"/>
            </a:ext>
          </a:extLst>
        </xdr:cNvPr>
        <xdr:cNvSpPr/>
      </xdr:nvSpPr>
      <xdr:spPr>
        <a:xfrm>
          <a:off x="13782674" y="4781550"/>
          <a:ext cx="3962401" cy="809626"/>
        </a:xfrm>
        <a:prstGeom prst="borderCallout2">
          <a:avLst>
            <a:gd name="adj1" fmla="val 18750"/>
            <a:gd name="adj2" fmla="val -8333"/>
            <a:gd name="adj3" fmla="val 18750"/>
            <a:gd name="adj4" fmla="val -16667"/>
            <a:gd name="adj5" fmla="val -174480"/>
            <a:gd name="adj6" fmla="val -83938"/>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t>カード定価マスタ</a:t>
          </a:r>
          <a:r>
            <a:rPr kumimoji="1" lang="en-US" altLang="ja-JP" sz="1100" baseline="0"/>
            <a:t>.</a:t>
          </a:r>
          <a:r>
            <a:rPr kumimoji="1" lang="ja-JP" altLang="en-US" sz="1100" baseline="0"/>
            <a:t>カード受注商品名</a:t>
          </a:r>
          <a:r>
            <a:rPr kumimoji="1" lang="en-US" altLang="ja-JP" sz="1100" baseline="0"/>
            <a:t>(40</a:t>
          </a:r>
          <a:r>
            <a:rPr kumimoji="1" lang="ja-JP" altLang="en-US" sz="1100" baseline="0"/>
            <a:t>桁</a:t>
          </a:r>
          <a:r>
            <a:rPr kumimoji="1" lang="en-US" altLang="ja-JP" sz="1100" baseline="0"/>
            <a:t>)</a:t>
          </a:r>
          <a:r>
            <a:rPr kumimoji="1" lang="ja-JP" altLang="en-US" sz="1100" baseline="0"/>
            <a:t>、または、商品マスタ</a:t>
          </a:r>
          <a:r>
            <a:rPr kumimoji="1" lang="en-US" altLang="ja-JP" sz="1100" baseline="0"/>
            <a:t>.</a:t>
          </a:r>
          <a:r>
            <a:rPr kumimoji="1" lang="ja-JP" altLang="en-US" sz="1100" baseline="0"/>
            <a:t>商品名</a:t>
          </a:r>
          <a:r>
            <a:rPr kumimoji="1" lang="en-US" altLang="ja-JP" sz="1100" baseline="0"/>
            <a:t>(120</a:t>
          </a:r>
          <a:r>
            <a:rPr kumimoji="1" lang="ja-JP" altLang="en-US" sz="1100" baseline="0"/>
            <a:t>桁</a:t>
          </a:r>
          <a:r>
            <a:rPr kumimoji="1" lang="en-US" altLang="ja-JP" sz="1100" baseline="0"/>
            <a:t>)</a:t>
          </a:r>
        </a:p>
        <a:p>
          <a:pPr algn="l"/>
          <a:r>
            <a:rPr kumimoji="1" lang="ja-JP" altLang="en-US" sz="1100" baseline="0"/>
            <a:t>など複数カラムから取得する場合、大きい方の桁数を記載</a:t>
          </a:r>
          <a:endParaRPr kumimoji="1" lang="en-US" altLang="ja-JP" sz="1100" baseline="0"/>
        </a:p>
      </xdr:txBody>
    </xdr:sp>
    <xdr:clientData/>
  </xdr:twoCellAnchor>
  <xdr:twoCellAnchor>
    <xdr:from>
      <xdr:col>3</xdr:col>
      <xdr:colOff>123826</xdr:colOff>
      <xdr:row>20</xdr:row>
      <xdr:rowOff>123826</xdr:rowOff>
    </xdr:from>
    <xdr:to>
      <xdr:col>8</xdr:col>
      <xdr:colOff>38100</xdr:colOff>
      <xdr:row>25</xdr:row>
      <xdr:rowOff>9524</xdr:rowOff>
    </xdr:to>
    <xdr:sp macro="" textlink="">
      <xdr:nvSpPr>
        <xdr:cNvPr id="12" name="吹き出し: 折線 11">
          <a:extLst>
            <a:ext uri="{FF2B5EF4-FFF2-40B4-BE49-F238E27FC236}">
              <a16:creationId xmlns:a16="http://schemas.microsoft.com/office/drawing/2014/main" id="{7B4EF9C4-B4C2-41DC-9E4B-FF393A17070C}"/>
            </a:ext>
          </a:extLst>
        </xdr:cNvPr>
        <xdr:cNvSpPr/>
      </xdr:nvSpPr>
      <xdr:spPr>
        <a:xfrm>
          <a:off x="6134101" y="3876676"/>
          <a:ext cx="5333999" cy="885823"/>
        </a:xfrm>
        <a:prstGeom prst="borderCallout2">
          <a:avLst>
            <a:gd name="adj1" fmla="val 18750"/>
            <a:gd name="adj2" fmla="val -8333"/>
            <a:gd name="adj3" fmla="val 18750"/>
            <a:gd name="adj4" fmla="val -16667"/>
            <a:gd name="adj5" fmla="val -32575"/>
            <a:gd name="adj6" fmla="val -24374"/>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一覧に表示する項目を記載（チェックなどに使用する非表示項目も必要あれば）</a:t>
          </a:r>
          <a:endParaRPr kumimoji="1" lang="en-US" altLang="ja-JP" sz="1100"/>
        </a:p>
        <a:p>
          <a:pPr algn="l"/>
          <a:endParaRPr kumimoji="1" lang="en-US" altLang="ja-JP" sz="1100"/>
        </a:p>
        <a:p>
          <a:pPr algn="l"/>
          <a:r>
            <a:rPr kumimoji="1" lang="ja-JP" altLang="en-US" sz="1100"/>
            <a:t>カラム名（物理、論理）はドメイン一覧をもとに記載</a:t>
          </a:r>
          <a:endParaRPr kumimoji="1" lang="en-US" altLang="ja-JP" sz="1100"/>
        </a:p>
        <a:p>
          <a:pPr algn="l"/>
          <a:endParaRPr kumimoji="1" lang="en-US" altLang="ja-JP" sz="1100"/>
        </a:p>
      </xdr:txBody>
    </xdr:sp>
    <xdr:clientData/>
  </xdr:twoCellAnchor>
  <xdr:twoCellAnchor>
    <xdr:from>
      <xdr:col>10</xdr:col>
      <xdr:colOff>0</xdr:colOff>
      <xdr:row>208</xdr:row>
      <xdr:rowOff>95250</xdr:rowOff>
    </xdr:from>
    <xdr:to>
      <xdr:col>31</xdr:col>
      <xdr:colOff>76200</xdr:colOff>
      <xdr:row>215</xdr:row>
      <xdr:rowOff>57150</xdr:rowOff>
    </xdr:to>
    <xdr:sp macro="" textlink="">
      <xdr:nvSpPr>
        <xdr:cNvPr id="13" name="吹き出し: 折線 12">
          <a:extLst>
            <a:ext uri="{FF2B5EF4-FFF2-40B4-BE49-F238E27FC236}">
              <a16:creationId xmlns:a16="http://schemas.microsoft.com/office/drawing/2014/main" id="{CE74E0E4-64A3-4814-8537-4F6B321238AD}"/>
            </a:ext>
          </a:extLst>
        </xdr:cNvPr>
        <xdr:cNvSpPr/>
      </xdr:nvSpPr>
      <xdr:spPr>
        <a:xfrm>
          <a:off x="12201525" y="41452800"/>
          <a:ext cx="6181725" cy="1362075"/>
        </a:xfrm>
        <a:prstGeom prst="borderCallout2">
          <a:avLst>
            <a:gd name="adj1" fmla="val 18750"/>
            <a:gd name="adj2" fmla="val -8333"/>
            <a:gd name="adj3" fmla="val 18750"/>
            <a:gd name="adj4" fmla="val -16667"/>
            <a:gd name="adj5" fmla="val 64395"/>
            <a:gd name="adj6" fmla="val -25773"/>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solidFill>
                <a:sysClr val="windowText" lastClr="000000"/>
              </a:solidFill>
            </a:rPr>
            <a:t>①</a:t>
          </a:r>
          <a:r>
            <a:rPr kumimoji="1" lang="en-US" altLang="ja-JP" sz="1100">
              <a:solidFill>
                <a:sysClr val="windowText" lastClr="000000"/>
              </a:solidFill>
            </a:rPr>
            <a:t>B</a:t>
          </a:r>
          <a:r>
            <a:rPr kumimoji="1" lang="ja-JP" altLang="en-US" sz="1100">
              <a:solidFill>
                <a:sysClr val="windowText" lastClr="000000"/>
              </a:solidFill>
            </a:rPr>
            <a:t>、</a:t>
          </a:r>
          <a:r>
            <a:rPr kumimoji="1" lang="en-US" altLang="ja-JP" sz="1100">
              <a:solidFill>
                <a:sysClr val="windowText" lastClr="000000"/>
              </a:solidFill>
            </a:rPr>
            <a:t>C</a:t>
          </a:r>
          <a:r>
            <a:rPr kumimoji="1" lang="ja-JP" altLang="en-US" sz="1100">
              <a:solidFill>
                <a:sysClr val="windowText" lastClr="000000"/>
              </a:solidFill>
            </a:rPr>
            <a:t>列に上のカラム欄をコピー</a:t>
          </a:r>
          <a:endParaRPr kumimoji="1" lang="en-US" altLang="ja-JP" sz="1100">
            <a:solidFill>
              <a:sysClr val="windowText" lastClr="000000"/>
            </a:solidFill>
          </a:endParaRPr>
        </a:p>
        <a:p>
          <a:pPr algn="l"/>
          <a:r>
            <a:rPr kumimoji="1" lang="ja-JP" altLang="en-US" sz="1100">
              <a:solidFill>
                <a:sysClr val="windowText" lastClr="000000"/>
              </a:solidFill>
            </a:rPr>
            <a:t>②</a:t>
          </a:r>
          <a:r>
            <a:rPr kumimoji="1" lang="en-US" altLang="ja-JP" sz="1100">
              <a:solidFill>
                <a:sysClr val="windowText" lastClr="000000"/>
              </a:solidFill>
            </a:rPr>
            <a:t>D</a:t>
          </a:r>
          <a:r>
            <a:rPr kumimoji="1" lang="ja-JP" altLang="en-US" sz="1100">
              <a:solidFill>
                <a:sysClr val="windowText" lastClr="000000"/>
              </a:solidFill>
            </a:rPr>
            <a:t>、</a:t>
          </a:r>
          <a:r>
            <a:rPr kumimoji="1" lang="en-US" altLang="ja-JP" sz="1100">
              <a:solidFill>
                <a:sysClr val="windowText" lastClr="000000"/>
              </a:solidFill>
            </a:rPr>
            <a:t>E</a:t>
          </a:r>
          <a:r>
            <a:rPr kumimoji="1" lang="ja-JP" altLang="en-US" sz="1100">
              <a:solidFill>
                <a:sysClr val="windowText" lastClr="000000"/>
              </a:solidFill>
            </a:rPr>
            <a:t>列にテーブル名、カラム名欄を用意し、取得元テーブル、カラムが分かるようにする</a:t>
          </a:r>
          <a:endParaRPr kumimoji="1" lang="en-US" altLang="ja-JP" sz="1100">
            <a:solidFill>
              <a:sysClr val="windowText" lastClr="000000"/>
            </a:solidFill>
          </a:endParaRPr>
        </a:p>
        <a:p>
          <a:pPr algn="l"/>
          <a:r>
            <a:rPr kumimoji="1" lang="ja-JP" altLang="en-US" sz="1100">
              <a:solidFill>
                <a:sysClr val="windowText" lastClr="000000"/>
              </a:solidFill>
            </a:rPr>
            <a:t>　基本は画面設計書</a:t>
          </a:r>
          <a:r>
            <a:rPr kumimoji="1" lang="en-US" altLang="ja-JP" sz="1100">
              <a:solidFill>
                <a:sysClr val="windowText" lastClr="000000"/>
              </a:solidFill>
            </a:rPr>
            <a:t>_</a:t>
          </a:r>
          <a:r>
            <a:rPr kumimoji="1" lang="ja-JP" altLang="en-US" sz="1100">
              <a:solidFill>
                <a:sysClr val="windowText" lastClr="000000"/>
              </a:solidFill>
            </a:rPr>
            <a:t>画面項目説明書シートの対象テーブル情報をコピーでよいはず。</a:t>
          </a:r>
          <a:endParaRPr kumimoji="1" lang="en-US" altLang="ja-JP" sz="1100">
            <a:solidFill>
              <a:sysClr val="windowText" lastClr="000000"/>
            </a:solidFill>
          </a:endParaRPr>
        </a:p>
        <a:p>
          <a:pPr algn="l"/>
          <a:r>
            <a:rPr kumimoji="1" lang="ja-JP" altLang="en-US" sz="1100">
              <a:solidFill>
                <a:sysClr val="windowText" lastClr="000000"/>
              </a:solidFill>
            </a:rPr>
            <a:t>③カードでは、左記のように</a:t>
          </a:r>
          <a:r>
            <a:rPr kumimoji="1" lang="en-US" altLang="ja-JP" sz="1100">
              <a:solidFill>
                <a:sysClr val="windowText" lastClr="000000"/>
              </a:solidFill>
            </a:rPr>
            <a:t>select</a:t>
          </a:r>
          <a:r>
            <a:rPr kumimoji="1" lang="ja-JP" altLang="en-US" sz="1100">
              <a:solidFill>
                <a:sysClr val="windowText" lastClr="000000"/>
              </a:solidFill>
            </a:rPr>
            <a:t>句、</a:t>
          </a:r>
          <a:r>
            <a:rPr kumimoji="1" lang="en-US" altLang="ja-JP" sz="1100">
              <a:solidFill>
                <a:sysClr val="windowText" lastClr="000000"/>
              </a:solidFill>
            </a:rPr>
            <a:t>where</a:t>
          </a:r>
          <a:r>
            <a:rPr kumimoji="1" lang="ja-JP" altLang="en-US" sz="1100">
              <a:solidFill>
                <a:sysClr val="windowText" lastClr="000000"/>
              </a:solidFill>
            </a:rPr>
            <a:t>句のみを記載し、詳細な記載は開発局面とする</a:t>
          </a:r>
          <a:endParaRPr kumimoji="1" lang="en-US" altLang="ja-JP" sz="1100">
            <a:solidFill>
              <a:sysClr val="windowText" lastClr="000000"/>
            </a:solidFill>
          </a:endParaRPr>
        </a:p>
        <a:p>
          <a:pPr algn="l"/>
          <a:r>
            <a:rPr kumimoji="1" lang="ja-JP" altLang="en-US" sz="1100">
              <a:solidFill>
                <a:sysClr val="windowText" lastClr="000000"/>
              </a:solidFill>
            </a:rPr>
            <a:t>④外部設計で記載した対象条件を</a:t>
          </a:r>
          <a:r>
            <a:rPr kumimoji="1" lang="en-US" altLang="ja-JP" sz="1100">
              <a:solidFill>
                <a:sysClr val="windowText" lastClr="000000"/>
              </a:solidFill>
            </a:rPr>
            <a:t>where</a:t>
          </a:r>
          <a:r>
            <a:rPr kumimoji="1" lang="ja-JP" altLang="en-US" sz="1100">
              <a:solidFill>
                <a:sysClr val="windowText" lastClr="000000"/>
              </a:solidFill>
            </a:rPr>
            <a:t>句に記載する（日本語）</a:t>
          </a:r>
          <a:r>
            <a:rPr kumimoji="1" lang="en-US" altLang="ja-JP" sz="1100">
              <a:solidFill>
                <a:sysClr val="windowText" lastClr="000000"/>
              </a:solidFill>
            </a:rPr>
            <a:t>※</a:t>
          </a:r>
          <a:r>
            <a:rPr kumimoji="1" lang="ja-JP" altLang="en-US" sz="1100">
              <a:solidFill>
                <a:sysClr val="windowText" lastClr="000000"/>
              </a:solidFill>
            </a:rPr>
            <a:t>要見直し</a:t>
          </a:r>
          <a:endParaRPr kumimoji="1" lang="en-US" altLang="ja-JP" sz="1100">
            <a:solidFill>
              <a:sysClr val="windowText" lastClr="000000"/>
            </a:solidFill>
          </a:endParaRPr>
        </a:p>
      </xdr:txBody>
    </xdr:sp>
    <xdr:clientData/>
  </xdr:twoCellAnchor>
  <xdr:twoCellAnchor>
    <xdr:from>
      <xdr:col>10</xdr:col>
      <xdr:colOff>466270</xdr:colOff>
      <xdr:row>7</xdr:row>
      <xdr:rowOff>108404</xdr:rowOff>
    </xdr:from>
    <xdr:to>
      <xdr:col>26</xdr:col>
      <xdr:colOff>170542</xdr:colOff>
      <xdr:row>10</xdr:row>
      <xdr:rowOff>117930</xdr:rowOff>
    </xdr:to>
    <xdr:sp macro="" textlink="">
      <xdr:nvSpPr>
        <xdr:cNvPr id="14" name="吹き出し: 線 13">
          <a:extLst>
            <a:ext uri="{FF2B5EF4-FFF2-40B4-BE49-F238E27FC236}">
              <a16:creationId xmlns:a16="http://schemas.microsoft.com/office/drawing/2014/main" id="{8D9E5636-D5FA-4D97-906F-62CD190BA07C}"/>
            </a:ext>
          </a:extLst>
        </xdr:cNvPr>
        <xdr:cNvSpPr/>
      </xdr:nvSpPr>
      <xdr:spPr>
        <a:xfrm>
          <a:off x="12667795" y="1241879"/>
          <a:ext cx="4619172" cy="628651"/>
        </a:xfrm>
        <a:prstGeom prst="borderCallout1">
          <a:avLst>
            <a:gd name="adj1" fmla="val 32687"/>
            <a:gd name="adj2" fmla="val -623"/>
            <a:gd name="adj3" fmla="val -43438"/>
            <a:gd name="adj4" fmla="val -1791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テーブル</a:t>
          </a:r>
          <a:r>
            <a:rPr kumimoji="1" lang="en-US" altLang="ja-JP" sz="1100">
              <a:latin typeface="Meiryo UI" panose="020B0604030504040204" pitchFamily="50" charset="-128"/>
              <a:ea typeface="Meiryo UI" panose="020B0604030504040204" pitchFamily="50" charset="-128"/>
            </a:rPr>
            <a:t>ID</a:t>
          </a:r>
          <a:r>
            <a:rPr kumimoji="1" lang="ja-JP" altLang="en-US" sz="1100">
              <a:latin typeface="Meiryo UI" panose="020B0604030504040204" pitchFamily="50" charset="-128"/>
              <a:ea typeface="Meiryo UI" panose="020B0604030504040204" pitchFamily="50" charset="-128"/>
            </a:rPr>
            <a:t>は「</a:t>
          </a:r>
          <a:r>
            <a:rPr kumimoji="1" lang="en-US" altLang="ja-JP" sz="1100">
              <a:latin typeface="Meiryo UI" panose="020B0604030504040204" pitchFamily="50" charset="-128"/>
              <a:ea typeface="Meiryo UI" panose="020B0604030504040204" pitchFamily="50" charset="-128"/>
            </a:rPr>
            <a:t>03_30_10_03_WebPerformer</a:t>
          </a:r>
          <a:r>
            <a:rPr kumimoji="1" lang="ja-JP" altLang="en-US" sz="1100">
              <a:latin typeface="Meiryo UI" panose="020B0604030504040204" pitchFamily="50" charset="-128"/>
              <a:ea typeface="Meiryo UI" panose="020B0604030504040204" pitchFamily="50" charset="-128"/>
            </a:rPr>
            <a:t>ネーミング規約</a:t>
          </a:r>
          <a:r>
            <a:rPr kumimoji="1" lang="en-US" altLang="ja-JP" sz="1100">
              <a:latin typeface="Meiryo UI" panose="020B0604030504040204" pitchFamily="50" charset="-128"/>
              <a:ea typeface="Meiryo UI" panose="020B0604030504040204" pitchFamily="50" charset="-128"/>
            </a:rPr>
            <a:t>.docx</a:t>
          </a:r>
          <a:r>
            <a:rPr kumimoji="1" lang="ja-JP" altLang="en-US" sz="1100">
              <a:latin typeface="Meiryo UI" panose="020B0604030504040204" pitchFamily="50" charset="-128"/>
              <a:ea typeface="Meiryo UI" panose="020B0604030504040204" pitchFamily="50" charset="-128"/>
            </a:rPr>
            <a:t>」の</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4-2.</a:t>
          </a:r>
          <a:r>
            <a:rPr kumimoji="1" lang="ja-JP" altLang="en-US" sz="1100">
              <a:latin typeface="Meiryo UI" panose="020B0604030504040204" pitchFamily="50" charset="-128"/>
              <a:ea typeface="Meiryo UI" panose="020B0604030504040204" pitchFamily="50" charset="-128"/>
            </a:rPr>
            <a:t>データモデル＞①データモデル」を参照してください。</a:t>
          </a:r>
        </a:p>
      </xdr:txBody>
    </xdr:sp>
    <xdr:clientData/>
  </xdr:twoCellAnchor>
  <xdr:twoCellAnchor>
    <xdr:from>
      <xdr:col>2</xdr:col>
      <xdr:colOff>552450</xdr:colOff>
      <xdr:row>599</xdr:row>
      <xdr:rowOff>66675</xdr:rowOff>
    </xdr:from>
    <xdr:to>
      <xdr:col>4</xdr:col>
      <xdr:colOff>1752600</xdr:colOff>
      <xdr:row>603</xdr:row>
      <xdr:rowOff>104775</xdr:rowOff>
    </xdr:to>
    <xdr:sp macro="" textlink="">
      <xdr:nvSpPr>
        <xdr:cNvPr id="15" name="正方形/長方形 14">
          <a:extLst>
            <a:ext uri="{FF2B5EF4-FFF2-40B4-BE49-F238E27FC236}">
              <a16:creationId xmlns:a16="http://schemas.microsoft.com/office/drawing/2014/main" id="{D09E781E-6159-44E6-B725-C6956AEC4C26}"/>
            </a:ext>
          </a:extLst>
        </xdr:cNvPr>
        <xdr:cNvSpPr/>
      </xdr:nvSpPr>
      <xdr:spPr>
        <a:xfrm>
          <a:off x="4600575" y="56226075"/>
          <a:ext cx="4895850" cy="838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集計関数の検索条件については「</a:t>
          </a:r>
          <a:r>
            <a:rPr kumimoji="1" lang="en-US" altLang="ja-JP" sz="1100">
              <a:latin typeface="Meiryo UI" panose="020B0604030504040204" pitchFamily="50" charset="-128"/>
              <a:ea typeface="Meiryo UI" panose="020B0604030504040204" pitchFamily="50" charset="-128"/>
            </a:rPr>
            <a:t>WP</a:t>
          </a:r>
          <a:r>
            <a:rPr kumimoji="1" lang="ja-JP" altLang="en-US" sz="1100">
              <a:latin typeface="Meiryo UI" panose="020B0604030504040204" pitchFamily="50" charset="-128"/>
              <a:ea typeface="Meiryo UI" panose="020B0604030504040204" pitchFamily="50" charset="-128"/>
            </a:rPr>
            <a:t>定義ガイド</a:t>
          </a:r>
          <a:r>
            <a:rPr kumimoji="1" lang="en-US" altLang="ja-JP" sz="1100">
              <a:latin typeface="Meiryo UI" panose="020B0604030504040204" pitchFamily="50" charset="-128"/>
              <a:ea typeface="Meiryo UI" panose="020B0604030504040204" pitchFamily="50" charset="-128"/>
            </a:rPr>
            <a:t>.pdf</a:t>
          </a:r>
          <a:r>
            <a:rPr kumimoji="1" lang="ja-JP" altLang="en-US" sz="1100">
              <a:latin typeface="Meiryo UI" panose="020B0604030504040204" pitchFamily="50" charset="-128"/>
              <a:ea typeface="Meiryo UI" panose="020B0604030504040204" pitchFamily="50" charset="-128"/>
            </a:rPr>
            <a:t>」の以下を参照してください</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27.2.5. </a:t>
          </a:r>
          <a:r>
            <a:rPr kumimoji="1" lang="ja-JP" altLang="en-US" sz="1100">
              <a:latin typeface="Meiryo UI" panose="020B0604030504040204" pitchFamily="50" charset="-128"/>
              <a:ea typeface="Meiryo UI" panose="020B0604030504040204" pitchFamily="50" charset="-128"/>
            </a:rPr>
            <a:t>集計関数実行時に使用する</a:t>
          </a:r>
          <a:r>
            <a:rPr kumimoji="1" lang="en-US" altLang="ja-JP" sz="1100">
              <a:latin typeface="Meiryo UI" panose="020B0604030504040204" pitchFamily="50" charset="-128"/>
              <a:ea typeface="Meiryo UI" panose="020B0604030504040204" pitchFamily="50" charset="-128"/>
            </a:rPr>
            <a:t>SQL</a:t>
          </a:r>
          <a:r>
            <a:rPr kumimoji="1" lang="ja-JP" altLang="en-US" sz="1100">
              <a:latin typeface="Meiryo UI" panose="020B0604030504040204" pitchFamily="50" charset="-128"/>
              <a:ea typeface="Meiryo UI" panose="020B0604030504040204" pitchFamily="50" charset="-128"/>
            </a:rPr>
            <a:t>指定</a:t>
          </a:r>
        </a:p>
        <a:p>
          <a:pPr algn="l"/>
          <a:r>
            <a:rPr kumimoji="1" lang="ja-JP" altLang="en-US" sz="1100">
              <a:latin typeface="Meiryo UI" panose="020B0604030504040204" pitchFamily="50" charset="-128"/>
              <a:ea typeface="Meiryo UI" panose="020B0604030504040204" pitchFamily="50" charset="-128"/>
            </a:rPr>
            <a:t>　</a:t>
          </a:r>
          <a:r>
            <a:rPr kumimoji="1" lang="en-US" altLang="ja-JP" sz="1100">
              <a:latin typeface="Meiryo UI" panose="020B0604030504040204" pitchFamily="50" charset="-128"/>
              <a:ea typeface="Meiryo UI" panose="020B0604030504040204" pitchFamily="50" charset="-128"/>
            </a:rPr>
            <a:t>27.3.5. </a:t>
          </a:r>
          <a:r>
            <a:rPr kumimoji="1" lang="ja-JP" altLang="en-US" sz="1100">
              <a:latin typeface="Meiryo UI" panose="020B0604030504040204" pitchFamily="50" charset="-128"/>
              <a:ea typeface="Meiryo UI" panose="020B0604030504040204" pitchFamily="50" charset="-128"/>
            </a:rPr>
            <a:t>集計関数実行時に使用する</a:t>
          </a:r>
          <a:r>
            <a:rPr kumimoji="1" lang="en-US" altLang="ja-JP" sz="1100">
              <a:latin typeface="Meiryo UI" panose="020B0604030504040204" pitchFamily="50" charset="-128"/>
              <a:ea typeface="Meiryo UI" panose="020B0604030504040204" pitchFamily="50" charset="-128"/>
            </a:rPr>
            <a:t>SQL</a:t>
          </a:r>
          <a:r>
            <a:rPr kumimoji="1" lang="ja-JP" altLang="en-US" sz="1100">
              <a:latin typeface="Meiryo UI" panose="020B0604030504040204" pitchFamily="50" charset="-128"/>
              <a:ea typeface="Meiryo UI" panose="020B0604030504040204" pitchFamily="50" charset="-128"/>
            </a:rPr>
            <a:t>指定</a:t>
          </a:r>
        </a:p>
      </xdr:txBody>
    </xdr:sp>
    <xdr:clientData/>
  </xdr:twoCellAnchor>
  <xdr:twoCellAnchor>
    <xdr:from>
      <xdr:col>1</xdr:col>
      <xdr:colOff>3697941</xdr:colOff>
      <xdr:row>605</xdr:row>
      <xdr:rowOff>134469</xdr:rowOff>
    </xdr:from>
    <xdr:to>
      <xdr:col>6</xdr:col>
      <xdr:colOff>56029</xdr:colOff>
      <xdr:row>611</xdr:row>
      <xdr:rowOff>44824</xdr:rowOff>
    </xdr:to>
    <xdr:sp macro="" textlink="">
      <xdr:nvSpPr>
        <xdr:cNvPr id="16" name="吹き出し: 折線 15">
          <a:extLst>
            <a:ext uri="{FF2B5EF4-FFF2-40B4-BE49-F238E27FC236}">
              <a16:creationId xmlns:a16="http://schemas.microsoft.com/office/drawing/2014/main" id="{A4F8BA03-7131-4099-A2D1-ED76FF8F1E2B}"/>
            </a:ext>
          </a:extLst>
        </xdr:cNvPr>
        <xdr:cNvSpPr/>
      </xdr:nvSpPr>
      <xdr:spPr>
        <a:xfrm>
          <a:off x="4031316" y="57494019"/>
          <a:ext cx="6473638" cy="1110505"/>
        </a:xfrm>
        <a:prstGeom prst="borderCallout2">
          <a:avLst>
            <a:gd name="adj1" fmla="val 18750"/>
            <a:gd name="adj2" fmla="val -8333"/>
            <a:gd name="adj3" fmla="val 18750"/>
            <a:gd name="adj4" fmla="val -16667"/>
            <a:gd name="adj5" fmla="val -42123"/>
            <a:gd name="adj6" fmla="val -2657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baseline="0"/>
            <a:t>dbQuery</a:t>
          </a:r>
          <a:r>
            <a:rPr kumimoji="1" lang="ja-JP" altLang="en-US" sz="1100" baseline="0"/>
            <a:t>の</a:t>
          </a:r>
          <a:r>
            <a:rPr kumimoji="1" lang="en-US" altLang="ja-JP" sz="1100" baseline="0"/>
            <a:t>select</a:t>
          </a:r>
          <a:r>
            <a:rPr kumimoji="1" lang="ja-JP" altLang="en-US" sz="1100" baseline="0"/>
            <a:t>句のカラムを、</a:t>
          </a:r>
          <a:r>
            <a:rPr kumimoji="1" lang="en-US" altLang="ja-JP" sz="1100" baseline="0"/>
            <a:t>count(*)</a:t>
          </a:r>
          <a:r>
            <a:rPr kumimoji="1" lang="ja-JP" altLang="en-US" sz="1100" baseline="0"/>
            <a:t>に置換えて</a:t>
          </a:r>
          <a:r>
            <a:rPr kumimoji="1" lang="en-US" altLang="ja-JP" sz="1100" baseline="0"/>
            <a:t>SQL</a:t>
          </a:r>
          <a:r>
            <a:rPr kumimoji="1" lang="ja-JP" altLang="en-US" sz="1100" baseline="0"/>
            <a:t>構文エラーとなる場合に記載が必要</a:t>
          </a:r>
        </a:p>
        <a:p>
          <a:pPr algn="l"/>
          <a:r>
            <a:rPr kumimoji="1" lang="en-US" altLang="ja-JP" sz="1100" baseline="0"/>
            <a:t>※</a:t>
          </a:r>
          <a:r>
            <a:rPr kumimoji="1" lang="ja-JP" altLang="en-US" sz="1100" baseline="0"/>
            <a:t>該当する</a:t>
          </a:r>
          <a:r>
            <a:rPr kumimoji="1" lang="en-US" altLang="ja-JP" sz="1100" baseline="0"/>
            <a:t>dbQuery</a:t>
          </a:r>
          <a:r>
            <a:rPr kumimoji="1" lang="ja-JP" altLang="en-US" sz="1100" baseline="0"/>
            <a:t>例：</a:t>
          </a:r>
        </a:p>
        <a:p>
          <a:pPr algn="l"/>
          <a:r>
            <a:rPr kumimoji="1" lang="ja-JP" altLang="en-US" sz="1100" baseline="0"/>
            <a:t>  </a:t>
          </a:r>
          <a:r>
            <a:rPr kumimoji="1" lang="en-US" altLang="ja-JP" sz="1100" baseline="0"/>
            <a:t>group by</a:t>
          </a:r>
          <a:r>
            <a:rPr kumimoji="1" lang="ja-JP" altLang="en-US" sz="1100" baseline="0"/>
            <a:t>を利用している</a:t>
          </a:r>
          <a:r>
            <a:rPr kumimoji="1" lang="en-US" altLang="ja-JP" sz="1100" baseline="0"/>
            <a:t>SQL</a:t>
          </a:r>
        </a:p>
        <a:p>
          <a:pPr algn="l"/>
          <a:r>
            <a:rPr kumimoji="1" lang="en-US" altLang="ja-JP" sz="1100" baseline="0"/>
            <a:t>  union</a:t>
          </a:r>
          <a:r>
            <a:rPr kumimoji="1" lang="ja-JP" altLang="en-US" sz="1100" baseline="0"/>
            <a:t>を利用している</a:t>
          </a:r>
          <a:r>
            <a:rPr kumimoji="1" lang="en-US" altLang="ja-JP" sz="1100" baseline="0"/>
            <a:t>SQL </a:t>
          </a:r>
          <a:r>
            <a:rPr kumimoji="1" lang="ja-JP" altLang="en-US" sz="1100" baseline="0"/>
            <a:t>（</a:t>
          </a:r>
          <a:r>
            <a:rPr kumimoji="1" lang="en-US" altLang="ja-JP" sz="1100" baseline="0"/>
            <a:t>SQL</a:t>
          </a:r>
          <a:r>
            <a:rPr kumimoji="1" lang="ja-JP" altLang="en-US" sz="1100" baseline="0"/>
            <a:t>構文エラーにならない場合も正しくカウントが取得できない）</a:t>
          </a:r>
          <a:endParaRPr kumimoji="1" lang="en-US" altLang="ja-JP" sz="1100" baseline="0"/>
        </a:p>
      </xdr:txBody>
    </xdr:sp>
    <xdr:clientData/>
  </xdr:twoCellAnchor>
  <xdr:twoCellAnchor>
    <xdr:from>
      <xdr:col>7</xdr:col>
      <xdr:colOff>638175</xdr:colOff>
      <xdr:row>17</xdr:row>
      <xdr:rowOff>57150</xdr:rowOff>
    </xdr:from>
    <xdr:to>
      <xdr:col>14</xdr:col>
      <xdr:colOff>180975</xdr:colOff>
      <xdr:row>19</xdr:row>
      <xdr:rowOff>123825</xdr:rowOff>
    </xdr:to>
    <xdr:sp macro="" textlink="">
      <xdr:nvSpPr>
        <xdr:cNvPr id="17" name="吹き出し: 折線 16">
          <a:extLst>
            <a:ext uri="{FF2B5EF4-FFF2-40B4-BE49-F238E27FC236}">
              <a16:creationId xmlns:a16="http://schemas.microsoft.com/office/drawing/2014/main" id="{0B528B08-0E2D-4AD2-A1AC-771D484321A2}"/>
            </a:ext>
          </a:extLst>
        </xdr:cNvPr>
        <xdr:cNvSpPr/>
      </xdr:nvSpPr>
      <xdr:spPr>
        <a:xfrm>
          <a:off x="11382375" y="3209925"/>
          <a:ext cx="3057525" cy="466725"/>
        </a:xfrm>
        <a:prstGeom prst="borderCallout2">
          <a:avLst>
            <a:gd name="adj1" fmla="val 18750"/>
            <a:gd name="adj2" fmla="val -8333"/>
            <a:gd name="adj3" fmla="val 18750"/>
            <a:gd name="adj4" fmla="val -16667"/>
            <a:gd name="adj5" fmla="val -40826"/>
            <a:gd name="adj6" fmla="val -3207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aseline="0"/>
            <a:t>テーブル定義の</a:t>
          </a:r>
          <a:r>
            <a:rPr kumimoji="1" lang="en-US" altLang="ja-JP" sz="1100" baseline="0"/>
            <a:t>DM</a:t>
          </a:r>
          <a:r>
            <a:rPr kumimoji="1" lang="ja-JP" altLang="en-US" sz="1100" baseline="0"/>
            <a:t>の方の桁数とあわせる</a:t>
          </a:r>
          <a:endParaRPr kumimoji="1" lang="en-US" altLang="ja-JP" sz="1100" baseline="0"/>
        </a:p>
      </xdr:txBody>
    </xdr:sp>
    <xdr:clientData/>
  </xdr:twoCellAnchor>
  <xdr:twoCellAnchor>
    <xdr:from>
      <xdr:col>1</xdr:col>
      <xdr:colOff>400050</xdr:colOff>
      <xdr:row>0</xdr:row>
      <xdr:rowOff>152400</xdr:rowOff>
    </xdr:from>
    <xdr:to>
      <xdr:col>1</xdr:col>
      <xdr:colOff>3686175</xdr:colOff>
      <xdr:row>3</xdr:row>
      <xdr:rowOff>171451</xdr:rowOff>
    </xdr:to>
    <xdr:sp macro="" textlink="">
      <xdr:nvSpPr>
        <xdr:cNvPr id="18" name="吹き出し: 折線 17">
          <a:extLst>
            <a:ext uri="{FF2B5EF4-FFF2-40B4-BE49-F238E27FC236}">
              <a16:creationId xmlns:a16="http://schemas.microsoft.com/office/drawing/2014/main" id="{D662BF2B-EC80-4FC4-B8AD-2E5CF546D56A}"/>
            </a:ext>
          </a:extLst>
        </xdr:cNvPr>
        <xdr:cNvSpPr/>
      </xdr:nvSpPr>
      <xdr:spPr>
        <a:xfrm>
          <a:off x="733425" y="152400"/>
          <a:ext cx="3286125" cy="619126"/>
        </a:xfrm>
        <a:prstGeom prst="borderCallout2">
          <a:avLst>
            <a:gd name="adj1" fmla="val 18750"/>
            <a:gd name="adj2" fmla="val -8333"/>
            <a:gd name="adj3" fmla="val 18750"/>
            <a:gd name="adj4" fmla="val -16667"/>
            <a:gd name="adj5" fmla="val 18245"/>
            <a:gd name="adj6" fmla="val -1140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はじめに、フォーマットシートをコピーして作成</a:t>
          </a:r>
          <a:endParaRPr kumimoji="1" lang="en-US" altLang="ja-JP" sz="1100"/>
        </a:p>
      </xdr:txBody>
    </xdr:sp>
    <xdr:clientData/>
  </xdr:twoCellAnchor>
  <xdr:twoCellAnchor>
    <xdr:from>
      <xdr:col>3</xdr:col>
      <xdr:colOff>292100</xdr:colOff>
      <xdr:row>9</xdr:row>
      <xdr:rowOff>50799</xdr:rowOff>
    </xdr:from>
    <xdr:to>
      <xdr:col>9</xdr:col>
      <xdr:colOff>196850</xdr:colOff>
      <xdr:row>13</xdr:row>
      <xdr:rowOff>181428</xdr:rowOff>
    </xdr:to>
    <xdr:sp macro="" textlink="">
      <xdr:nvSpPr>
        <xdr:cNvPr id="19" name="吹き出し: 折線 18">
          <a:extLst>
            <a:ext uri="{FF2B5EF4-FFF2-40B4-BE49-F238E27FC236}">
              <a16:creationId xmlns:a16="http://schemas.microsoft.com/office/drawing/2014/main" id="{A62FBFA4-523D-4AB6-AE1D-A64AFEDDA9EB}"/>
            </a:ext>
          </a:extLst>
        </xdr:cNvPr>
        <xdr:cNvSpPr/>
      </xdr:nvSpPr>
      <xdr:spPr>
        <a:xfrm>
          <a:off x="6302375" y="1593849"/>
          <a:ext cx="5410200" cy="940254"/>
        </a:xfrm>
        <a:prstGeom prst="borderCallout2">
          <a:avLst>
            <a:gd name="adj1" fmla="val 18750"/>
            <a:gd name="adj2" fmla="val -8333"/>
            <a:gd name="adj3" fmla="val 18750"/>
            <a:gd name="adj4" fmla="val -16667"/>
            <a:gd name="adj5" fmla="val -59847"/>
            <a:gd name="adj6" fmla="val -2226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テーブル名称</a:t>
          </a:r>
          <a:endParaRPr kumimoji="1" lang="en-US" altLang="ja-JP" sz="1100"/>
        </a:p>
        <a:p>
          <a:pPr algn="l"/>
          <a:r>
            <a:rPr kumimoji="1" lang="en-US" altLang="ja-JP" sz="1100"/>
            <a:t>JOIN</a:t>
          </a:r>
          <a:r>
            <a:rPr kumimoji="1" lang="ja-JP" altLang="en-US" sz="1100"/>
            <a:t>の主となるテーブル </a:t>
          </a:r>
          <a:r>
            <a:rPr kumimoji="1" lang="en-US" altLang="ja-JP" sz="1100"/>
            <a:t>+ </a:t>
          </a:r>
          <a:r>
            <a:rPr kumimoji="1" lang="ja-JP" altLang="en-US" sz="1100"/>
            <a:t>使用用途　</a:t>
          </a:r>
          <a:endParaRPr kumimoji="1" lang="en-US" altLang="ja-JP" sz="1100"/>
        </a:p>
        <a:p>
          <a:pPr algn="l"/>
          <a:r>
            <a:rPr kumimoji="1" lang="ja-JP" altLang="en-US" sz="1100"/>
            <a:t>（</a:t>
          </a:r>
          <a:r>
            <a:rPr kumimoji="1" lang="en-US" altLang="ja-JP" sz="1100"/>
            <a:t>※</a:t>
          </a:r>
          <a:r>
            <a:rPr kumimoji="1" lang="ja-JP" altLang="en-US" sz="1100"/>
            <a:t>使用用途。受注状況一覧、受注受付状況一覧のように被る場合は分かるように注意）</a:t>
          </a:r>
          <a:endParaRPr kumimoji="1" lang="en-US" altLang="ja-JP" sz="1100"/>
        </a:p>
      </xdr:txBody>
    </xdr:sp>
    <xdr:clientData/>
  </xdr:twoCellAnchor>
  <xdr:twoCellAnchor>
    <xdr:from>
      <xdr:col>2</xdr:col>
      <xdr:colOff>1933575</xdr:colOff>
      <xdr:row>0</xdr:row>
      <xdr:rowOff>190500</xdr:rowOff>
    </xdr:from>
    <xdr:to>
      <xdr:col>7</xdr:col>
      <xdr:colOff>85725</xdr:colOff>
      <xdr:row>4</xdr:row>
      <xdr:rowOff>38100</xdr:rowOff>
    </xdr:to>
    <xdr:sp macro="" textlink="">
      <xdr:nvSpPr>
        <xdr:cNvPr id="20" name="吹き出し: 折線 19">
          <a:extLst>
            <a:ext uri="{FF2B5EF4-FFF2-40B4-BE49-F238E27FC236}">
              <a16:creationId xmlns:a16="http://schemas.microsoft.com/office/drawing/2014/main" id="{DB4374DC-EADA-4A54-BFB8-65D3B1BAE848}"/>
            </a:ext>
          </a:extLst>
        </xdr:cNvPr>
        <xdr:cNvSpPr/>
      </xdr:nvSpPr>
      <xdr:spPr>
        <a:xfrm>
          <a:off x="5981700" y="190500"/>
          <a:ext cx="4848225" cy="647700"/>
        </a:xfrm>
        <a:prstGeom prst="borderCallout2">
          <a:avLst>
            <a:gd name="adj1" fmla="val 18750"/>
            <a:gd name="adj2" fmla="val -8333"/>
            <a:gd name="adj3" fmla="val 18750"/>
            <a:gd name="adj4" fmla="val -16667"/>
            <a:gd name="adj5" fmla="val 64353"/>
            <a:gd name="adj6" fmla="val -2850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既存機能は</a:t>
          </a:r>
          <a:r>
            <a:rPr kumimoji="1" lang="en-US" altLang="ja-JP" sz="1100"/>
            <a:t>e-bas</a:t>
          </a:r>
          <a:r>
            <a:rPr kumimoji="1" lang="ja-JP" altLang="en-US" sz="1100"/>
            <a:t>詳細設計書もインプットとなる。</a:t>
          </a:r>
          <a:endParaRPr kumimoji="1" lang="en-US" altLang="ja-JP" sz="1100"/>
        </a:p>
        <a:p>
          <a:pPr algn="l"/>
          <a:r>
            <a:rPr kumimoji="1" lang="en-US" altLang="ja-JP" sz="1100"/>
            <a:t>e-bas</a:t>
          </a:r>
          <a:r>
            <a:rPr kumimoji="1" lang="ja-JP" altLang="en-US" sz="1100"/>
            <a:t>詳細設計書の見方は別途連携（</a:t>
          </a:r>
          <a:r>
            <a:rPr kumimoji="1" lang="en-US" altLang="ja-JP" sz="1100"/>
            <a:t>2</a:t>
          </a:r>
          <a:r>
            <a:rPr kumimoji="1" lang="ja-JP" altLang="en-US" sz="1100"/>
            <a:t>月～参画メンバー）</a:t>
          </a:r>
          <a:endParaRPr kumimoji="1" lang="en-US" altLang="ja-JP" sz="1100"/>
        </a:p>
      </xdr:txBody>
    </xdr:sp>
    <xdr:clientData/>
  </xdr:twoCellAnchor>
  <xdr:twoCellAnchor editAs="oneCell">
    <xdr:from>
      <xdr:col>4</xdr:col>
      <xdr:colOff>571499</xdr:colOff>
      <xdr:row>184</xdr:row>
      <xdr:rowOff>183752</xdr:rowOff>
    </xdr:from>
    <xdr:to>
      <xdr:col>9</xdr:col>
      <xdr:colOff>0</xdr:colOff>
      <xdr:row>198</xdr:row>
      <xdr:rowOff>114862</xdr:rowOff>
    </xdr:to>
    <xdr:pic>
      <xdr:nvPicPr>
        <xdr:cNvPr id="21" name="図 20">
          <a:extLst>
            <a:ext uri="{FF2B5EF4-FFF2-40B4-BE49-F238E27FC236}">
              <a16:creationId xmlns:a16="http://schemas.microsoft.com/office/drawing/2014/main" id="{49F152E3-BEFC-4C99-A8EC-431C52AF9125}"/>
            </a:ext>
          </a:extLst>
        </xdr:cNvPr>
        <xdr:cNvPicPr>
          <a:picLocks noChangeAspect="1"/>
        </xdr:cNvPicPr>
      </xdr:nvPicPr>
      <xdr:blipFill>
        <a:blip xmlns:r="http://schemas.openxmlformats.org/officeDocument/2006/relationships" r:embed="rId2"/>
        <a:stretch>
          <a:fillRect/>
        </a:stretch>
      </xdr:blipFill>
      <xdr:spPr>
        <a:xfrm>
          <a:off x="8315324" y="36740702"/>
          <a:ext cx="3200401" cy="2731460"/>
        </a:xfrm>
        <a:prstGeom prst="rect">
          <a:avLst/>
        </a:prstGeom>
      </xdr:spPr>
    </xdr:pic>
    <xdr:clientData/>
  </xdr:twoCellAnchor>
  <xdr:twoCellAnchor>
    <xdr:from>
      <xdr:col>4</xdr:col>
      <xdr:colOff>295275</xdr:colOff>
      <xdr:row>200</xdr:row>
      <xdr:rowOff>190499</xdr:rowOff>
    </xdr:from>
    <xdr:to>
      <xdr:col>15</xdr:col>
      <xdr:colOff>219075</xdr:colOff>
      <xdr:row>205</xdr:row>
      <xdr:rowOff>76199</xdr:rowOff>
    </xdr:to>
    <xdr:sp macro="" textlink="">
      <xdr:nvSpPr>
        <xdr:cNvPr id="22" name="吹き出し: 折線 21">
          <a:extLst>
            <a:ext uri="{FF2B5EF4-FFF2-40B4-BE49-F238E27FC236}">
              <a16:creationId xmlns:a16="http://schemas.microsoft.com/office/drawing/2014/main" id="{2D5AC997-15C5-4658-A356-DE4B4BA35091}"/>
            </a:ext>
          </a:extLst>
        </xdr:cNvPr>
        <xdr:cNvSpPr/>
      </xdr:nvSpPr>
      <xdr:spPr>
        <a:xfrm>
          <a:off x="8039100" y="39947849"/>
          <a:ext cx="6677025" cy="885825"/>
        </a:xfrm>
        <a:prstGeom prst="borderCallout2">
          <a:avLst>
            <a:gd name="adj1" fmla="val 18750"/>
            <a:gd name="adj2" fmla="val -8333"/>
            <a:gd name="adj3" fmla="val 18750"/>
            <a:gd name="adj4" fmla="val -16667"/>
            <a:gd name="adj5" fmla="val 54896"/>
            <a:gd name="adj6" fmla="val -43149"/>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セッション管理項目は下記参照</a:t>
          </a:r>
          <a:endParaRPr kumimoji="1" lang="en-US" altLang="ja-JP" sz="1100"/>
        </a:p>
        <a:p>
          <a:pPr algn="l"/>
          <a:r>
            <a:rPr kumimoji="1" lang="en-US" altLang="ja-JP" sz="1100"/>
            <a:t>C:\ngc_niccs\documents\04_</a:t>
          </a:r>
          <a:r>
            <a:rPr kumimoji="1" lang="ja-JP" altLang="en-US" sz="1100"/>
            <a:t>内部設計</a:t>
          </a:r>
          <a:r>
            <a:rPr kumimoji="1" lang="en-US" altLang="ja-JP" sz="1100"/>
            <a:t>\02_</a:t>
          </a:r>
          <a:r>
            <a:rPr kumimoji="1" lang="ja-JP" altLang="en-US" sz="1100"/>
            <a:t>作成ドキュメント</a:t>
          </a:r>
          <a:r>
            <a:rPr kumimoji="1" lang="en-US" altLang="ja-JP" sz="1100"/>
            <a:t>\50_</a:t>
          </a:r>
          <a:r>
            <a:rPr kumimoji="1" lang="ja-JP" altLang="en-US" sz="1100"/>
            <a:t>機能設計</a:t>
          </a:r>
          <a:r>
            <a:rPr kumimoji="1" lang="en-US" altLang="ja-JP" sz="1100"/>
            <a:t>\45_</a:t>
          </a:r>
          <a:r>
            <a:rPr kumimoji="1" lang="ja-JP" altLang="en-US" sz="1100"/>
            <a:t>共通設計書</a:t>
          </a:r>
          <a:r>
            <a:rPr kumimoji="1" lang="en-US" altLang="ja-JP" sz="1100"/>
            <a:t>\01_</a:t>
          </a:r>
          <a:r>
            <a:rPr kumimoji="1" lang="ja-JP" altLang="en-US" sz="1100"/>
            <a:t>共通仕様</a:t>
          </a:r>
          <a:endParaRPr kumimoji="1" lang="en-US" altLang="ja-JP" sz="1100"/>
        </a:p>
        <a:p>
          <a:pPr algn="l"/>
          <a:r>
            <a:rPr kumimoji="1" lang="ja-JP" altLang="en-US" sz="1100"/>
            <a:t>　└</a:t>
          </a:r>
          <a:r>
            <a:rPr kumimoji="1" lang="en-US" altLang="ja-JP" sz="1100"/>
            <a:t>03_50_45_01_09_【</a:t>
          </a:r>
          <a:r>
            <a:rPr kumimoji="1" lang="ja-JP" altLang="en-US" sz="1100"/>
            <a:t>共通仕様</a:t>
          </a:r>
          <a:r>
            <a:rPr kumimoji="1" lang="en-US" altLang="ja-JP" sz="1100"/>
            <a:t>】</a:t>
          </a:r>
          <a:r>
            <a:rPr kumimoji="1" lang="ja-JP" altLang="en-US" sz="1100"/>
            <a:t>セッション管理項目一覧</a:t>
          </a:r>
          <a:r>
            <a:rPr kumimoji="1" lang="en-US" altLang="ja-JP" sz="1100"/>
            <a:t>.xlsx</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34</xdr:col>
          <xdr:colOff>596713</xdr:colOff>
          <xdr:row>3</xdr:row>
          <xdr:rowOff>161925</xdr:rowOff>
        </xdr:to>
        <xdr:pic>
          <xdr:nvPicPr>
            <xdr:cNvPr id="2" name="図 1">
              <a:extLst>
                <a:ext uri="{FF2B5EF4-FFF2-40B4-BE49-F238E27FC236}">
                  <a16:creationId xmlns:a16="http://schemas.microsoft.com/office/drawing/2014/main" id="{30EC6687-4D75-4FCE-8805-3BB3795B7568}"/>
                </a:ext>
              </a:extLst>
            </xdr:cNvPr>
            <xdr:cNvPicPr>
              <a:picLocks noChangeAspect="1" noChangeArrowheads="1"/>
              <a:extLst>
                <a:ext uri="{84589F7E-364E-4C9E-8A38-B11213B215E9}">
                  <a14:cameraTool cellRange="[6]改版履歴!$A$1:$CE$4" spid="_x0000_s26678"/>
                </a:ext>
              </a:extLst>
            </xdr:cNvPicPr>
          </xdr:nvPicPr>
          <xdr:blipFill>
            <a:blip xmlns:r="http://schemas.openxmlformats.org/officeDocument/2006/relationships" r:embed="rId1"/>
            <a:srcRect/>
            <a:stretch>
              <a:fillRect/>
            </a:stretch>
          </xdr:blipFill>
          <xdr:spPr bwMode="auto">
            <a:xfrm>
              <a:off x="0" y="0"/>
              <a:ext cx="15020925" cy="762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34</xdr:col>
      <xdr:colOff>156883</xdr:colOff>
      <xdr:row>42</xdr:row>
      <xdr:rowOff>100853</xdr:rowOff>
    </xdr:from>
    <xdr:to>
      <xdr:col>39</xdr:col>
      <xdr:colOff>206749</xdr:colOff>
      <xdr:row>47</xdr:row>
      <xdr:rowOff>131110</xdr:rowOff>
    </xdr:to>
    <xdr:sp macro="" textlink="">
      <xdr:nvSpPr>
        <xdr:cNvPr id="3" name="吹き出し: 折線 2">
          <a:extLst>
            <a:ext uri="{FF2B5EF4-FFF2-40B4-BE49-F238E27FC236}">
              <a16:creationId xmlns:a16="http://schemas.microsoft.com/office/drawing/2014/main" id="{C7977207-3D4C-4120-B195-7694590BDAB0}"/>
            </a:ext>
          </a:extLst>
        </xdr:cNvPr>
        <xdr:cNvSpPr/>
      </xdr:nvSpPr>
      <xdr:spPr>
        <a:xfrm>
          <a:off x="14567648" y="9379324"/>
          <a:ext cx="4543425" cy="1038786"/>
        </a:xfrm>
        <a:prstGeom prst="borderCallout2">
          <a:avLst>
            <a:gd name="adj1" fmla="val 18750"/>
            <a:gd name="adj2" fmla="val -8333"/>
            <a:gd name="adj3" fmla="val 18750"/>
            <a:gd name="adj4" fmla="val -16667"/>
            <a:gd name="adj5" fmla="val 49863"/>
            <a:gd name="adj6" fmla="val -2317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ホールコードに紐づくホール名を取得する場合</a:t>
          </a:r>
          <a:endParaRPr kumimoji="1" lang="en-US" altLang="ja-JP" sz="1100"/>
        </a:p>
        <a:p>
          <a:pPr algn="l"/>
          <a:r>
            <a:rPr kumimoji="1" lang="ja-JP" altLang="en-US" sz="1100"/>
            <a:t>ホール契約マスタ、ホール管理マスタと結合し、</a:t>
          </a:r>
          <a:endParaRPr kumimoji="1" lang="en-US" altLang="ja-JP" sz="1100"/>
        </a:p>
        <a:p>
          <a:pPr algn="l"/>
          <a:r>
            <a:rPr kumimoji="1" lang="ja-JP" altLang="en-US" sz="1100"/>
            <a:t>どちらも適用開始日～適用終了日であることを条件とする必要がある？</a:t>
          </a:r>
          <a:endParaRPr kumimoji="1" lang="en-US" altLang="ja-JP" sz="1100"/>
        </a:p>
        <a:p>
          <a:pPr algn="l"/>
          <a:r>
            <a:rPr kumimoji="1" lang="ja-JP" altLang="en-US" sz="1100"/>
            <a:t>⇒他機能でも多々ありそう</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34</xdr:col>
          <xdr:colOff>621368</xdr:colOff>
          <xdr:row>3</xdr:row>
          <xdr:rowOff>156882</xdr:rowOff>
        </xdr:to>
        <xdr:pic>
          <xdr:nvPicPr>
            <xdr:cNvPr id="2" name="図 1">
              <a:extLst>
                <a:ext uri="{FF2B5EF4-FFF2-40B4-BE49-F238E27FC236}">
                  <a16:creationId xmlns:a16="http://schemas.microsoft.com/office/drawing/2014/main" id="{880772F2-C224-4250-999A-840E13554C7F}"/>
                </a:ext>
              </a:extLst>
            </xdr:cNvPr>
            <xdr:cNvPicPr>
              <a:picLocks noChangeAspect="1" noChangeArrowheads="1"/>
              <a:extLst>
                <a:ext uri="{84589F7E-364E-4C9E-8A38-B11213B215E9}">
                  <a14:cameraTool cellRange="[6]改版履歴!$A$1:$CE$4" spid="_x0000_s27702"/>
                </a:ext>
              </a:extLst>
            </xdr:cNvPicPr>
          </xdr:nvPicPr>
          <xdr:blipFill>
            <a:blip xmlns:r="http://schemas.openxmlformats.org/officeDocument/2006/relationships" r:embed="rId1"/>
            <a:srcRect/>
            <a:stretch>
              <a:fillRect/>
            </a:stretch>
          </xdr:blipFill>
          <xdr:spPr bwMode="auto">
            <a:xfrm>
              <a:off x="2" y="0"/>
              <a:ext cx="15020925" cy="762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2</xdr:colOff>
          <xdr:row>0</xdr:row>
          <xdr:rowOff>0</xdr:rowOff>
        </xdr:from>
        <xdr:ext cx="14410763" cy="731047"/>
        <xdr:pic>
          <xdr:nvPicPr>
            <xdr:cNvPr id="2" name="図 1">
              <a:extLst>
                <a:ext uri="{FF2B5EF4-FFF2-40B4-BE49-F238E27FC236}">
                  <a16:creationId xmlns:a16="http://schemas.microsoft.com/office/drawing/2014/main" id="{39D1856A-C93F-4BE6-BC7E-3CF727A41F01}"/>
                </a:ext>
              </a:extLst>
            </xdr:cNvPr>
            <xdr:cNvPicPr>
              <a:picLocks noChangeAspect="1" noChangeArrowheads="1"/>
              <a:extLst>
                <a:ext uri="{84589F7E-364E-4C9E-8A38-B11213B215E9}">
                  <a14:cameraTool cellRange="改版履歴!$A$1:$CE$4" spid="_x0000_s19559"/>
                </a:ext>
              </a:extLst>
            </xdr:cNvPicPr>
          </xdr:nvPicPr>
          <xdr:blipFill>
            <a:blip xmlns:r="http://schemas.openxmlformats.org/officeDocument/2006/relationships" r:embed="rId1"/>
            <a:srcRect/>
            <a:stretch>
              <a:fillRect/>
            </a:stretch>
          </xdr:blipFill>
          <xdr:spPr bwMode="auto">
            <a:xfrm>
              <a:off x="2" y="0"/>
              <a:ext cx="14410763" cy="731047"/>
            </a:xfrm>
            <a:prstGeom prst="rect">
              <a:avLst/>
            </a:prstGeom>
            <a:noFill/>
            <a:extLst>
              <a:ext uri="{909E8E84-426E-40DD-AFC4-6F175D3DCCD1}">
                <a14:hiddenFill>
                  <a:solidFill>
                    <a:srgbClr val="FFFFFF"/>
                  </a:solidFill>
                </a14:hiddenFill>
              </a:ext>
            </a:extLst>
          </xdr:spPr>
        </xdr:pic>
        <xdr:clientData/>
      </xdr:one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3</xdr:colOff>
          <xdr:row>0</xdr:row>
          <xdr:rowOff>0</xdr:rowOff>
        </xdr:from>
        <xdr:ext cx="14433174" cy="732184"/>
        <xdr:pic>
          <xdr:nvPicPr>
            <xdr:cNvPr id="2" name="図 1">
              <a:extLst>
                <a:ext uri="{FF2B5EF4-FFF2-40B4-BE49-F238E27FC236}">
                  <a16:creationId xmlns:a16="http://schemas.microsoft.com/office/drawing/2014/main" id="{DA2DDBED-CC95-46C4-9C31-0BB4C72C46EA}"/>
                </a:ext>
              </a:extLst>
            </xdr:cNvPr>
            <xdr:cNvPicPr>
              <a:picLocks noChangeAspect="1" noChangeArrowheads="1"/>
              <a:extLst>
                <a:ext uri="{84589F7E-364E-4C9E-8A38-B11213B215E9}">
                  <a14:cameraTool cellRange="改版履歴!$A$1:$CE$4" spid="_x0000_s20582"/>
                </a:ext>
              </a:extLst>
            </xdr:cNvPicPr>
          </xdr:nvPicPr>
          <xdr:blipFill>
            <a:blip xmlns:r="http://schemas.openxmlformats.org/officeDocument/2006/relationships" r:embed="rId1"/>
            <a:srcRect/>
            <a:stretch>
              <a:fillRect/>
            </a:stretch>
          </xdr:blipFill>
          <xdr:spPr bwMode="auto">
            <a:xfrm>
              <a:off x="3" y="0"/>
              <a:ext cx="14433174" cy="732184"/>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18</xdr:col>
      <xdr:colOff>47624</xdr:colOff>
      <xdr:row>1</xdr:row>
      <xdr:rowOff>122144</xdr:rowOff>
    </xdr:from>
    <xdr:to>
      <xdr:col>30</xdr:col>
      <xdr:colOff>95809</xdr:colOff>
      <xdr:row>8</xdr:row>
      <xdr:rowOff>6724</xdr:rowOff>
    </xdr:to>
    <xdr:sp macro="" textlink="">
      <xdr:nvSpPr>
        <xdr:cNvPr id="3" name="吹き出し: 線 2">
          <a:extLst>
            <a:ext uri="{FF2B5EF4-FFF2-40B4-BE49-F238E27FC236}">
              <a16:creationId xmlns:a16="http://schemas.microsoft.com/office/drawing/2014/main" id="{45DE50E6-5C24-45EA-9397-F9516D683116}"/>
            </a:ext>
          </a:extLst>
        </xdr:cNvPr>
        <xdr:cNvSpPr/>
      </xdr:nvSpPr>
      <xdr:spPr>
        <a:xfrm>
          <a:off x="10682006" y="323850"/>
          <a:ext cx="2872068" cy="1027580"/>
        </a:xfrm>
        <a:prstGeom prst="borderCallout1">
          <a:avLst>
            <a:gd name="adj1" fmla="val 95552"/>
            <a:gd name="adj2" fmla="val 6163"/>
            <a:gd name="adj3" fmla="val 128425"/>
            <a:gd name="adj4" fmla="val -17795"/>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親子紐づけをする場合、</a:t>
          </a:r>
          <a:endParaRPr kumimoji="1" lang="en-US" altLang="ja-JP" sz="1100"/>
        </a:p>
        <a:p>
          <a:pPr algn="l"/>
          <a:r>
            <a:rPr kumimoji="1" lang="ja-JP" altLang="en-US" sz="1100"/>
            <a:t>子</a:t>
          </a:r>
          <a:r>
            <a:rPr kumimoji="1" lang="en-US" altLang="ja-JP" sz="1100"/>
            <a:t>DM</a:t>
          </a:r>
          <a:r>
            <a:rPr kumimoji="1" lang="ja-JP" altLang="en-US" sz="1100"/>
            <a:t>の備考欄に親</a:t>
          </a:r>
          <a:r>
            <a:rPr kumimoji="1" lang="en-US" altLang="ja-JP" sz="1100"/>
            <a:t>DM</a:t>
          </a:r>
          <a:r>
            <a:rPr kumimoji="1" lang="ja-JP" altLang="en-US" sz="1100"/>
            <a:t>との紐づけを記載</a:t>
          </a:r>
          <a:endParaRPr kumimoji="1" lang="en-US" altLang="ja-JP" sz="1100"/>
        </a:p>
        <a:p>
          <a:pPr algn="l"/>
          <a:endParaRPr kumimoji="1" lang="en-US" altLang="ja-JP" sz="1100"/>
        </a:p>
        <a:p>
          <a:pPr algn="l"/>
          <a:r>
            <a:rPr kumimoji="1" lang="en-US" altLang="ja-JP" sz="1100"/>
            <a:t>※</a:t>
          </a:r>
          <a:r>
            <a:rPr kumimoji="1" lang="ja-JP" altLang="en-US" sz="1100"/>
            <a:t>機器購買に合わせた形で記載</a:t>
          </a:r>
        </a:p>
      </xdr:txBody>
    </xdr:sp>
    <xdr:clientData/>
  </xdr:twoCellAnchor>
  <xdr:twoCellAnchor>
    <xdr:from>
      <xdr:col>10</xdr:col>
      <xdr:colOff>753594</xdr:colOff>
      <xdr:row>20</xdr:row>
      <xdr:rowOff>99732</xdr:rowOff>
    </xdr:from>
    <xdr:to>
      <xdr:col>18</xdr:col>
      <xdr:colOff>145676</xdr:colOff>
      <xdr:row>23</xdr:row>
      <xdr:rowOff>56030</xdr:rowOff>
    </xdr:to>
    <xdr:sp macro="" textlink="">
      <xdr:nvSpPr>
        <xdr:cNvPr id="4" name="吹き出し: 線 3">
          <a:extLst>
            <a:ext uri="{FF2B5EF4-FFF2-40B4-BE49-F238E27FC236}">
              <a16:creationId xmlns:a16="http://schemas.microsoft.com/office/drawing/2014/main" id="{DF8689C4-36AC-C570-1A27-582C9A95FE9E}"/>
            </a:ext>
          </a:extLst>
        </xdr:cNvPr>
        <xdr:cNvSpPr/>
      </xdr:nvSpPr>
      <xdr:spPr>
        <a:xfrm>
          <a:off x="8396006" y="3685614"/>
          <a:ext cx="2384052" cy="561416"/>
        </a:xfrm>
        <a:prstGeom prst="borderCallout1">
          <a:avLst>
            <a:gd name="adj1" fmla="val 34610"/>
            <a:gd name="adj2" fmla="val 907"/>
            <a:gd name="adj3" fmla="val 15673"/>
            <a:gd name="adj4" fmla="val -40251"/>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1100"/>
            <a:t>NICCS</a:t>
          </a:r>
          <a:r>
            <a:rPr kumimoji="1" lang="ja-JP" altLang="en-US" sz="1100"/>
            <a:t>新規項目</a:t>
          </a:r>
          <a:endParaRPr kumimoji="1" lang="en-US" altLang="ja-JP" sz="1100"/>
        </a:p>
        <a:p>
          <a:pPr algn="l"/>
          <a:r>
            <a:rPr kumimoji="1" lang="ja-JP" altLang="en-US" sz="1100"/>
            <a:t>マスタチームの定義待ち</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33</xdr:col>
          <xdr:colOff>156883</xdr:colOff>
          <xdr:row>3</xdr:row>
          <xdr:rowOff>129561</xdr:rowOff>
        </xdr:to>
        <xdr:pic>
          <xdr:nvPicPr>
            <xdr:cNvPr id="2" name="図 1">
              <a:extLst>
                <a:ext uri="{FF2B5EF4-FFF2-40B4-BE49-F238E27FC236}">
                  <a16:creationId xmlns:a16="http://schemas.microsoft.com/office/drawing/2014/main" id="{60AFF3B6-1704-431E-B130-A8FCF4D40DFE}"/>
                </a:ext>
              </a:extLst>
            </xdr:cNvPr>
            <xdr:cNvPicPr>
              <a:picLocks noChangeAspect="1" noChangeArrowheads="1"/>
              <a:extLst>
                <a:ext uri="{84589F7E-364E-4C9E-8A38-B11213B215E9}">
                  <a14:cameraTool cellRange="改版履歴!$A$1:$CE$4" spid="_x0000_s23650"/>
                </a:ext>
              </a:extLst>
            </xdr:cNvPicPr>
          </xdr:nvPicPr>
          <xdr:blipFill>
            <a:blip xmlns:r="http://schemas.openxmlformats.org/officeDocument/2006/relationships" r:embed="rId1"/>
            <a:srcRect/>
            <a:stretch>
              <a:fillRect/>
            </a:stretch>
          </xdr:blipFill>
          <xdr:spPr bwMode="auto">
            <a:xfrm>
              <a:off x="1" y="1"/>
              <a:ext cx="14321117" cy="73467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29</xdr:col>
          <xdr:colOff>82364</xdr:colOff>
          <xdr:row>3</xdr:row>
          <xdr:rowOff>156882</xdr:rowOff>
        </xdr:to>
        <xdr:pic>
          <xdr:nvPicPr>
            <xdr:cNvPr id="2" name="図 1">
              <a:extLst>
                <a:ext uri="{FF2B5EF4-FFF2-40B4-BE49-F238E27FC236}">
                  <a16:creationId xmlns:a16="http://schemas.microsoft.com/office/drawing/2014/main" id="{A73FB881-8798-4F5E-93C7-C734AA97DE75}"/>
                </a:ext>
              </a:extLst>
            </xdr:cNvPr>
            <xdr:cNvPicPr>
              <a:picLocks noChangeAspect="1" noChangeArrowheads="1"/>
              <a:extLst>
                <a:ext uri="{84589F7E-364E-4C9E-8A38-B11213B215E9}">
                  <a14:cameraTool cellRange="改版履歴!$A$1:$CE$4" spid="_x0000_s17511"/>
                </a:ext>
              </a:extLst>
            </xdr:cNvPicPr>
          </xdr:nvPicPr>
          <xdr:blipFill>
            <a:blip xmlns:r="http://schemas.openxmlformats.org/officeDocument/2006/relationships" r:embed="rId1"/>
            <a:srcRect/>
            <a:stretch>
              <a:fillRect/>
            </a:stretch>
          </xdr:blipFill>
          <xdr:spPr bwMode="auto">
            <a:xfrm>
              <a:off x="1" y="0"/>
              <a:ext cx="13439775" cy="762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33</xdr:col>
          <xdr:colOff>227295</xdr:colOff>
          <xdr:row>3</xdr:row>
          <xdr:rowOff>133349</xdr:rowOff>
        </xdr:to>
        <xdr:pic>
          <xdr:nvPicPr>
            <xdr:cNvPr id="3" name="図 2">
              <a:extLst>
                <a:ext uri="{FF2B5EF4-FFF2-40B4-BE49-F238E27FC236}">
                  <a16:creationId xmlns:a16="http://schemas.microsoft.com/office/drawing/2014/main" id="{9643F1ED-5417-4B37-9571-5FE7578B32E4}"/>
                </a:ext>
              </a:extLst>
            </xdr:cNvPr>
            <xdr:cNvPicPr>
              <a:picLocks noChangeAspect="1" noChangeArrowheads="1"/>
              <a:extLst>
                <a:ext uri="{84589F7E-364E-4C9E-8A38-B11213B215E9}">
                  <a14:cameraTool cellRange="改版履歴!$A$1:$CE$4" spid="_x0000_s9511"/>
                </a:ext>
              </a:extLst>
            </xdr:cNvPicPr>
          </xdr:nvPicPr>
          <xdr:blipFill>
            <a:blip xmlns:r="http://schemas.openxmlformats.org/officeDocument/2006/relationships" r:embed="rId1"/>
            <a:srcRect/>
            <a:stretch>
              <a:fillRect/>
            </a:stretch>
          </xdr:blipFill>
          <xdr:spPr bwMode="auto">
            <a:xfrm>
              <a:off x="1" y="0"/>
              <a:ext cx="14457644" cy="7334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ol3serv\sol3\sol3_IDX\6_&#38283;&#30330;&#12503;&#12525;&#12472;&#12455;&#12463;&#12488;\&#39015;&#23458;&#21029;&#12501;&#12457;&#12523;&#12480;\H_&#12498;&#12525;&#12475;&#38651;&#27231;\060.&#22522;&#26412;&#35373;&#35336;_&#12459;&#12521;&#12501;&#12523;&#12496;&#12540;&#12472;&#12519;&#12531;\020.DB&#35373;&#35336;\010.&#12486;&#12540;&#12502;&#12523;&#23450;&#32681;&#26360;\000.&#12486;&#12540;&#12502;&#12523;&#23450;&#32681;&#26360;_&#38917;&#30446;&#36766;&#2636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anonmjg-my.sharepoint.com/Users/AWV408134/Downloads/&#12469;&#12502;&#21029;&#12513;&#12540;&#12523;&#36865;&#20449;&#25972;&#297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anonmjg-my.sharepoint.com/Users/AWV060153/Desktop/KIKAN_ALL/documents/300_&#22806;&#37096;&#35373;&#35336;/02_&#20316;&#25104;&#12489;&#12461;&#12517;&#12513;&#12531;&#12488;/50_&#27231;&#33021;&#35373;&#35336;/11_&#30011;&#38754;&#19968;&#35239;/03_11_&#30011;&#38754;&#19968;&#3523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gc_niccs/documents/04_&#20869;&#37096;&#35373;&#35336;/02_&#20316;&#25104;&#12489;&#12461;&#12517;&#12513;&#12531;&#12488;/50_&#27231;&#33021;&#35373;&#35336;/51_dbQuery&#23450;&#32681;&#26360;/01_&#12459;&#12540;&#12489;/00_dbQuery&#23450;&#32681;&#26360;_&#26989;&#21209;&#20849;&#36890;_&#12459;&#12540;&#124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gc_niccs\documents\04_&#20869;&#37096;&#35373;&#35336;\02_&#20316;&#25104;&#12489;&#12461;&#12517;&#12513;&#12531;&#12488;\50_&#27231;&#33021;&#35373;&#35336;\51_dbQuery&#23450;&#32681;&#26360;\01_&#12459;&#12540;&#12489;\05_dbQuery&#23450;&#32681;&#26360;_&#12459;&#12540;&#12489;_&#12459;&#12540;&#12489;&#21463;&#27880;%20-%20&#12467;&#12500;&#1254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gc_niccs\documents\04_&#20869;&#37096;&#35373;&#35336;\02_&#20316;&#25104;&#12489;&#12461;&#12517;&#12513;&#12531;&#12488;\50_&#27231;&#33021;&#35373;&#35336;\51_dbQuery&#23450;&#32681;&#26360;\01_&#12459;&#12540;&#12489;\&#9733;05_dbQuery&#23450;&#32681;&#26360;_&#12459;&#12540;&#12489;_&#12459;&#12540;&#12489;&#21463;&#2788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訂履歴"/>
      <sheetName val="項目辞書"/>
      <sheetName val="単語一覧"/>
      <sheetName val="補足"/>
      <sheetName val="リスト"/>
    </sheetNames>
    <sheetDataSet>
      <sheetData sheetId="0"/>
      <sheetData sheetId="1"/>
      <sheetData sheetId="2"/>
      <sheetData sheetId="3"/>
      <sheetData sheetId="4">
        <row r="1">
          <cell r="A1" t="str">
            <v>CODE</v>
          </cell>
          <cell r="B1" t="str">
            <v>VARCHAR</v>
          </cell>
        </row>
        <row r="2">
          <cell r="A2" t="str">
            <v>TEXT</v>
          </cell>
          <cell r="B2" t="str">
            <v>DECIMAL</v>
          </cell>
        </row>
        <row r="3">
          <cell r="A3" t="str">
            <v>NUM</v>
          </cell>
          <cell r="B3" t="str">
            <v>DATE</v>
          </cell>
        </row>
        <row r="4">
          <cell r="A4" t="str">
            <v>CURRENCY</v>
          </cell>
          <cell r="B4" t="str">
            <v>TIMESTAMP</v>
          </cell>
        </row>
        <row r="5">
          <cell r="A5" t="str">
            <v>DATE</v>
          </cell>
          <cell r="B5" t="str">
            <v>BOOLEAN</v>
          </cell>
        </row>
        <row r="6">
          <cell r="A6" t="str">
            <v>TIME</v>
          </cell>
          <cell r="B6" t="str">
            <v>bytea</v>
          </cell>
        </row>
        <row r="7">
          <cell r="A7" t="str">
            <v>BOOL</v>
          </cell>
        </row>
        <row r="8">
          <cell r="A8" t="str">
            <v>FILE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手順"/>
      <sheetName val="機器購買"/>
      <sheetName val="リスト"/>
      <sheetName val="Sheet2"/>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 val="画面一覧"/>
      <sheetName val="（新）各サブシステムコード"/>
      <sheetName val="選択リスト"/>
      <sheetName val="記載事項"/>
      <sheetName val="業務コード"/>
      <sheetName val="ワーク"/>
      <sheetName val="機能一覧"/>
      <sheetName val="03_11_画面一覧"/>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 val="会員管理会社管理マスタ_選択リスト用"/>
      <sheetName val="営業部門_選択リスト用"/>
      <sheetName val="カード定価マスタ_選択リスト用"/>
      <sheetName val="ホールマスタ_紐付法人情報取得用"/>
      <sheetName val="フォーマット"/>
      <sheetName val="リスト"/>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 val="【サンプル】カード受注ヘッダ_受注_一覧表示用"/>
      <sheetName val="【サンプル】カード受注ヘッダ_受注_個別CSV用"/>
      <sheetName val="カード受注ヘッダ_受注_一覧表示用"/>
      <sheetName val="カード受注ヘッダ_受注_個別CSV用"/>
      <sheetName val="カード受注ヘッダ_CKU010S01B02_ヘッダ表示用"/>
      <sheetName val="カード受注明細_CKU010S01B02_明細表示用"/>
      <sheetName val="カード受注ヘッダ_CKU010S01B02_チェック用"/>
      <sheetName val="ホールマスタ_CKU010D02B01_一覧表示用"/>
      <sheetName val="フォーマット"/>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営業部門_選択リスト用"/>
      <sheetName val="改版履歴"/>
      <sheetName val="カード受注ヘッダ_受注_一覧表示用"/>
      <sheetName val="カード受注ヘッダ_受注_個別CSV用"/>
      <sheetName val="カード受注ヘッダ_CKU010S01B02_ヘッダ表示用"/>
      <sheetName val="カード受注明細_CKU010S01B02_明細表示用"/>
      <sheetName val="カード受注ヘッダ_CKU010S01B02_チェック用"/>
      <sheetName val="ホールマスタ_CKU010D02B01_一覧表示用"/>
      <sheetName val="フォーマット"/>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E4BCF-939D-4589-83D3-784A0CD4FC18}">
  <sheetPr>
    <pageSetUpPr fitToPage="1"/>
  </sheetPr>
  <dimension ref="A1:CE37"/>
  <sheetViews>
    <sheetView showGridLines="0" view="pageBreakPreview" zoomScaleNormal="85" zoomScaleSheetLayoutView="100" workbookViewId="0">
      <pane ySplit="7" topLeftCell="A8" activePane="bottomLeft" state="frozen"/>
      <selection pane="bottomLeft" activeCell="A8" sqref="A8"/>
    </sheetView>
  </sheetViews>
  <sheetFormatPr defaultColWidth="2.375" defaultRowHeight="15" customHeight="1"/>
  <cols>
    <col min="1" max="2" width="2.375" style="19"/>
    <col min="3" max="4" width="2.375" style="20"/>
    <col min="5" max="8" width="2.375" style="21"/>
    <col min="9" max="21" width="2.375" style="20"/>
    <col min="22" max="23" width="2.375" style="19"/>
    <col min="24" max="24" width="2.375" style="22"/>
    <col min="25" max="16384" width="2.375" style="19"/>
  </cols>
  <sheetData>
    <row r="1" spans="1:83" s="18" customFormat="1" ht="15" customHeight="1">
      <c r="A1" s="466" t="s">
        <v>0</v>
      </c>
      <c r="B1" s="447"/>
      <c r="C1" s="447"/>
      <c r="D1" s="447"/>
      <c r="E1" s="447"/>
      <c r="F1" s="447"/>
      <c r="G1" s="467"/>
      <c r="H1" s="446" t="s">
        <v>1</v>
      </c>
      <c r="I1" s="447"/>
      <c r="J1" s="447"/>
      <c r="K1" s="447"/>
      <c r="L1" s="447"/>
      <c r="M1" s="447"/>
      <c r="N1" s="447"/>
      <c r="O1" s="447"/>
      <c r="P1" s="447"/>
      <c r="Q1" s="447"/>
      <c r="R1" s="447"/>
      <c r="S1" s="467"/>
      <c r="T1" s="446" t="s">
        <v>2</v>
      </c>
      <c r="U1" s="447"/>
      <c r="V1" s="447"/>
      <c r="W1" s="447"/>
      <c r="X1" s="447"/>
      <c r="Y1" s="447"/>
      <c r="Z1" s="447"/>
      <c r="AA1" s="447"/>
      <c r="AB1" s="447"/>
      <c r="AC1" s="447"/>
      <c r="AD1" s="447"/>
      <c r="AE1" s="467"/>
      <c r="AF1" s="434" t="s">
        <v>3</v>
      </c>
      <c r="AG1" s="435"/>
      <c r="AH1" s="435"/>
      <c r="AI1" s="435"/>
      <c r="AJ1" s="435"/>
      <c r="AK1" s="435"/>
      <c r="AL1" s="435"/>
      <c r="AM1" s="435"/>
      <c r="AN1" s="435"/>
      <c r="AO1" s="435"/>
      <c r="AP1" s="435"/>
      <c r="AQ1" s="435"/>
      <c r="AR1" s="435"/>
      <c r="AS1" s="435"/>
      <c r="AT1" s="436"/>
      <c r="AU1" s="434" t="s">
        <v>4</v>
      </c>
      <c r="AV1" s="435"/>
      <c r="AW1" s="435"/>
      <c r="AX1" s="435"/>
      <c r="AY1" s="435"/>
      <c r="AZ1" s="435"/>
      <c r="BA1" s="435"/>
      <c r="BB1" s="435"/>
      <c r="BC1" s="435"/>
      <c r="BD1" s="435"/>
      <c r="BE1" s="435"/>
      <c r="BF1" s="435"/>
      <c r="BG1" s="435"/>
      <c r="BH1" s="435"/>
      <c r="BI1" s="435"/>
      <c r="BJ1" s="435"/>
      <c r="BK1" s="435"/>
      <c r="BL1" s="435"/>
      <c r="BM1" s="435"/>
      <c r="BN1" s="435"/>
      <c r="BO1" s="435"/>
      <c r="BP1" s="435"/>
      <c r="BQ1" s="435"/>
      <c r="BR1" s="435"/>
      <c r="BS1" s="435"/>
      <c r="BT1" s="436"/>
      <c r="BU1" s="470" t="s">
        <v>5</v>
      </c>
      <c r="BV1" s="470"/>
      <c r="BW1" s="470"/>
      <c r="BX1" s="470"/>
      <c r="BY1" s="471" t="str">
        <f>$M$8</f>
        <v>CITS角田</v>
      </c>
      <c r="BZ1" s="471"/>
      <c r="CA1" s="471"/>
      <c r="CB1" s="471"/>
      <c r="CC1" s="446" t="s">
        <v>6</v>
      </c>
      <c r="CD1" s="447"/>
      <c r="CE1" s="448"/>
    </row>
    <row r="2" spans="1:83" s="18" customFormat="1" ht="15" customHeight="1">
      <c r="A2" s="468"/>
      <c r="B2" s="450"/>
      <c r="C2" s="450"/>
      <c r="D2" s="450"/>
      <c r="E2" s="450"/>
      <c r="F2" s="450"/>
      <c r="G2" s="469"/>
      <c r="H2" s="449"/>
      <c r="I2" s="450"/>
      <c r="J2" s="450"/>
      <c r="K2" s="450"/>
      <c r="L2" s="450"/>
      <c r="M2" s="450"/>
      <c r="N2" s="450"/>
      <c r="O2" s="450"/>
      <c r="P2" s="450"/>
      <c r="Q2" s="450"/>
      <c r="R2" s="450"/>
      <c r="S2" s="469"/>
      <c r="T2" s="449"/>
      <c r="U2" s="450"/>
      <c r="V2" s="450"/>
      <c r="W2" s="450"/>
      <c r="X2" s="450"/>
      <c r="Y2" s="450"/>
      <c r="Z2" s="450"/>
      <c r="AA2" s="450"/>
      <c r="AB2" s="450"/>
      <c r="AC2" s="450"/>
      <c r="AD2" s="450"/>
      <c r="AE2" s="469"/>
      <c r="AF2" s="437"/>
      <c r="AG2" s="438"/>
      <c r="AH2" s="438"/>
      <c r="AI2" s="438"/>
      <c r="AJ2" s="438"/>
      <c r="AK2" s="438"/>
      <c r="AL2" s="438"/>
      <c r="AM2" s="438"/>
      <c r="AN2" s="438"/>
      <c r="AO2" s="438"/>
      <c r="AP2" s="438"/>
      <c r="AQ2" s="438"/>
      <c r="AR2" s="438"/>
      <c r="AS2" s="438"/>
      <c r="AT2" s="439"/>
      <c r="AU2" s="437"/>
      <c r="AV2" s="438"/>
      <c r="AW2" s="438"/>
      <c r="AX2" s="438"/>
      <c r="AY2" s="438"/>
      <c r="AZ2" s="438"/>
      <c r="BA2" s="438"/>
      <c r="BB2" s="438"/>
      <c r="BC2" s="438"/>
      <c r="BD2" s="438"/>
      <c r="BE2" s="438"/>
      <c r="BF2" s="438"/>
      <c r="BG2" s="438"/>
      <c r="BH2" s="438"/>
      <c r="BI2" s="438"/>
      <c r="BJ2" s="438"/>
      <c r="BK2" s="438"/>
      <c r="BL2" s="438"/>
      <c r="BM2" s="438"/>
      <c r="BN2" s="438"/>
      <c r="BO2" s="438"/>
      <c r="BP2" s="438"/>
      <c r="BQ2" s="438"/>
      <c r="BR2" s="438"/>
      <c r="BS2" s="438"/>
      <c r="BT2" s="439"/>
      <c r="BU2" s="452" t="s">
        <v>7</v>
      </c>
      <c r="BV2" s="453"/>
      <c r="BW2" s="453"/>
      <c r="BX2" s="454"/>
      <c r="BY2" s="455">
        <f>$E$8</f>
        <v>46055</v>
      </c>
      <c r="BZ2" s="455"/>
      <c r="CA2" s="455"/>
      <c r="CB2" s="455"/>
      <c r="CC2" s="449"/>
      <c r="CD2" s="450"/>
      <c r="CE2" s="451"/>
    </row>
    <row r="3" spans="1:83" s="18" customFormat="1" ht="15" customHeight="1">
      <c r="A3" s="456" t="s">
        <v>8</v>
      </c>
      <c r="B3" s="457"/>
      <c r="C3" s="457"/>
      <c r="D3" s="457"/>
      <c r="E3" s="457"/>
      <c r="F3" s="457"/>
      <c r="G3" s="457"/>
      <c r="H3" s="472" t="s">
        <v>106</v>
      </c>
      <c r="I3" s="473"/>
      <c r="J3" s="473"/>
      <c r="K3" s="473"/>
      <c r="L3" s="473"/>
      <c r="M3" s="473"/>
      <c r="N3" s="473"/>
      <c r="O3" s="473"/>
      <c r="P3" s="473"/>
      <c r="Q3" s="473"/>
      <c r="R3" s="473"/>
      <c r="S3" s="474"/>
      <c r="T3" s="472" t="s">
        <v>9</v>
      </c>
      <c r="U3" s="473"/>
      <c r="V3" s="473"/>
      <c r="W3" s="473"/>
      <c r="X3" s="473"/>
      <c r="Y3" s="473"/>
      <c r="Z3" s="473"/>
      <c r="AA3" s="473"/>
      <c r="AB3" s="473"/>
      <c r="AC3" s="473"/>
      <c r="AD3" s="473"/>
      <c r="AE3" s="474"/>
      <c r="AF3" s="440" t="s">
        <v>10</v>
      </c>
      <c r="AG3" s="441"/>
      <c r="AH3" s="441"/>
      <c r="AI3" s="441"/>
      <c r="AJ3" s="441"/>
      <c r="AK3" s="441"/>
      <c r="AL3" s="441"/>
      <c r="AM3" s="441"/>
      <c r="AN3" s="441"/>
      <c r="AO3" s="441"/>
      <c r="AP3" s="441"/>
      <c r="AQ3" s="441"/>
      <c r="AR3" s="441"/>
      <c r="AS3" s="441"/>
      <c r="AT3" s="442"/>
      <c r="AU3" s="440" t="s">
        <v>107</v>
      </c>
      <c r="AV3" s="441"/>
      <c r="AW3" s="441"/>
      <c r="AX3" s="441"/>
      <c r="AY3" s="441"/>
      <c r="AZ3" s="441"/>
      <c r="BA3" s="441"/>
      <c r="BB3" s="441"/>
      <c r="BC3" s="441"/>
      <c r="BD3" s="441"/>
      <c r="BE3" s="441"/>
      <c r="BF3" s="441"/>
      <c r="BG3" s="441"/>
      <c r="BH3" s="441"/>
      <c r="BI3" s="441"/>
      <c r="BJ3" s="441"/>
      <c r="BK3" s="441"/>
      <c r="BL3" s="441"/>
      <c r="BM3" s="441"/>
      <c r="BN3" s="441"/>
      <c r="BO3" s="441"/>
      <c r="BP3" s="441"/>
      <c r="BQ3" s="441"/>
      <c r="BR3" s="441"/>
      <c r="BS3" s="441"/>
      <c r="BT3" s="442"/>
      <c r="BU3" s="460" t="s">
        <v>11</v>
      </c>
      <c r="BV3" s="460"/>
      <c r="BW3" s="460"/>
      <c r="BX3" s="460"/>
      <c r="BY3" s="461" t="str">
        <f ca="1">INDIRECT("M"&amp;(COUNTA($M$7:$M$199)+6))</f>
        <v>CITS角田</v>
      </c>
      <c r="BZ3" s="461"/>
      <c r="CA3" s="461"/>
      <c r="CB3" s="461"/>
      <c r="CC3" s="462">
        <f ca="1">INDIRECT("B"&amp;(COUNTA($B$7:$B$199)+6))</f>
        <v>0.1</v>
      </c>
      <c r="CD3" s="462"/>
      <c r="CE3" s="463"/>
    </row>
    <row r="4" spans="1:83" s="18" customFormat="1" ht="15" customHeight="1" thickBot="1">
      <c r="A4" s="458"/>
      <c r="B4" s="459"/>
      <c r="C4" s="459"/>
      <c r="D4" s="459"/>
      <c r="E4" s="459"/>
      <c r="F4" s="459"/>
      <c r="G4" s="459"/>
      <c r="H4" s="475"/>
      <c r="I4" s="476"/>
      <c r="J4" s="476"/>
      <c r="K4" s="476"/>
      <c r="L4" s="476"/>
      <c r="M4" s="476"/>
      <c r="N4" s="476"/>
      <c r="O4" s="476"/>
      <c r="P4" s="476"/>
      <c r="Q4" s="476"/>
      <c r="R4" s="476"/>
      <c r="S4" s="477"/>
      <c r="T4" s="475"/>
      <c r="U4" s="476"/>
      <c r="V4" s="476"/>
      <c r="W4" s="476"/>
      <c r="X4" s="476"/>
      <c r="Y4" s="476"/>
      <c r="Z4" s="476"/>
      <c r="AA4" s="476"/>
      <c r="AB4" s="476"/>
      <c r="AC4" s="476"/>
      <c r="AD4" s="476"/>
      <c r="AE4" s="477"/>
      <c r="AF4" s="443"/>
      <c r="AG4" s="444"/>
      <c r="AH4" s="444"/>
      <c r="AI4" s="444"/>
      <c r="AJ4" s="444"/>
      <c r="AK4" s="444"/>
      <c r="AL4" s="444"/>
      <c r="AM4" s="444"/>
      <c r="AN4" s="444"/>
      <c r="AO4" s="444"/>
      <c r="AP4" s="444"/>
      <c r="AQ4" s="444"/>
      <c r="AR4" s="444"/>
      <c r="AS4" s="444"/>
      <c r="AT4" s="445"/>
      <c r="AU4" s="443"/>
      <c r="AV4" s="444"/>
      <c r="AW4" s="444"/>
      <c r="AX4" s="444"/>
      <c r="AY4" s="444"/>
      <c r="AZ4" s="444"/>
      <c r="BA4" s="444"/>
      <c r="BB4" s="444"/>
      <c r="BC4" s="444"/>
      <c r="BD4" s="444"/>
      <c r="BE4" s="444"/>
      <c r="BF4" s="444"/>
      <c r="BG4" s="444"/>
      <c r="BH4" s="444"/>
      <c r="BI4" s="444"/>
      <c r="BJ4" s="444"/>
      <c r="BK4" s="444"/>
      <c r="BL4" s="444"/>
      <c r="BM4" s="444"/>
      <c r="BN4" s="444"/>
      <c r="BO4" s="444"/>
      <c r="BP4" s="444"/>
      <c r="BQ4" s="444"/>
      <c r="BR4" s="444"/>
      <c r="BS4" s="444"/>
      <c r="BT4" s="445"/>
      <c r="BU4" s="478" t="s">
        <v>12</v>
      </c>
      <c r="BV4" s="478"/>
      <c r="BW4" s="478"/>
      <c r="BX4" s="478"/>
      <c r="BY4" s="479">
        <f ca="1">INDIRECT("E"&amp;(COUNTA($E$7:$E$199)+6))</f>
        <v>46055</v>
      </c>
      <c r="BZ4" s="479"/>
      <c r="CA4" s="479"/>
      <c r="CB4" s="479"/>
      <c r="CC4" s="464"/>
      <c r="CD4" s="464"/>
      <c r="CE4" s="465"/>
    </row>
    <row r="5" spans="1:83" ht="15" customHeight="1">
      <c r="A5" s="18"/>
      <c r="B5" s="18"/>
      <c r="C5" s="18"/>
      <c r="D5" s="18"/>
      <c r="E5" s="23"/>
      <c r="F5" s="23"/>
      <c r="G5" s="23"/>
      <c r="H5" s="23"/>
      <c r="I5" s="18"/>
      <c r="J5" s="18"/>
      <c r="K5" s="18"/>
      <c r="L5" s="18"/>
      <c r="M5" s="18"/>
      <c r="N5" s="18"/>
      <c r="O5" s="18"/>
      <c r="P5" s="18"/>
      <c r="Q5" s="18"/>
      <c r="R5" s="18"/>
      <c r="S5" s="18"/>
      <c r="T5" s="18"/>
      <c r="U5" s="18"/>
      <c r="V5" s="18"/>
      <c r="W5" s="18"/>
      <c r="X5" s="18"/>
      <c r="Y5" s="18"/>
      <c r="Z5" s="18"/>
      <c r="AA5" s="18"/>
      <c r="AB5" s="18"/>
    </row>
    <row r="6" spans="1:83" ht="15" customHeight="1">
      <c r="A6" s="18"/>
      <c r="B6" s="24" t="s">
        <v>13</v>
      </c>
      <c r="C6" s="24"/>
      <c r="D6" s="24"/>
      <c r="E6" s="25"/>
      <c r="F6" s="25"/>
      <c r="G6" s="25"/>
      <c r="H6" s="25"/>
      <c r="I6" s="24"/>
      <c r="J6" s="24"/>
      <c r="K6" s="24"/>
      <c r="L6" s="24"/>
      <c r="M6" s="24"/>
      <c r="N6" s="24"/>
      <c r="O6" s="24"/>
      <c r="P6" s="24"/>
      <c r="Q6" s="24"/>
      <c r="R6" s="24"/>
      <c r="S6" s="24"/>
      <c r="T6" s="24"/>
      <c r="U6" s="24"/>
      <c r="V6" s="24"/>
      <c r="W6" s="24"/>
      <c r="X6" s="24"/>
      <c r="Y6" s="24"/>
      <c r="Z6" s="24"/>
      <c r="AA6" s="24"/>
      <c r="AB6" s="24"/>
    </row>
    <row r="7" spans="1:83" ht="15" customHeight="1">
      <c r="A7" s="18"/>
      <c r="B7" s="428" t="s">
        <v>14</v>
      </c>
      <c r="C7" s="429"/>
      <c r="D7" s="430"/>
      <c r="E7" s="431" t="s">
        <v>15</v>
      </c>
      <c r="F7" s="432"/>
      <c r="G7" s="432"/>
      <c r="H7" s="432"/>
      <c r="I7" s="432"/>
      <c r="J7" s="432"/>
      <c r="K7" s="432"/>
      <c r="L7" s="433"/>
      <c r="M7" s="428" t="s">
        <v>5</v>
      </c>
      <c r="N7" s="429"/>
      <c r="O7" s="429"/>
      <c r="P7" s="429"/>
      <c r="Q7" s="429"/>
      <c r="R7" s="430"/>
      <c r="S7" s="36" t="s">
        <v>16</v>
      </c>
      <c r="T7" s="26"/>
      <c r="U7" s="26"/>
      <c r="V7" s="26"/>
      <c r="W7" s="26"/>
      <c r="X7" s="26"/>
      <c r="Y7" s="26"/>
      <c r="Z7" s="26"/>
      <c r="AA7" s="26"/>
      <c r="AB7" s="26"/>
      <c r="AC7" s="26"/>
      <c r="AD7" s="26"/>
      <c r="AE7" s="26"/>
      <c r="AF7" s="26"/>
      <c r="AG7" s="37"/>
      <c r="AH7" s="36" t="s">
        <v>17</v>
      </c>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37"/>
    </row>
    <row r="8" spans="1:83" ht="15" customHeight="1">
      <c r="A8" s="18"/>
      <c r="B8" s="416">
        <v>0.1</v>
      </c>
      <c r="C8" s="417"/>
      <c r="D8" s="418"/>
      <c r="E8" s="419">
        <v>46055</v>
      </c>
      <c r="F8" s="420"/>
      <c r="G8" s="420"/>
      <c r="H8" s="420"/>
      <c r="I8" s="420"/>
      <c r="J8" s="420"/>
      <c r="K8" s="420"/>
      <c r="L8" s="421"/>
      <c r="M8" s="422" t="s">
        <v>105</v>
      </c>
      <c r="N8" s="423"/>
      <c r="O8" s="423"/>
      <c r="P8" s="423"/>
      <c r="Q8" s="423"/>
      <c r="R8" s="424"/>
      <c r="S8" s="425" t="s">
        <v>18</v>
      </c>
      <c r="T8" s="426"/>
      <c r="U8" s="426"/>
      <c r="V8" s="426"/>
      <c r="W8" s="426"/>
      <c r="X8" s="426"/>
      <c r="Y8" s="426"/>
      <c r="Z8" s="426"/>
      <c r="AA8" s="426"/>
      <c r="AB8" s="426"/>
      <c r="AC8" s="426"/>
      <c r="AD8" s="426"/>
      <c r="AE8" s="426"/>
      <c r="AF8" s="426"/>
      <c r="AG8" s="427"/>
      <c r="AH8" s="425" t="s">
        <v>19</v>
      </c>
      <c r="AI8" s="426"/>
      <c r="AJ8" s="426"/>
      <c r="AK8" s="426"/>
      <c r="AL8" s="426"/>
      <c r="AM8" s="426"/>
      <c r="AN8" s="426"/>
      <c r="AO8" s="426"/>
      <c r="AP8" s="426"/>
      <c r="AQ8" s="426"/>
      <c r="AR8" s="426"/>
      <c r="AS8" s="426"/>
      <c r="AT8" s="426"/>
      <c r="AU8" s="426"/>
      <c r="AV8" s="426"/>
      <c r="AW8" s="426"/>
      <c r="AX8" s="426"/>
      <c r="AY8" s="426"/>
      <c r="AZ8" s="426"/>
      <c r="BA8" s="426"/>
      <c r="BB8" s="426"/>
      <c r="BC8" s="426"/>
      <c r="BD8" s="426"/>
      <c r="BE8" s="426"/>
      <c r="BF8" s="426"/>
      <c r="BG8" s="426"/>
      <c r="BH8" s="426"/>
      <c r="BI8" s="426"/>
      <c r="BJ8" s="426"/>
      <c r="BK8" s="426"/>
      <c r="BL8" s="426"/>
      <c r="BM8" s="426"/>
      <c r="BN8" s="426"/>
      <c r="BO8" s="426"/>
      <c r="BP8" s="426"/>
      <c r="BQ8" s="426"/>
      <c r="BR8" s="426"/>
      <c r="BS8" s="426"/>
      <c r="BT8" s="426"/>
      <c r="BU8" s="426"/>
      <c r="BV8" s="426"/>
      <c r="BW8" s="426"/>
      <c r="BX8" s="426"/>
      <c r="BY8" s="426"/>
      <c r="BZ8" s="426"/>
      <c r="CA8" s="426"/>
      <c r="CB8" s="426"/>
      <c r="CC8" s="426"/>
      <c r="CD8" s="427"/>
    </row>
    <row r="9" spans="1:83" ht="15" customHeight="1">
      <c r="A9" s="18"/>
      <c r="B9" s="416"/>
      <c r="C9" s="417"/>
      <c r="D9" s="418"/>
      <c r="E9" s="419"/>
      <c r="F9" s="420"/>
      <c r="G9" s="420"/>
      <c r="H9" s="420"/>
      <c r="I9" s="420"/>
      <c r="J9" s="420"/>
      <c r="K9" s="420"/>
      <c r="L9" s="421"/>
      <c r="M9" s="422"/>
      <c r="N9" s="423"/>
      <c r="O9" s="423"/>
      <c r="P9" s="423"/>
      <c r="Q9" s="423"/>
      <c r="R9" s="424"/>
      <c r="S9" s="425"/>
      <c r="T9" s="426"/>
      <c r="U9" s="426"/>
      <c r="V9" s="426"/>
      <c r="W9" s="426"/>
      <c r="X9" s="426"/>
      <c r="Y9" s="426"/>
      <c r="Z9" s="426"/>
      <c r="AA9" s="426"/>
      <c r="AB9" s="426"/>
      <c r="AC9" s="426"/>
      <c r="AD9" s="426"/>
      <c r="AE9" s="426"/>
      <c r="AF9" s="426"/>
      <c r="AG9" s="427"/>
      <c r="AH9" s="425"/>
      <c r="AI9" s="426"/>
      <c r="AJ9" s="426"/>
      <c r="AK9" s="426"/>
      <c r="AL9" s="426"/>
      <c r="AM9" s="426"/>
      <c r="AN9" s="426"/>
      <c r="AO9" s="426"/>
      <c r="AP9" s="426"/>
      <c r="AQ9" s="426"/>
      <c r="AR9" s="426"/>
      <c r="AS9" s="426"/>
      <c r="AT9" s="426"/>
      <c r="AU9" s="426"/>
      <c r="AV9" s="426"/>
      <c r="AW9" s="426"/>
      <c r="AX9" s="426"/>
      <c r="AY9" s="426"/>
      <c r="AZ9" s="426"/>
      <c r="BA9" s="426"/>
      <c r="BB9" s="426"/>
      <c r="BC9" s="426"/>
      <c r="BD9" s="426"/>
      <c r="BE9" s="426"/>
      <c r="BF9" s="426"/>
      <c r="BG9" s="426"/>
      <c r="BH9" s="426"/>
      <c r="BI9" s="426"/>
      <c r="BJ9" s="426"/>
      <c r="BK9" s="426"/>
      <c r="BL9" s="426"/>
      <c r="BM9" s="426"/>
      <c r="BN9" s="426"/>
      <c r="BO9" s="426"/>
      <c r="BP9" s="426"/>
      <c r="BQ9" s="426"/>
      <c r="BR9" s="426"/>
      <c r="BS9" s="426"/>
      <c r="BT9" s="426"/>
      <c r="BU9" s="426"/>
      <c r="BV9" s="426"/>
      <c r="BW9" s="426"/>
      <c r="BX9" s="426"/>
      <c r="BY9" s="426"/>
      <c r="BZ9" s="426"/>
      <c r="CA9" s="426"/>
      <c r="CB9" s="426"/>
      <c r="CC9" s="426"/>
      <c r="CD9" s="427"/>
    </row>
    <row r="10" spans="1:83" ht="15" customHeight="1">
      <c r="A10" s="18"/>
      <c r="B10" s="416"/>
      <c r="C10" s="417"/>
      <c r="D10" s="418"/>
      <c r="E10" s="419"/>
      <c r="F10" s="420"/>
      <c r="G10" s="420"/>
      <c r="H10" s="420"/>
      <c r="I10" s="420"/>
      <c r="J10" s="420"/>
      <c r="K10" s="420"/>
      <c r="L10" s="421"/>
      <c r="M10" s="422"/>
      <c r="N10" s="423"/>
      <c r="O10" s="423"/>
      <c r="P10" s="423"/>
      <c r="Q10" s="423"/>
      <c r="R10" s="424"/>
      <c r="S10" s="425"/>
      <c r="T10" s="426"/>
      <c r="U10" s="426"/>
      <c r="V10" s="426"/>
      <c r="W10" s="426"/>
      <c r="X10" s="426"/>
      <c r="Y10" s="426"/>
      <c r="Z10" s="426"/>
      <c r="AA10" s="426"/>
      <c r="AB10" s="426"/>
      <c r="AC10" s="426"/>
      <c r="AD10" s="426"/>
      <c r="AE10" s="426"/>
      <c r="AF10" s="426"/>
      <c r="AG10" s="427"/>
      <c r="AH10" s="425"/>
      <c r="AI10" s="426"/>
      <c r="AJ10" s="426"/>
      <c r="AK10" s="426"/>
      <c r="AL10" s="426"/>
      <c r="AM10" s="426"/>
      <c r="AN10" s="426"/>
      <c r="AO10" s="426"/>
      <c r="AP10" s="426"/>
      <c r="AQ10" s="426"/>
      <c r="AR10" s="426"/>
      <c r="AS10" s="426"/>
      <c r="AT10" s="426"/>
      <c r="AU10" s="426"/>
      <c r="AV10" s="426"/>
      <c r="AW10" s="426"/>
      <c r="AX10" s="426"/>
      <c r="AY10" s="426"/>
      <c r="AZ10" s="426"/>
      <c r="BA10" s="426"/>
      <c r="BB10" s="426"/>
      <c r="BC10" s="426"/>
      <c r="BD10" s="426"/>
      <c r="BE10" s="426"/>
      <c r="BF10" s="426"/>
      <c r="BG10" s="426"/>
      <c r="BH10" s="426"/>
      <c r="BI10" s="426"/>
      <c r="BJ10" s="426"/>
      <c r="BK10" s="426"/>
      <c r="BL10" s="426"/>
      <c r="BM10" s="426"/>
      <c r="BN10" s="426"/>
      <c r="BO10" s="426"/>
      <c r="BP10" s="426"/>
      <c r="BQ10" s="426"/>
      <c r="BR10" s="426"/>
      <c r="BS10" s="426"/>
      <c r="BT10" s="426"/>
      <c r="BU10" s="426"/>
      <c r="BV10" s="426"/>
      <c r="BW10" s="426"/>
      <c r="BX10" s="426"/>
      <c r="BY10" s="426"/>
      <c r="BZ10" s="426"/>
      <c r="CA10" s="426"/>
      <c r="CB10" s="426"/>
      <c r="CC10" s="426"/>
      <c r="CD10" s="427"/>
    </row>
    <row r="11" spans="1:83" ht="15" customHeight="1">
      <c r="A11" s="18"/>
      <c r="B11" s="416"/>
      <c r="C11" s="417"/>
      <c r="D11" s="418"/>
      <c r="E11" s="419"/>
      <c r="F11" s="420"/>
      <c r="G11" s="420"/>
      <c r="H11" s="420"/>
      <c r="I11" s="420"/>
      <c r="J11" s="420"/>
      <c r="K11" s="420"/>
      <c r="L11" s="421"/>
      <c r="M11" s="422"/>
      <c r="N11" s="423"/>
      <c r="O11" s="423"/>
      <c r="P11" s="423"/>
      <c r="Q11" s="423"/>
      <c r="R11" s="424"/>
      <c r="S11" s="425"/>
      <c r="T11" s="426"/>
      <c r="U11" s="426"/>
      <c r="V11" s="426"/>
      <c r="W11" s="426"/>
      <c r="X11" s="426"/>
      <c r="Y11" s="426"/>
      <c r="Z11" s="426"/>
      <c r="AA11" s="426"/>
      <c r="AB11" s="426"/>
      <c r="AC11" s="426"/>
      <c r="AD11" s="426"/>
      <c r="AE11" s="426"/>
      <c r="AF11" s="426"/>
      <c r="AG11" s="427"/>
      <c r="AH11" s="425"/>
      <c r="AI11" s="426"/>
      <c r="AJ11" s="426"/>
      <c r="AK11" s="426"/>
      <c r="AL11" s="426"/>
      <c r="AM11" s="426"/>
      <c r="AN11" s="426"/>
      <c r="AO11" s="426"/>
      <c r="AP11" s="426"/>
      <c r="AQ11" s="426"/>
      <c r="AR11" s="426"/>
      <c r="AS11" s="426"/>
      <c r="AT11" s="426"/>
      <c r="AU11" s="426"/>
      <c r="AV11" s="426"/>
      <c r="AW11" s="426"/>
      <c r="AX11" s="426"/>
      <c r="AY11" s="426"/>
      <c r="AZ11" s="426"/>
      <c r="BA11" s="426"/>
      <c r="BB11" s="426"/>
      <c r="BC11" s="426"/>
      <c r="BD11" s="426"/>
      <c r="BE11" s="426"/>
      <c r="BF11" s="426"/>
      <c r="BG11" s="426"/>
      <c r="BH11" s="426"/>
      <c r="BI11" s="426"/>
      <c r="BJ11" s="426"/>
      <c r="BK11" s="426"/>
      <c r="BL11" s="426"/>
      <c r="BM11" s="426"/>
      <c r="BN11" s="426"/>
      <c r="BO11" s="426"/>
      <c r="BP11" s="426"/>
      <c r="BQ11" s="426"/>
      <c r="BR11" s="426"/>
      <c r="BS11" s="426"/>
      <c r="BT11" s="426"/>
      <c r="BU11" s="426"/>
      <c r="BV11" s="426"/>
      <c r="BW11" s="426"/>
      <c r="BX11" s="426"/>
      <c r="BY11" s="426"/>
      <c r="BZ11" s="426"/>
      <c r="CA11" s="426"/>
      <c r="CB11" s="426"/>
      <c r="CC11" s="426"/>
      <c r="CD11" s="427"/>
    </row>
    <row r="12" spans="1:83" ht="15" customHeight="1">
      <c r="A12" s="18"/>
      <c r="B12" s="416"/>
      <c r="C12" s="417"/>
      <c r="D12" s="418"/>
      <c r="E12" s="419"/>
      <c r="F12" s="420"/>
      <c r="G12" s="420"/>
      <c r="H12" s="420"/>
      <c r="I12" s="420"/>
      <c r="J12" s="420"/>
      <c r="K12" s="420"/>
      <c r="L12" s="421"/>
      <c r="M12" s="422"/>
      <c r="N12" s="423"/>
      <c r="O12" s="423"/>
      <c r="P12" s="423"/>
      <c r="Q12" s="423"/>
      <c r="R12" s="424"/>
      <c r="S12" s="425"/>
      <c r="T12" s="426"/>
      <c r="U12" s="426"/>
      <c r="V12" s="426"/>
      <c r="W12" s="426"/>
      <c r="X12" s="426"/>
      <c r="Y12" s="426"/>
      <c r="Z12" s="426"/>
      <c r="AA12" s="426"/>
      <c r="AB12" s="426"/>
      <c r="AC12" s="426"/>
      <c r="AD12" s="426"/>
      <c r="AE12" s="426"/>
      <c r="AF12" s="426"/>
      <c r="AG12" s="427"/>
      <c r="AH12" s="425"/>
      <c r="AI12" s="426"/>
      <c r="AJ12" s="426"/>
      <c r="AK12" s="426"/>
      <c r="AL12" s="426"/>
      <c r="AM12" s="426"/>
      <c r="AN12" s="426"/>
      <c r="AO12" s="426"/>
      <c r="AP12" s="426"/>
      <c r="AQ12" s="426"/>
      <c r="AR12" s="426"/>
      <c r="AS12" s="426"/>
      <c r="AT12" s="426"/>
      <c r="AU12" s="426"/>
      <c r="AV12" s="426"/>
      <c r="AW12" s="426"/>
      <c r="AX12" s="426"/>
      <c r="AY12" s="426"/>
      <c r="AZ12" s="426"/>
      <c r="BA12" s="426"/>
      <c r="BB12" s="426"/>
      <c r="BC12" s="426"/>
      <c r="BD12" s="426"/>
      <c r="BE12" s="426"/>
      <c r="BF12" s="426"/>
      <c r="BG12" s="426"/>
      <c r="BH12" s="426"/>
      <c r="BI12" s="426"/>
      <c r="BJ12" s="426"/>
      <c r="BK12" s="426"/>
      <c r="BL12" s="426"/>
      <c r="BM12" s="426"/>
      <c r="BN12" s="426"/>
      <c r="BO12" s="426"/>
      <c r="BP12" s="426"/>
      <c r="BQ12" s="426"/>
      <c r="BR12" s="426"/>
      <c r="BS12" s="426"/>
      <c r="BT12" s="426"/>
      <c r="BU12" s="426"/>
      <c r="BV12" s="426"/>
      <c r="BW12" s="426"/>
      <c r="BX12" s="426"/>
      <c r="BY12" s="426"/>
      <c r="BZ12" s="426"/>
      <c r="CA12" s="426"/>
      <c r="CB12" s="426"/>
      <c r="CC12" s="426"/>
      <c r="CD12" s="427"/>
    </row>
    <row r="13" spans="1:83" ht="15" customHeight="1">
      <c r="A13" s="18"/>
      <c r="B13" s="416"/>
      <c r="C13" s="417"/>
      <c r="D13" s="418"/>
      <c r="E13" s="419"/>
      <c r="F13" s="420"/>
      <c r="G13" s="420"/>
      <c r="H13" s="420"/>
      <c r="I13" s="420"/>
      <c r="J13" s="420"/>
      <c r="K13" s="420"/>
      <c r="L13" s="421"/>
      <c r="M13" s="422"/>
      <c r="N13" s="423"/>
      <c r="O13" s="423"/>
      <c r="P13" s="423"/>
      <c r="Q13" s="423"/>
      <c r="R13" s="424"/>
      <c r="S13" s="425"/>
      <c r="T13" s="426"/>
      <c r="U13" s="426"/>
      <c r="V13" s="426"/>
      <c r="W13" s="426"/>
      <c r="X13" s="426"/>
      <c r="Y13" s="426"/>
      <c r="Z13" s="426"/>
      <c r="AA13" s="426"/>
      <c r="AB13" s="426"/>
      <c r="AC13" s="426"/>
      <c r="AD13" s="426"/>
      <c r="AE13" s="426"/>
      <c r="AF13" s="426"/>
      <c r="AG13" s="427"/>
      <c r="AH13" s="425"/>
      <c r="AI13" s="426"/>
      <c r="AJ13" s="426"/>
      <c r="AK13" s="426"/>
      <c r="AL13" s="426"/>
      <c r="AM13" s="426"/>
      <c r="AN13" s="426"/>
      <c r="AO13" s="426"/>
      <c r="AP13" s="426"/>
      <c r="AQ13" s="426"/>
      <c r="AR13" s="426"/>
      <c r="AS13" s="426"/>
      <c r="AT13" s="426"/>
      <c r="AU13" s="426"/>
      <c r="AV13" s="426"/>
      <c r="AW13" s="426"/>
      <c r="AX13" s="426"/>
      <c r="AY13" s="426"/>
      <c r="AZ13" s="426"/>
      <c r="BA13" s="426"/>
      <c r="BB13" s="426"/>
      <c r="BC13" s="426"/>
      <c r="BD13" s="426"/>
      <c r="BE13" s="426"/>
      <c r="BF13" s="426"/>
      <c r="BG13" s="426"/>
      <c r="BH13" s="426"/>
      <c r="BI13" s="426"/>
      <c r="BJ13" s="426"/>
      <c r="BK13" s="426"/>
      <c r="BL13" s="426"/>
      <c r="BM13" s="426"/>
      <c r="BN13" s="426"/>
      <c r="BO13" s="426"/>
      <c r="BP13" s="426"/>
      <c r="BQ13" s="426"/>
      <c r="BR13" s="426"/>
      <c r="BS13" s="426"/>
      <c r="BT13" s="426"/>
      <c r="BU13" s="426"/>
      <c r="BV13" s="426"/>
      <c r="BW13" s="426"/>
      <c r="BX13" s="426"/>
      <c r="BY13" s="426"/>
      <c r="BZ13" s="426"/>
      <c r="CA13" s="426"/>
      <c r="CB13" s="426"/>
      <c r="CC13" s="426"/>
      <c r="CD13" s="427"/>
    </row>
    <row r="14" spans="1:83" ht="15" customHeight="1">
      <c r="A14" s="18"/>
      <c r="B14" s="416"/>
      <c r="C14" s="417"/>
      <c r="D14" s="418"/>
      <c r="E14" s="419"/>
      <c r="F14" s="420"/>
      <c r="G14" s="420"/>
      <c r="H14" s="420"/>
      <c r="I14" s="420"/>
      <c r="J14" s="420"/>
      <c r="K14" s="420"/>
      <c r="L14" s="421"/>
      <c r="M14" s="422"/>
      <c r="N14" s="423"/>
      <c r="O14" s="423"/>
      <c r="P14" s="423"/>
      <c r="Q14" s="423"/>
      <c r="R14" s="424"/>
      <c r="S14" s="425"/>
      <c r="T14" s="426"/>
      <c r="U14" s="426"/>
      <c r="V14" s="426"/>
      <c r="W14" s="426"/>
      <c r="X14" s="426"/>
      <c r="Y14" s="426"/>
      <c r="Z14" s="426"/>
      <c r="AA14" s="426"/>
      <c r="AB14" s="426"/>
      <c r="AC14" s="426"/>
      <c r="AD14" s="426"/>
      <c r="AE14" s="426"/>
      <c r="AF14" s="426"/>
      <c r="AG14" s="427"/>
      <c r="AH14" s="425"/>
      <c r="AI14" s="426"/>
      <c r="AJ14" s="426"/>
      <c r="AK14" s="426"/>
      <c r="AL14" s="426"/>
      <c r="AM14" s="426"/>
      <c r="AN14" s="426"/>
      <c r="AO14" s="426"/>
      <c r="AP14" s="426"/>
      <c r="AQ14" s="426"/>
      <c r="AR14" s="426"/>
      <c r="AS14" s="426"/>
      <c r="AT14" s="426"/>
      <c r="AU14" s="426"/>
      <c r="AV14" s="426"/>
      <c r="AW14" s="426"/>
      <c r="AX14" s="426"/>
      <c r="AY14" s="426"/>
      <c r="AZ14" s="426"/>
      <c r="BA14" s="426"/>
      <c r="BB14" s="426"/>
      <c r="BC14" s="426"/>
      <c r="BD14" s="426"/>
      <c r="BE14" s="426"/>
      <c r="BF14" s="426"/>
      <c r="BG14" s="426"/>
      <c r="BH14" s="426"/>
      <c r="BI14" s="426"/>
      <c r="BJ14" s="426"/>
      <c r="BK14" s="426"/>
      <c r="BL14" s="426"/>
      <c r="BM14" s="426"/>
      <c r="BN14" s="426"/>
      <c r="BO14" s="426"/>
      <c r="BP14" s="426"/>
      <c r="BQ14" s="426"/>
      <c r="BR14" s="426"/>
      <c r="BS14" s="426"/>
      <c r="BT14" s="426"/>
      <c r="BU14" s="426"/>
      <c r="BV14" s="426"/>
      <c r="BW14" s="426"/>
      <c r="BX14" s="426"/>
      <c r="BY14" s="426"/>
      <c r="BZ14" s="426"/>
      <c r="CA14" s="426"/>
      <c r="CB14" s="426"/>
      <c r="CC14" s="426"/>
      <c r="CD14" s="427"/>
    </row>
    <row r="15" spans="1:83" ht="15" customHeight="1">
      <c r="A15" s="18"/>
      <c r="B15" s="416"/>
      <c r="C15" s="417"/>
      <c r="D15" s="418"/>
      <c r="E15" s="419"/>
      <c r="F15" s="420"/>
      <c r="G15" s="420"/>
      <c r="H15" s="420"/>
      <c r="I15" s="420"/>
      <c r="J15" s="420"/>
      <c r="K15" s="420"/>
      <c r="L15" s="421"/>
      <c r="M15" s="422"/>
      <c r="N15" s="423"/>
      <c r="O15" s="423"/>
      <c r="P15" s="423"/>
      <c r="Q15" s="423"/>
      <c r="R15" s="424"/>
      <c r="S15" s="425"/>
      <c r="T15" s="426"/>
      <c r="U15" s="426"/>
      <c r="V15" s="426"/>
      <c r="W15" s="426"/>
      <c r="X15" s="426"/>
      <c r="Y15" s="426"/>
      <c r="Z15" s="426"/>
      <c r="AA15" s="426"/>
      <c r="AB15" s="426"/>
      <c r="AC15" s="426"/>
      <c r="AD15" s="426"/>
      <c r="AE15" s="426"/>
      <c r="AF15" s="426"/>
      <c r="AG15" s="427"/>
      <c r="AH15" s="425"/>
      <c r="AI15" s="426"/>
      <c r="AJ15" s="426"/>
      <c r="AK15" s="426"/>
      <c r="AL15" s="426"/>
      <c r="AM15" s="426"/>
      <c r="AN15" s="426"/>
      <c r="AO15" s="426"/>
      <c r="AP15" s="426"/>
      <c r="AQ15" s="426"/>
      <c r="AR15" s="426"/>
      <c r="AS15" s="426"/>
      <c r="AT15" s="426"/>
      <c r="AU15" s="426"/>
      <c r="AV15" s="426"/>
      <c r="AW15" s="426"/>
      <c r="AX15" s="426"/>
      <c r="AY15" s="426"/>
      <c r="AZ15" s="426"/>
      <c r="BA15" s="426"/>
      <c r="BB15" s="426"/>
      <c r="BC15" s="426"/>
      <c r="BD15" s="426"/>
      <c r="BE15" s="426"/>
      <c r="BF15" s="426"/>
      <c r="BG15" s="426"/>
      <c r="BH15" s="426"/>
      <c r="BI15" s="426"/>
      <c r="BJ15" s="426"/>
      <c r="BK15" s="426"/>
      <c r="BL15" s="426"/>
      <c r="BM15" s="426"/>
      <c r="BN15" s="426"/>
      <c r="BO15" s="426"/>
      <c r="BP15" s="426"/>
      <c r="BQ15" s="426"/>
      <c r="BR15" s="426"/>
      <c r="BS15" s="426"/>
      <c r="BT15" s="426"/>
      <c r="BU15" s="426"/>
      <c r="BV15" s="426"/>
      <c r="BW15" s="426"/>
      <c r="BX15" s="426"/>
      <c r="BY15" s="426"/>
      <c r="BZ15" s="426"/>
      <c r="CA15" s="426"/>
      <c r="CB15" s="426"/>
      <c r="CC15" s="426"/>
      <c r="CD15" s="427"/>
    </row>
    <row r="16" spans="1:83" ht="15" customHeight="1">
      <c r="A16" s="18"/>
      <c r="B16" s="416"/>
      <c r="C16" s="417"/>
      <c r="D16" s="418"/>
      <c r="E16" s="419"/>
      <c r="F16" s="420"/>
      <c r="G16" s="420"/>
      <c r="H16" s="420"/>
      <c r="I16" s="420"/>
      <c r="J16" s="420"/>
      <c r="K16" s="420"/>
      <c r="L16" s="421"/>
      <c r="M16" s="422"/>
      <c r="N16" s="423"/>
      <c r="O16" s="423"/>
      <c r="P16" s="423"/>
      <c r="Q16" s="423"/>
      <c r="R16" s="424"/>
      <c r="S16" s="425"/>
      <c r="T16" s="426"/>
      <c r="U16" s="426"/>
      <c r="V16" s="426"/>
      <c r="W16" s="426"/>
      <c r="X16" s="426"/>
      <c r="Y16" s="426"/>
      <c r="Z16" s="426"/>
      <c r="AA16" s="426"/>
      <c r="AB16" s="426"/>
      <c r="AC16" s="426"/>
      <c r="AD16" s="426"/>
      <c r="AE16" s="426"/>
      <c r="AF16" s="426"/>
      <c r="AG16" s="427"/>
      <c r="AH16" s="425"/>
      <c r="AI16" s="426"/>
      <c r="AJ16" s="426"/>
      <c r="AK16" s="426"/>
      <c r="AL16" s="426"/>
      <c r="AM16" s="426"/>
      <c r="AN16" s="426"/>
      <c r="AO16" s="426"/>
      <c r="AP16" s="426"/>
      <c r="AQ16" s="426"/>
      <c r="AR16" s="426"/>
      <c r="AS16" s="426"/>
      <c r="AT16" s="426"/>
      <c r="AU16" s="426"/>
      <c r="AV16" s="426"/>
      <c r="AW16" s="426"/>
      <c r="AX16" s="426"/>
      <c r="AY16" s="426"/>
      <c r="AZ16" s="426"/>
      <c r="BA16" s="426"/>
      <c r="BB16" s="426"/>
      <c r="BC16" s="426"/>
      <c r="BD16" s="426"/>
      <c r="BE16" s="426"/>
      <c r="BF16" s="426"/>
      <c r="BG16" s="426"/>
      <c r="BH16" s="426"/>
      <c r="BI16" s="426"/>
      <c r="BJ16" s="426"/>
      <c r="BK16" s="426"/>
      <c r="BL16" s="426"/>
      <c r="BM16" s="426"/>
      <c r="BN16" s="426"/>
      <c r="BO16" s="426"/>
      <c r="BP16" s="426"/>
      <c r="BQ16" s="426"/>
      <c r="BR16" s="426"/>
      <c r="BS16" s="426"/>
      <c r="BT16" s="426"/>
      <c r="BU16" s="426"/>
      <c r="BV16" s="426"/>
      <c r="BW16" s="426"/>
      <c r="BX16" s="426"/>
      <c r="BY16" s="426"/>
      <c r="BZ16" s="426"/>
      <c r="CA16" s="426"/>
      <c r="CB16" s="426"/>
      <c r="CC16" s="426"/>
      <c r="CD16" s="427"/>
    </row>
    <row r="17" spans="1:82" ht="15" customHeight="1">
      <c r="A17" s="18"/>
      <c r="B17" s="416"/>
      <c r="C17" s="417"/>
      <c r="D17" s="418"/>
      <c r="E17" s="419"/>
      <c r="F17" s="420"/>
      <c r="G17" s="420"/>
      <c r="H17" s="420"/>
      <c r="I17" s="420"/>
      <c r="J17" s="420"/>
      <c r="K17" s="420"/>
      <c r="L17" s="421"/>
      <c r="M17" s="422"/>
      <c r="N17" s="423"/>
      <c r="O17" s="423"/>
      <c r="P17" s="423"/>
      <c r="Q17" s="423"/>
      <c r="R17" s="424"/>
      <c r="S17" s="425"/>
      <c r="T17" s="426"/>
      <c r="U17" s="426"/>
      <c r="V17" s="426"/>
      <c r="W17" s="426"/>
      <c r="X17" s="426"/>
      <c r="Y17" s="426"/>
      <c r="Z17" s="426"/>
      <c r="AA17" s="426"/>
      <c r="AB17" s="426"/>
      <c r="AC17" s="426"/>
      <c r="AD17" s="426"/>
      <c r="AE17" s="426"/>
      <c r="AF17" s="426"/>
      <c r="AG17" s="427"/>
      <c r="AH17" s="425"/>
      <c r="AI17" s="426"/>
      <c r="AJ17" s="426"/>
      <c r="AK17" s="426"/>
      <c r="AL17" s="426"/>
      <c r="AM17" s="426"/>
      <c r="AN17" s="426"/>
      <c r="AO17" s="426"/>
      <c r="AP17" s="426"/>
      <c r="AQ17" s="426"/>
      <c r="AR17" s="426"/>
      <c r="AS17" s="426"/>
      <c r="AT17" s="426"/>
      <c r="AU17" s="426"/>
      <c r="AV17" s="426"/>
      <c r="AW17" s="426"/>
      <c r="AX17" s="426"/>
      <c r="AY17" s="426"/>
      <c r="AZ17" s="426"/>
      <c r="BA17" s="426"/>
      <c r="BB17" s="426"/>
      <c r="BC17" s="426"/>
      <c r="BD17" s="426"/>
      <c r="BE17" s="426"/>
      <c r="BF17" s="426"/>
      <c r="BG17" s="426"/>
      <c r="BH17" s="426"/>
      <c r="BI17" s="426"/>
      <c r="BJ17" s="426"/>
      <c r="BK17" s="426"/>
      <c r="BL17" s="426"/>
      <c r="BM17" s="426"/>
      <c r="BN17" s="426"/>
      <c r="BO17" s="426"/>
      <c r="BP17" s="426"/>
      <c r="BQ17" s="426"/>
      <c r="BR17" s="426"/>
      <c r="BS17" s="426"/>
      <c r="BT17" s="426"/>
      <c r="BU17" s="426"/>
      <c r="BV17" s="426"/>
      <c r="BW17" s="426"/>
      <c r="BX17" s="426"/>
      <c r="BY17" s="426"/>
      <c r="BZ17" s="426"/>
      <c r="CA17" s="426"/>
      <c r="CB17" s="426"/>
      <c r="CC17" s="426"/>
      <c r="CD17" s="427"/>
    </row>
    <row r="18" spans="1:82" ht="15" customHeight="1">
      <c r="A18" s="18"/>
      <c r="B18" s="416"/>
      <c r="C18" s="417"/>
      <c r="D18" s="418"/>
      <c r="E18" s="419"/>
      <c r="F18" s="420"/>
      <c r="G18" s="420"/>
      <c r="H18" s="420"/>
      <c r="I18" s="420"/>
      <c r="J18" s="420"/>
      <c r="K18" s="420"/>
      <c r="L18" s="421"/>
      <c r="M18" s="422"/>
      <c r="N18" s="423"/>
      <c r="O18" s="423"/>
      <c r="P18" s="423"/>
      <c r="Q18" s="423"/>
      <c r="R18" s="424"/>
      <c r="S18" s="425"/>
      <c r="T18" s="426"/>
      <c r="U18" s="426"/>
      <c r="V18" s="426"/>
      <c r="W18" s="426"/>
      <c r="X18" s="426"/>
      <c r="Y18" s="426"/>
      <c r="Z18" s="426"/>
      <c r="AA18" s="426"/>
      <c r="AB18" s="426"/>
      <c r="AC18" s="426"/>
      <c r="AD18" s="426"/>
      <c r="AE18" s="426"/>
      <c r="AF18" s="426"/>
      <c r="AG18" s="427"/>
      <c r="AH18" s="425"/>
      <c r="AI18" s="426"/>
      <c r="AJ18" s="426"/>
      <c r="AK18" s="426"/>
      <c r="AL18" s="426"/>
      <c r="AM18" s="426"/>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6"/>
      <c r="BK18" s="426"/>
      <c r="BL18" s="426"/>
      <c r="BM18" s="426"/>
      <c r="BN18" s="426"/>
      <c r="BO18" s="426"/>
      <c r="BP18" s="426"/>
      <c r="BQ18" s="426"/>
      <c r="BR18" s="426"/>
      <c r="BS18" s="426"/>
      <c r="BT18" s="426"/>
      <c r="BU18" s="426"/>
      <c r="BV18" s="426"/>
      <c r="BW18" s="426"/>
      <c r="BX18" s="426"/>
      <c r="BY18" s="426"/>
      <c r="BZ18" s="426"/>
      <c r="CA18" s="426"/>
      <c r="CB18" s="426"/>
      <c r="CC18" s="426"/>
      <c r="CD18" s="427"/>
    </row>
    <row r="19" spans="1:82" ht="15" customHeight="1">
      <c r="A19" s="18"/>
      <c r="B19" s="416"/>
      <c r="C19" s="417"/>
      <c r="D19" s="418"/>
      <c r="E19" s="419"/>
      <c r="F19" s="420"/>
      <c r="G19" s="420"/>
      <c r="H19" s="420"/>
      <c r="I19" s="420"/>
      <c r="J19" s="420"/>
      <c r="K19" s="420"/>
      <c r="L19" s="421"/>
      <c r="M19" s="422"/>
      <c r="N19" s="423"/>
      <c r="O19" s="423"/>
      <c r="P19" s="423"/>
      <c r="Q19" s="423"/>
      <c r="R19" s="424"/>
      <c r="S19" s="425"/>
      <c r="T19" s="426"/>
      <c r="U19" s="426"/>
      <c r="V19" s="426"/>
      <c r="W19" s="426"/>
      <c r="X19" s="426"/>
      <c r="Y19" s="426"/>
      <c r="Z19" s="426"/>
      <c r="AA19" s="426"/>
      <c r="AB19" s="426"/>
      <c r="AC19" s="426"/>
      <c r="AD19" s="426"/>
      <c r="AE19" s="426"/>
      <c r="AF19" s="426"/>
      <c r="AG19" s="427"/>
      <c r="AH19" s="425"/>
      <c r="AI19" s="426"/>
      <c r="AJ19" s="426"/>
      <c r="AK19" s="426"/>
      <c r="AL19" s="426"/>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6"/>
      <c r="BK19" s="426"/>
      <c r="BL19" s="426"/>
      <c r="BM19" s="426"/>
      <c r="BN19" s="426"/>
      <c r="BO19" s="426"/>
      <c r="BP19" s="426"/>
      <c r="BQ19" s="426"/>
      <c r="BR19" s="426"/>
      <c r="BS19" s="426"/>
      <c r="BT19" s="426"/>
      <c r="BU19" s="426"/>
      <c r="BV19" s="426"/>
      <c r="BW19" s="426"/>
      <c r="BX19" s="426"/>
      <c r="BY19" s="426"/>
      <c r="BZ19" s="426"/>
      <c r="CA19" s="426"/>
      <c r="CB19" s="426"/>
      <c r="CC19" s="426"/>
      <c r="CD19" s="427"/>
    </row>
    <row r="20" spans="1:82" ht="15" customHeight="1">
      <c r="A20" s="18"/>
      <c r="B20" s="416"/>
      <c r="C20" s="417"/>
      <c r="D20" s="418"/>
      <c r="E20" s="419"/>
      <c r="F20" s="420"/>
      <c r="G20" s="420"/>
      <c r="H20" s="420"/>
      <c r="I20" s="420"/>
      <c r="J20" s="420"/>
      <c r="K20" s="420"/>
      <c r="L20" s="421"/>
      <c r="M20" s="422"/>
      <c r="N20" s="423"/>
      <c r="O20" s="423"/>
      <c r="P20" s="423"/>
      <c r="Q20" s="423"/>
      <c r="R20" s="424"/>
      <c r="S20" s="425"/>
      <c r="T20" s="426"/>
      <c r="U20" s="426"/>
      <c r="V20" s="426"/>
      <c r="W20" s="426"/>
      <c r="X20" s="426"/>
      <c r="Y20" s="426"/>
      <c r="Z20" s="426"/>
      <c r="AA20" s="426"/>
      <c r="AB20" s="426"/>
      <c r="AC20" s="426"/>
      <c r="AD20" s="426"/>
      <c r="AE20" s="426"/>
      <c r="AF20" s="426"/>
      <c r="AG20" s="427"/>
      <c r="AH20" s="425"/>
      <c r="AI20" s="426"/>
      <c r="AJ20" s="426"/>
      <c r="AK20" s="426"/>
      <c r="AL20" s="426"/>
      <c r="AM20" s="426"/>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6"/>
      <c r="BK20" s="426"/>
      <c r="BL20" s="426"/>
      <c r="BM20" s="426"/>
      <c r="BN20" s="426"/>
      <c r="BO20" s="426"/>
      <c r="BP20" s="426"/>
      <c r="BQ20" s="426"/>
      <c r="BR20" s="426"/>
      <c r="BS20" s="426"/>
      <c r="BT20" s="426"/>
      <c r="BU20" s="426"/>
      <c r="BV20" s="426"/>
      <c r="BW20" s="426"/>
      <c r="BX20" s="426"/>
      <c r="BY20" s="426"/>
      <c r="BZ20" s="426"/>
      <c r="CA20" s="426"/>
      <c r="CB20" s="426"/>
      <c r="CC20" s="426"/>
      <c r="CD20" s="427"/>
    </row>
    <row r="21" spans="1:82" ht="15" customHeight="1">
      <c r="A21" s="18"/>
      <c r="B21" s="416"/>
      <c r="C21" s="417"/>
      <c r="D21" s="418"/>
      <c r="E21" s="419"/>
      <c r="F21" s="420"/>
      <c r="G21" s="420"/>
      <c r="H21" s="420"/>
      <c r="I21" s="420"/>
      <c r="J21" s="420"/>
      <c r="K21" s="420"/>
      <c r="L21" s="421"/>
      <c r="M21" s="422"/>
      <c r="N21" s="423"/>
      <c r="O21" s="423"/>
      <c r="P21" s="423"/>
      <c r="Q21" s="423"/>
      <c r="R21" s="424"/>
      <c r="S21" s="425"/>
      <c r="T21" s="426"/>
      <c r="U21" s="426"/>
      <c r="V21" s="426"/>
      <c r="W21" s="426"/>
      <c r="X21" s="426"/>
      <c r="Y21" s="426"/>
      <c r="Z21" s="426"/>
      <c r="AA21" s="426"/>
      <c r="AB21" s="426"/>
      <c r="AC21" s="426"/>
      <c r="AD21" s="426"/>
      <c r="AE21" s="426"/>
      <c r="AF21" s="426"/>
      <c r="AG21" s="427"/>
      <c r="AH21" s="425"/>
      <c r="AI21" s="426"/>
      <c r="AJ21" s="426"/>
      <c r="AK21" s="426"/>
      <c r="AL21" s="426"/>
      <c r="AM21" s="426"/>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6"/>
      <c r="BK21" s="426"/>
      <c r="BL21" s="426"/>
      <c r="BM21" s="426"/>
      <c r="BN21" s="426"/>
      <c r="BO21" s="426"/>
      <c r="BP21" s="426"/>
      <c r="BQ21" s="426"/>
      <c r="BR21" s="426"/>
      <c r="BS21" s="426"/>
      <c r="BT21" s="426"/>
      <c r="BU21" s="426"/>
      <c r="BV21" s="426"/>
      <c r="BW21" s="426"/>
      <c r="BX21" s="426"/>
      <c r="BY21" s="426"/>
      <c r="BZ21" s="426"/>
      <c r="CA21" s="426"/>
      <c r="CB21" s="426"/>
      <c r="CC21" s="426"/>
      <c r="CD21" s="427"/>
    </row>
    <row r="22" spans="1:82" ht="15" customHeight="1">
      <c r="A22" s="18"/>
      <c r="B22" s="416"/>
      <c r="C22" s="417"/>
      <c r="D22" s="418"/>
      <c r="E22" s="419"/>
      <c r="F22" s="420"/>
      <c r="G22" s="420"/>
      <c r="H22" s="420"/>
      <c r="I22" s="420"/>
      <c r="J22" s="420"/>
      <c r="K22" s="420"/>
      <c r="L22" s="421"/>
      <c r="M22" s="422"/>
      <c r="N22" s="423"/>
      <c r="O22" s="423"/>
      <c r="P22" s="423"/>
      <c r="Q22" s="423"/>
      <c r="R22" s="424"/>
      <c r="S22" s="425"/>
      <c r="T22" s="426"/>
      <c r="U22" s="426"/>
      <c r="V22" s="426"/>
      <c r="W22" s="426"/>
      <c r="X22" s="426"/>
      <c r="Y22" s="426"/>
      <c r="Z22" s="426"/>
      <c r="AA22" s="426"/>
      <c r="AB22" s="426"/>
      <c r="AC22" s="426"/>
      <c r="AD22" s="426"/>
      <c r="AE22" s="426"/>
      <c r="AF22" s="426"/>
      <c r="AG22" s="427"/>
      <c r="AH22" s="425"/>
      <c r="AI22" s="426"/>
      <c r="AJ22" s="426"/>
      <c r="AK22" s="426"/>
      <c r="AL22" s="426"/>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6"/>
      <c r="BK22" s="426"/>
      <c r="BL22" s="426"/>
      <c r="BM22" s="426"/>
      <c r="BN22" s="426"/>
      <c r="BO22" s="426"/>
      <c r="BP22" s="426"/>
      <c r="BQ22" s="426"/>
      <c r="BR22" s="426"/>
      <c r="BS22" s="426"/>
      <c r="BT22" s="426"/>
      <c r="BU22" s="426"/>
      <c r="BV22" s="426"/>
      <c r="BW22" s="426"/>
      <c r="BX22" s="426"/>
      <c r="BY22" s="426"/>
      <c r="BZ22" s="426"/>
      <c r="CA22" s="426"/>
      <c r="CB22" s="426"/>
      <c r="CC22" s="426"/>
      <c r="CD22" s="427"/>
    </row>
    <row r="23" spans="1:82" ht="15" customHeight="1">
      <c r="A23" s="18"/>
      <c r="B23" s="416"/>
      <c r="C23" s="417"/>
      <c r="D23" s="418"/>
      <c r="E23" s="419"/>
      <c r="F23" s="420"/>
      <c r="G23" s="420"/>
      <c r="H23" s="420"/>
      <c r="I23" s="420"/>
      <c r="J23" s="420"/>
      <c r="K23" s="420"/>
      <c r="L23" s="421"/>
      <c r="M23" s="422"/>
      <c r="N23" s="423"/>
      <c r="O23" s="423"/>
      <c r="P23" s="423"/>
      <c r="Q23" s="423"/>
      <c r="R23" s="424"/>
      <c r="S23" s="425"/>
      <c r="T23" s="426"/>
      <c r="U23" s="426"/>
      <c r="V23" s="426"/>
      <c r="W23" s="426"/>
      <c r="X23" s="426"/>
      <c r="Y23" s="426"/>
      <c r="Z23" s="426"/>
      <c r="AA23" s="426"/>
      <c r="AB23" s="426"/>
      <c r="AC23" s="426"/>
      <c r="AD23" s="426"/>
      <c r="AE23" s="426"/>
      <c r="AF23" s="426"/>
      <c r="AG23" s="427"/>
      <c r="AH23" s="425"/>
      <c r="AI23" s="426"/>
      <c r="AJ23" s="426"/>
      <c r="AK23" s="426"/>
      <c r="AL23" s="426"/>
      <c r="AM23" s="426"/>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6"/>
      <c r="BK23" s="426"/>
      <c r="BL23" s="426"/>
      <c r="BM23" s="426"/>
      <c r="BN23" s="426"/>
      <c r="BO23" s="426"/>
      <c r="BP23" s="426"/>
      <c r="BQ23" s="426"/>
      <c r="BR23" s="426"/>
      <c r="BS23" s="426"/>
      <c r="BT23" s="426"/>
      <c r="BU23" s="426"/>
      <c r="BV23" s="426"/>
      <c r="BW23" s="426"/>
      <c r="BX23" s="426"/>
      <c r="BY23" s="426"/>
      <c r="BZ23" s="426"/>
      <c r="CA23" s="426"/>
      <c r="CB23" s="426"/>
      <c r="CC23" s="426"/>
      <c r="CD23" s="427"/>
    </row>
    <row r="24" spans="1:82" ht="15" customHeight="1">
      <c r="A24" s="18"/>
      <c r="B24" s="416"/>
      <c r="C24" s="417"/>
      <c r="D24" s="418"/>
      <c r="E24" s="419"/>
      <c r="F24" s="420"/>
      <c r="G24" s="420"/>
      <c r="H24" s="420"/>
      <c r="I24" s="420"/>
      <c r="J24" s="420"/>
      <c r="K24" s="420"/>
      <c r="L24" s="421"/>
      <c r="M24" s="422"/>
      <c r="N24" s="423"/>
      <c r="O24" s="423"/>
      <c r="P24" s="423"/>
      <c r="Q24" s="423"/>
      <c r="R24" s="424"/>
      <c r="S24" s="425"/>
      <c r="T24" s="426"/>
      <c r="U24" s="426"/>
      <c r="V24" s="426"/>
      <c r="W24" s="426"/>
      <c r="X24" s="426"/>
      <c r="Y24" s="426"/>
      <c r="Z24" s="426"/>
      <c r="AA24" s="426"/>
      <c r="AB24" s="426"/>
      <c r="AC24" s="426"/>
      <c r="AD24" s="426"/>
      <c r="AE24" s="426"/>
      <c r="AF24" s="426"/>
      <c r="AG24" s="427"/>
      <c r="AH24" s="425"/>
      <c r="AI24" s="426"/>
      <c r="AJ24" s="426"/>
      <c r="AK24" s="426"/>
      <c r="AL24" s="426"/>
      <c r="AM24" s="426"/>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6"/>
      <c r="BK24" s="426"/>
      <c r="BL24" s="426"/>
      <c r="BM24" s="426"/>
      <c r="BN24" s="426"/>
      <c r="BO24" s="426"/>
      <c r="BP24" s="426"/>
      <c r="BQ24" s="426"/>
      <c r="BR24" s="426"/>
      <c r="BS24" s="426"/>
      <c r="BT24" s="426"/>
      <c r="BU24" s="426"/>
      <c r="BV24" s="426"/>
      <c r="BW24" s="426"/>
      <c r="BX24" s="426"/>
      <c r="BY24" s="426"/>
      <c r="BZ24" s="426"/>
      <c r="CA24" s="426"/>
      <c r="CB24" s="426"/>
      <c r="CC24" s="426"/>
      <c r="CD24" s="427"/>
    </row>
    <row r="25" spans="1:82" ht="15" customHeight="1">
      <c r="A25" s="18"/>
      <c r="B25" s="416"/>
      <c r="C25" s="417"/>
      <c r="D25" s="418"/>
      <c r="E25" s="419"/>
      <c r="F25" s="420"/>
      <c r="G25" s="420"/>
      <c r="H25" s="420"/>
      <c r="I25" s="420"/>
      <c r="J25" s="420"/>
      <c r="K25" s="420"/>
      <c r="L25" s="421"/>
      <c r="M25" s="422"/>
      <c r="N25" s="423"/>
      <c r="O25" s="423"/>
      <c r="P25" s="423"/>
      <c r="Q25" s="423"/>
      <c r="R25" s="424"/>
      <c r="S25" s="425"/>
      <c r="T25" s="426"/>
      <c r="U25" s="426"/>
      <c r="V25" s="426"/>
      <c r="W25" s="426"/>
      <c r="X25" s="426"/>
      <c r="Y25" s="426"/>
      <c r="Z25" s="426"/>
      <c r="AA25" s="426"/>
      <c r="AB25" s="426"/>
      <c r="AC25" s="426"/>
      <c r="AD25" s="426"/>
      <c r="AE25" s="426"/>
      <c r="AF25" s="426"/>
      <c r="AG25" s="427"/>
      <c r="AH25" s="425"/>
      <c r="AI25" s="426"/>
      <c r="AJ25" s="426"/>
      <c r="AK25" s="426"/>
      <c r="AL25" s="426"/>
      <c r="AM25" s="426"/>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6"/>
      <c r="BK25" s="426"/>
      <c r="BL25" s="426"/>
      <c r="BM25" s="426"/>
      <c r="BN25" s="426"/>
      <c r="BO25" s="426"/>
      <c r="BP25" s="426"/>
      <c r="BQ25" s="426"/>
      <c r="BR25" s="426"/>
      <c r="BS25" s="426"/>
      <c r="BT25" s="426"/>
      <c r="BU25" s="426"/>
      <c r="BV25" s="426"/>
      <c r="BW25" s="426"/>
      <c r="BX25" s="426"/>
      <c r="BY25" s="426"/>
      <c r="BZ25" s="426"/>
      <c r="CA25" s="426"/>
      <c r="CB25" s="426"/>
      <c r="CC25" s="426"/>
      <c r="CD25" s="427"/>
    </row>
    <row r="26" spans="1:82" ht="15" customHeight="1">
      <c r="A26" s="18"/>
      <c r="B26" s="416"/>
      <c r="C26" s="417"/>
      <c r="D26" s="418"/>
      <c r="E26" s="419"/>
      <c r="F26" s="420"/>
      <c r="G26" s="420"/>
      <c r="H26" s="420"/>
      <c r="I26" s="420"/>
      <c r="J26" s="420"/>
      <c r="K26" s="420"/>
      <c r="L26" s="421"/>
      <c r="M26" s="422"/>
      <c r="N26" s="423"/>
      <c r="O26" s="423"/>
      <c r="P26" s="423"/>
      <c r="Q26" s="423"/>
      <c r="R26" s="424"/>
      <c r="S26" s="425"/>
      <c r="T26" s="426"/>
      <c r="U26" s="426"/>
      <c r="V26" s="426"/>
      <c r="W26" s="426"/>
      <c r="X26" s="426"/>
      <c r="Y26" s="426"/>
      <c r="Z26" s="426"/>
      <c r="AA26" s="426"/>
      <c r="AB26" s="426"/>
      <c r="AC26" s="426"/>
      <c r="AD26" s="426"/>
      <c r="AE26" s="426"/>
      <c r="AF26" s="426"/>
      <c r="AG26" s="427"/>
      <c r="AH26" s="425"/>
      <c r="AI26" s="426"/>
      <c r="AJ26" s="426"/>
      <c r="AK26" s="426"/>
      <c r="AL26" s="426"/>
      <c r="AM26" s="426"/>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6"/>
      <c r="BK26" s="426"/>
      <c r="BL26" s="426"/>
      <c r="BM26" s="426"/>
      <c r="BN26" s="426"/>
      <c r="BO26" s="426"/>
      <c r="BP26" s="426"/>
      <c r="BQ26" s="426"/>
      <c r="BR26" s="426"/>
      <c r="BS26" s="426"/>
      <c r="BT26" s="426"/>
      <c r="BU26" s="426"/>
      <c r="BV26" s="426"/>
      <c r="BW26" s="426"/>
      <c r="BX26" s="426"/>
      <c r="BY26" s="426"/>
      <c r="BZ26" s="426"/>
      <c r="CA26" s="426"/>
      <c r="CB26" s="426"/>
      <c r="CC26" s="426"/>
      <c r="CD26" s="427"/>
    </row>
    <row r="27" spans="1:82" ht="15" customHeight="1">
      <c r="A27" s="18"/>
      <c r="B27" s="416"/>
      <c r="C27" s="417"/>
      <c r="D27" s="418"/>
      <c r="E27" s="419"/>
      <c r="F27" s="420"/>
      <c r="G27" s="420"/>
      <c r="H27" s="420"/>
      <c r="I27" s="420"/>
      <c r="J27" s="420"/>
      <c r="K27" s="420"/>
      <c r="L27" s="421"/>
      <c r="M27" s="422"/>
      <c r="N27" s="423"/>
      <c r="O27" s="423"/>
      <c r="P27" s="423"/>
      <c r="Q27" s="423"/>
      <c r="R27" s="424"/>
      <c r="S27" s="425"/>
      <c r="T27" s="426"/>
      <c r="U27" s="426"/>
      <c r="V27" s="426"/>
      <c r="W27" s="426"/>
      <c r="X27" s="426"/>
      <c r="Y27" s="426"/>
      <c r="Z27" s="426"/>
      <c r="AA27" s="426"/>
      <c r="AB27" s="426"/>
      <c r="AC27" s="426"/>
      <c r="AD27" s="426"/>
      <c r="AE27" s="426"/>
      <c r="AF27" s="426"/>
      <c r="AG27" s="427"/>
      <c r="AH27" s="425"/>
      <c r="AI27" s="426"/>
      <c r="AJ27" s="426"/>
      <c r="AK27" s="426"/>
      <c r="AL27" s="426"/>
      <c r="AM27" s="426"/>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6"/>
      <c r="BK27" s="426"/>
      <c r="BL27" s="426"/>
      <c r="BM27" s="426"/>
      <c r="BN27" s="426"/>
      <c r="BO27" s="426"/>
      <c r="BP27" s="426"/>
      <c r="BQ27" s="426"/>
      <c r="BR27" s="426"/>
      <c r="BS27" s="426"/>
      <c r="BT27" s="426"/>
      <c r="BU27" s="426"/>
      <c r="BV27" s="426"/>
      <c r="BW27" s="426"/>
      <c r="BX27" s="426"/>
      <c r="BY27" s="426"/>
      <c r="BZ27" s="426"/>
      <c r="CA27" s="426"/>
      <c r="CB27" s="426"/>
      <c r="CC27" s="426"/>
      <c r="CD27" s="427"/>
    </row>
    <row r="28" spans="1:82" ht="15" customHeight="1">
      <c r="A28" s="18"/>
      <c r="B28" s="416"/>
      <c r="C28" s="417"/>
      <c r="D28" s="418"/>
      <c r="E28" s="419"/>
      <c r="F28" s="420"/>
      <c r="G28" s="420"/>
      <c r="H28" s="420"/>
      <c r="I28" s="420"/>
      <c r="J28" s="420"/>
      <c r="K28" s="420"/>
      <c r="L28" s="421"/>
      <c r="M28" s="422"/>
      <c r="N28" s="423"/>
      <c r="O28" s="423"/>
      <c r="P28" s="423"/>
      <c r="Q28" s="423"/>
      <c r="R28" s="424"/>
      <c r="S28" s="425"/>
      <c r="T28" s="426"/>
      <c r="U28" s="426"/>
      <c r="V28" s="426"/>
      <c r="W28" s="426"/>
      <c r="X28" s="426"/>
      <c r="Y28" s="426"/>
      <c r="Z28" s="426"/>
      <c r="AA28" s="426"/>
      <c r="AB28" s="426"/>
      <c r="AC28" s="426"/>
      <c r="AD28" s="426"/>
      <c r="AE28" s="426"/>
      <c r="AF28" s="426"/>
      <c r="AG28" s="427"/>
      <c r="AH28" s="425"/>
      <c r="AI28" s="426"/>
      <c r="AJ28" s="426"/>
      <c r="AK28" s="426"/>
      <c r="AL28" s="426"/>
      <c r="AM28" s="426"/>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6"/>
      <c r="BK28" s="426"/>
      <c r="BL28" s="426"/>
      <c r="BM28" s="426"/>
      <c r="BN28" s="426"/>
      <c r="BO28" s="426"/>
      <c r="BP28" s="426"/>
      <c r="BQ28" s="426"/>
      <c r="BR28" s="426"/>
      <c r="BS28" s="426"/>
      <c r="BT28" s="426"/>
      <c r="BU28" s="426"/>
      <c r="BV28" s="426"/>
      <c r="BW28" s="426"/>
      <c r="BX28" s="426"/>
      <c r="BY28" s="426"/>
      <c r="BZ28" s="426"/>
      <c r="CA28" s="426"/>
      <c r="CB28" s="426"/>
      <c r="CC28" s="426"/>
      <c r="CD28" s="427"/>
    </row>
    <row r="29" spans="1:82" ht="15" customHeight="1">
      <c r="A29" s="18"/>
      <c r="B29" s="416"/>
      <c r="C29" s="417"/>
      <c r="D29" s="418"/>
      <c r="E29" s="419"/>
      <c r="F29" s="420"/>
      <c r="G29" s="420"/>
      <c r="H29" s="420"/>
      <c r="I29" s="420"/>
      <c r="J29" s="420"/>
      <c r="K29" s="420"/>
      <c r="L29" s="421"/>
      <c r="M29" s="422"/>
      <c r="N29" s="423"/>
      <c r="O29" s="423"/>
      <c r="P29" s="423"/>
      <c r="Q29" s="423"/>
      <c r="R29" s="424"/>
      <c r="S29" s="425"/>
      <c r="T29" s="426"/>
      <c r="U29" s="426"/>
      <c r="V29" s="426"/>
      <c r="W29" s="426"/>
      <c r="X29" s="426"/>
      <c r="Y29" s="426"/>
      <c r="Z29" s="426"/>
      <c r="AA29" s="426"/>
      <c r="AB29" s="426"/>
      <c r="AC29" s="426"/>
      <c r="AD29" s="426"/>
      <c r="AE29" s="426"/>
      <c r="AF29" s="426"/>
      <c r="AG29" s="427"/>
      <c r="AH29" s="425"/>
      <c r="AI29" s="426"/>
      <c r="AJ29" s="426"/>
      <c r="AK29" s="426"/>
      <c r="AL29" s="426"/>
      <c r="AM29" s="426"/>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6"/>
      <c r="BK29" s="426"/>
      <c r="BL29" s="426"/>
      <c r="BM29" s="426"/>
      <c r="BN29" s="426"/>
      <c r="BO29" s="426"/>
      <c r="BP29" s="426"/>
      <c r="BQ29" s="426"/>
      <c r="BR29" s="426"/>
      <c r="BS29" s="426"/>
      <c r="BT29" s="426"/>
      <c r="BU29" s="426"/>
      <c r="BV29" s="426"/>
      <c r="BW29" s="426"/>
      <c r="BX29" s="426"/>
      <c r="BY29" s="426"/>
      <c r="BZ29" s="426"/>
      <c r="CA29" s="426"/>
      <c r="CB29" s="426"/>
      <c r="CC29" s="426"/>
      <c r="CD29" s="427"/>
    </row>
    <row r="30" spans="1:82" ht="15" customHeight="1">
      <c r="A30" s="18"/>
      <c r="B30" s="416"/>
      <c r="C30" s="417"/>
      <c r="D30" s="418"/>
      <c r="E30" s="419"/>
      <c r="F30" s="420"/>
      <c r="G30" s="420"/>
      <c r="H30" s="420"/>
      <c r="I30" s="420"/>
      <c r="J30" s="420"/>
      <c r="K30" s="420"/>
      <c r="L30" s="421"/>
      <c r="M30" s="422"/>
      <c r="N30" s="423"/>
      <c r="O30" s="423"/>
      <c r="P30" s="423"/>
      <c r="Q30" s="423"/>
      <c r="R30" s="424"/>
      <c r="S30" s="425"/>
      <c r="T30" s="426"/>
      <c r="U30" s="426"/>
      <c r="V30" s="426"/>
      <c r="W30" s="426"/>
      <c r="X30" s="426"/>
      <c r="Y30" s="426"/>
      <c r="Z30" s="426"/>
      <c r="AA30" s="426"/>
      <c r="AB30" s="426"/>
      <c r="AC30" s="426"/>
      <c r="AD30" s="426"/>
      <c r="AE30" s="426"/>
      <c r="AF30" s="426"/>
      <c r="AG30" s="427"/>
      <c r="AH30" s="425"/>
      <c r="AI30" s="426"/>
      <c r="AJ30" s="426"/>
      <c r="AK30" s="426"/>
      <c r="AL30" s="426"/>
      <c r="AM30" s="426"/>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6"/>
      <c r="BK30" s="426"/>
      <c r="BL30" s="426"/>
      <c r="BM30" s="426"/>
      <c r="BN30" s="426"/>
      <c r="BO30" s="426"/>
      <c r="BP30" s="426"/>
      <c r="BQ30" s="426"/>
      <c r="BR30" s="426"/>
      <c r="BS30" s="426"/>
      <c r="BT30" s="426"/>
      <c r="BU30" s="426"/>
      <c r="BV30" s="426"/>
      <c r="BW30" s="426"/>
      <c r="BX30" s="426"/>
      <c r="BY30" s="426"/>
      <c r="BZ30" s="426"/>
      <c r="CA30" s="426"/>
      <c r="CB30" s="426"/>
      <c r="CC30" s="426"/>
      <c r="CD30" s="427"/>
    </row>
    <row r="31" spans="1:82" ht="15" customHeight="1">
      <c r="A31" s="18"/>
      <c r="B31" s="416"/>
      <c r="C31" s="417"/>
      <c r="D31" s="418"/>
      <c r="E31" s="419"/>
      <c r="F31" s="420"/>
      <c r="G31" s="420"/>
      <c r="H31" s="420"/>
      <c r="I31" s="420"/>
      <c r="J31" s="420"/>
      <c r="K31" s="420"/>
      <c r="L31" s="421"/>
      <c r="M31" s="422"/>
      <c r="N31" s="423"/>
      <c r="O31" s="423"/>
      <c r="P31" s="423"/>
      <c r="Q31" s="423"/>
      <c r="R31" s="424"/>
      <c r="S31" s="425"/>
      <c r="T31" s="426"/>
      <c r="U31" s="426"/>
      <c r="V31" s="426"/>
      <c r="W31" s="426"/>
      <c r="X31" s="426"/>
      <c r="Y31" s="426"/>
      <c r="Z31" s="426"/>
      <c r="AA31" s="426"/>
      <c r="AB31" s="426"/>
      <c r="AC31" s="426"/>
      <c r="AD31" s="426"/>
      <c r="AE31" s="426"/>
      <c r="AF31" s="426"/>
      <c r="AG31" s="427"/>
      <c r="AH31" s="425"/>
      <c r="AI31" s="426"/>
      <c r="AJ31" s="426"/>
      <c r="AK31" s="426"/>
      <c r="AL31" s="426"/>
      <c r="AM31" s="426"/>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6"/>
      <c r="BK31" s="426"/>
      <c r="BL31" s="426"/>
      <c r="BM31" s="426"/>
      <c r="BN31" s="426"/>
      <c r="BO31" s="426"/>
      <c r="BP31" s="426"/>
      <c r="BQ31" s="426"/>
      <c r="BR31" s="426"/>
      <c r="BS31" s="426"/>
      <c r="BT31" s="426"/>
      <c r="BU31" s="426"/>
      <c r="BV31" s="426"/>
      <c r="BW31" s="426"/>
      <c r="BX31" s="426"/>
      <c r="BY31" s="426"/>
      <c r="BZ31" s="426"/>
      <c r="CA31" s="426"/>
      <c r="CB31" s="426"/>
      <c r="CC31" s="426"/>
      <c r="CD31" s="427"/>
    </row>
    <row r="32" spans="1:82" ht="15" customHeight="1">
      <c r="A32" s="18"/>
      <c r="B32" s="416"/>
      <c r="C32" s="417"/>
      <c r="D32" s="418"/>
      <c r="E32" s="419"/>
      <c r="F32" s="420"/>
      <c r="G32" s="420"/>
      <c r="H32" s="420"/>
      <c r="I32" s="420"/>
      <c r="J32" s="420"/>
      <c r="K32" s="420"/>
      <c r="L32" s="421"/>
      <c r="M32" s="422"/>
      <c r="N32" s="423"/>
      <c r="O32" s="423"/>
      <c r="P32" s="423"/>
      <c r="Q32" s="423"/>
      <c r="R32" s="424"/>
      <c r="S32" s="425"/>
      <c r="T32" s="426"/>
      <c r="U32" s="426"/>
      <c r="V32" s="426"/>
      <c r="W32" s="426"/>
      <c r="X32" s="426"/>
      <c r="Y32" s="426"/>
      <c r="Z32" s="426"/>
      <c r="AA32" s="426"/>
      <c r="AB32" s="426"/>
      <c r="AC32" s="426"/>
      <c r="AD32" s="426"/>
      <c r="AE32" s="426"/>
      <c r="AF32" s="426"/>
      <c r="AG32" s="427"/>
      <c r="AH32" s="425"/>
      <c r="AI32" s="426"/>
      <c r="AJ32" s="426"/>
      <c r="AK32" s="426"/>
      <c r="AL32" s="426"/>
      <c r="AM32" s="426"/>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6"/>
      <c r="BK32" s="426"/>
      <c r="BL32" s="426"/>
      <c r="BM32" s="426"/>
      <c r="BN32" s="426"/>
      <c r="BO32" s="426"/>
      <c r="BP32" s="426"/>
      <c r="BQ32" s="426"/>
      <c r="BR32" s="426"/>
      <c r="BS32" s="426"/>
      <c r="BT32" s="426"/>
      <c r="BU32" s="426"/>
      <c r="BV32" s="426"/>
      <c r="BW32" s="426"/>
      <c r="BX32" s="426"/>
      <c r="BY32" s="426"/>
      <c r="BZ32" s="426"/>
      <c r="CA32" s="426"/>
      <c r="CB32" s="426"/>
      <c r="CC32" s="426"/>
      <c r="CD32" s="427"/>
    </row>
    <row r="33" spans="1:82" ht="15" customHeight="1">
      <c r="A33" s="18"/>
      <c r="B33" s="416"/>
      <c r="C33" s="417"/>
      <c r="D33" s="418"/>
      <c r="E33" s="419"/>
      <c r="F33" s="420"/>
      <c r="G33" s="420"/>
      <c r="H33" s="420"/>
      <c r="I33" s="420"/>
      <c r="J33" s="420"/>
      <c r="K33" s="420"/>
      <c r="L33" s="421"/>
      <c r="M33" s="422"/>
      <c r="N33" s="423"/>
      <c r="O33" s="423"/>
      <c r="P33" s="423"/>
      <c r="Q33" s="423"/>
      <c r="R33" s="424"/>
      <c r="S33" s="425"/>
      <c r="T33" s="426"/>
      <c r="U33" s="426"/>
      <c r="V33" s="426"/>
      <c r="W33" s="426"/>
      <c r="X33" s="426"/>
      <c r="Y33" s="426"/>
      <c r="Z33" s="426"/>
      <c r="AA33" s="426"/>
      <c r="AB33" s="426"/>
      <c r="AC33" s="426"/>
      <c r="AD33" s="426"/>
      <c r="AE33" s="426"/>
      <c r="AF33" s="426"/>
      <c r="AG33" s="427"/>
      <c r="AH33" s="425"/>
      <c r="AI33" s="426"/>
      <c r="AJ33" s="426"/>
      <c r="AK33" s="426"/>
      <c r="AL33" s="426"/>
      <c r="AM33" s="426"/>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6"/>
      <c r="BK33" s="426"/>
      <c r="BL33" s="426"/>
      <c r="BM33" s="426"/>
      <c r="BN33" s="426"/>
      <c r="BO33" s="426"/>
      <c r="BP33" s="426"/>
      <c r="BQ33" s="426"/>
      <c r="BR33" s="426"/>
      <c r="BS33" s="426"/>
      <c r="BT33" s="426"/>
      <c r="BU33" s="426"/>
      <c r="BV33" s="426"/>
      <c r="BW33" s="426"/>
      <c r="BX33" s="426"/>
      <c r="BY33" s="426"/>
      <c r="BZ33" s="426"/>
      <c r="CA33" s="426"/>
      <c r="CB33" s="426"/>
      <c r="CC33" s="426"/>
      <c r="CD33" s="427"/>
    </row>
    <row r="34" spans="1:82" ht="15" customHeight="1">
      <c r="A34" s="18"/>
      <c r="B34" s="416"/>
      <c r="C34" s="417"/>
      <c r="D34" s="418"/>
      <c r="E34" s="419"/>
      <c r="F34" s="420"/>
      <c r="G34" s="420"/>
      <c r="H34" s="420"/>
      <c r="I34" s="420"/>
      <c r="J34" s="420"/>
      <c r="K34" s="420"/>
      <c r="L34" s="421"/>
      <c r="M34" s="422"/>
      <c r="N34" s="423"/>
      <c r="O34" s="423"/>
      <c r="P34" s="423"/>
      <c r="Q34" s="423"/>
      <c r="R34" s="424"/>
      <c r="S34" s="425"/>
      <c r="T34" s="426"/>
      <c r="U34" s="426"/>
      <c r="V34" s="426"/>
      <c r="W34" s="426"/>
      <c r="X34" s="426"/>
      <c r="Y34" s="426"/>
      <c r="Z34" s="426"/>
      <c r="AA34" s="426"/>
      <c r="AB34" s="426"/>
      <c r="AC34" s="426"/>
      <c r="AD34" s="426"/>
      <c r="AE34" s="426"/>
      <c r="AF34" s="426"/>
      <c r="AG34" s="427"/>
      <c r="AH34" s="425"/>
      <c r="AI34" s="426"/>
      <c r="AJ34" s="426"/>
      <c r="AK34" s="426"/>
      <c r="AL34" s="426"/>
      <c r="AM34" s="426"/>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6"/>
      <c r="BK34" s="426"/>
      <c r="BL34" s="426"/>
      <c r="BM34" s="426"/>
      <c r="BN34" s="426"/>
      <c r="BO34" s="426"/>
      <c r="BP34" s="426"/>
      <c r="BQ34" s="426"/>
      <c r="BR34" s="426"/>
      <c r="BS34" s="426"/>
      <c r="BT34" s="426"/>
      <c r="BU34" s="426"/>
      <c r="BV34" s="426"/>
      <c r="BW34" s="426"/>
      <c r="BX34" s="426"/>
      <c r="BY34" s="426"/>
      <c r="BZ34" s="426"/>
      <c r="CA34" s="426"/>
      <c r="CB34" s="426"/>
      <c r="CC34" s="426"/>
      <c r="CD34" s="427"/>
    </row>
    <row r="35" spans="1:82" ht="15" customHeight="1">
      <c r="A35" s="18"/>
      <c r="B35" s="416"/>
      <c r="C35" s="417"/>
      <c r="D35" s="418"/>
      <c r="E35" s="419"/>
      <c r="F35" s="420"/>
      <c r="G35" s="420"/>
      <c r="H35" s="420"/>
      <c r="I35" s="420"/>
      <c r="J35" s="420"/>
      <c r="K35" s="420"/>
      <c r="L35" s="421"/>
      <c r="M35" s="422"/>
      <c r="N35" s="423"/>
      <c r="O35" s="423"/>
      <c r="P35" s="423"/>
      <c r="Q35" s="423"/>
      <c r="R35" s="424"/>
      <c r="S35" s="425"/>
      <c r="T35" s="426"/>
      <c r="U35" s="426"/>
      <c r="V35" s="426"/>
      <c r="W35" s="426"/>
      <c r="X35" s="426"/>
      <c r="Y35" s="426"/>
      <c r="Z35" s="426"/>
      <c r="AA35" s="426"/>
      <c r="AB35" s="426"/>
      <c r="AC35" s="426"/>
      <c r="AD35" s="426"/>
      <c r="AE35" s="426"/>
      <c r="AF35" s="426"/>
      <c r="AG35" s="427"/>
      <c r="AH35" s="425"/>
      <c r="AI35" s="426"/>
      <c r="AJ35" s="426"/>
      <c r="AK35" s="426"/>
      <c r="AL35" s="426"/>
      <c r="AM35" s="426"/>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6"/>
      <c r="BK35" s="426"/>
      <c r="BL35" s="426"/>
      <c r="BM35" s="426"/>
      <c r="BN35" s="426"/>
      <c r="BO35" s="426"/>
      <c r="BP35" s="426"/>
      <c r="BQ35" s="426"/>
      <c r="BR35" s="426"/>
      <c r="BS35" s="426"/>
      <c r="BT35" s="426"/>
      <c r="BU35" s="426"/>
      <c r="BV35" s="426"/>
      <c r="BW35" s="426"/>
      <c r="BX35" s="426"/>
      <c r="BY35" s="426"/>
      <c r="BZ35" s="426"/>
      <c r="CA35" s="426"/>
      <c r="CB35" s="426"/>
      <c r="CC35" s="426"/>
      <c r="CD35" s="427"/>
    </row>
    <row r="36" spans="1:82" ht="15" customHeight="1">
      <c r="A36" s="18"/>
      <c r="B36" s="416"/>
      <c r="C36" s="417"/>
      <c r="D36" s="418"/>
      <c r="E36" s="419"/>
      <c r="F36" s="420"/>
      <c r="G36" s="420"/>
      <c r="H36" s="420"/>
      <c r="I36" s="420"/>
      <c r="J36" s="420"/>
      <c r="K36" s="420"/>
      <c r="L36" s="421"/>
      <c r="M36" s="422"/>
      <c r="N36" s="423"/>
      <c r="O36" s="423"/>
      <c r="P36" s="423"/>
      <c r="Q36" s="423"/>
      <c r="R36" s="424"/>
      <c r="S36" s="425"/>
      <c r="T36" s="426"/>
      <c r="U36" s="426"/>
      <c r="V36" s="426"/>
      <c r="W36" s="426"/>
      <c r="X36" s="426"/>
      <c r="Y36" s="426"/>
      <c r="Z36" s="426"/>
      <c r="AA36" s="426"/>
      <c r="AB36" s="426"/>
      <c r="AC36" s="426"/>
      <c r="AD36" s="426"/>
      <c r="AE36" s="426"/>
      <c r="AF36" s="426"/>
      <c r="AG36" s="427"/>
      <c r="AH36" s="425"/>
      <c r="AI36" s="426"/>
      <c r="AJ36" s="426"/>
      <c r="AK36" s="426"/>
      <c r="AL36" s="426"/>
      <c r="AM36" s="426"/>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6"/>
      <c r="BK36" s="426"/>
      <c r="BL36" s="426"/>
      <c r="BM36" s="426"/>
      <c r="BN36" s="426"/>
      <c r="BO36" s="426"/>
      <c r="BP36" s="426"/>
      <c r="BQ36" s="426"/>
      <c r="BR36" s="426"/>
      <c r="BS36" s="426"/>
      <c r="BT36" s="426"/>
      <c r="BU36" s="426"/>
      <c r="BV36" s="426"/>
      <c r="BW36" s="426"/>
      <c r="BX36" s="426"/>
      <c r="BY36" s="426"/>
      <c r="BZ36" s="426"/>
      <c r="CA36" s="426"/>
      <c r="CB36" s="426"/>
      <c r="CC36" s="426"/>
      <c r="CD36" s="427"/>
    </row>
    <row r="37" spans="1:82" ht="15" customHeight="1">
      <c r="A37" s="18"/>
      <c r="B37" s="18"/>
      <c r="C37" s="18"/>
      <c r="D37" s="18"/>
      <c r="E37" s="23"/>
      <c r="F37" s="23"/>
      <c r="G37" s="23"/>
      <c r="H37" s="23"/>
      <c r="I37" s="18"/>
      <c r="J37" s="18"/>
      <c r="K37" s="18"/>
      <c r="L37" s="18"/>
      <c r="M37" s="18"/>
      <c r="N37" s="18"/>
      <c r="O37" s="18"/>
      <c r="P37" s="18"/>
      <c r="Q37" s="18"/>
      <c r="R37" s="18"/>
      <c r="S37" s="18"/>
      <c r="T37" s="18"/>
      <c r="U37" s="18"/>
      <c r="V37" s="18"/>
      <c r="W37" s="18"/>
      <c r="X37" s="18"/>
      <c r="Y37" s="18"/>
      <c r="Z37" s="18"/>
      <c r="AA37" s="18"/>
      <c r="AB37" s="18"/>
    </row>
  </sheetData>
  <mergeCells count="168">
    <mergeCell ref="AF1:AT2"/>
    <mergeCell ref="AF3:AT4"/>
    <mergeCell ref="AU1:BT2"/>
    <mergeCell ref="AU3:BT4"/>
    <mergeCell ref="CC1:CE2"/>
    <mergeCell ref="BU2:BX2"/>
    <mergeCell ref="BY2:CB2"/>
    <mergeCell ref="A3:G4"/>
    <mergeCell ref="BU3:BX3"/>
    <mergeCell ref="BY3:CB3"/>
    <mergeCell ref="CC3:CE4"/>
    <mergeCell ref="A1:G2"/>
    <mergeCell ref="BU1:BX1"/>
    <mergeCell ref="BY1:CB1"/>
    <mergeCell ref="H1:S2"/>
    <mergeCell ref="H3:S4"/>
    <mergeCell ref="T1:AE2"/>
    <mergeCell ref="T3:AE4"/>
    <mergeCell ref="BU4:BX4"/>
    <mergeCell ref="BY4:CB4"/>
    <mergeCell ref="B7:D7"/>
    <mergeCell ref="E7:L7"/>
    <mergeCell ref="M7:R7"/>
    <mergeCell ref="B8:D8"/>
    <mergeCell ref="E8:L8"/>
    <mergeCell ref="M8:R8"/>
    <mergeCell ref="S8:AG8"/>
    <mergeCell ref="AH8:CD8"/>
    <mergeCell ref="B9:D9"/>
    <mergeCell ref="E9:L9"/>
    <mergeCell ref="M9:R9"/>
    <mergeCell ref="S9:AG9"/>
    <mergeCell ref="AH9:CD9"/>
    <mergeCell ref="B10:D10"/>
    <mergeCell ref="E10:L10"/>
    <mergeCell ref="M10:R10"/>
    <mergeCell ref="S10:AG10"/>
    <mergeCell ref="AH10:CD10"/>
    <mergeCell ref="B11:D11"/>
    <mergeCell ref="E11:L11"/>
    <mergeCell ref="M11:R11"/>
    <mergeCell ref="S11:AG11"/>
    <mergeCell ref="AH11:CD11"/>
    <mergeCell ref="B12:D12"/>
    <mergeCell ref="E12:L12"/>
    <mergeCell ref="M12:R12"/>
    <mergeCell ref="S12:AG12"/>
    <mergeCell ref="AH12:CD12"/>
    <mergeCell ref="B13:D13"/>
    <mergeCell ref="E13:L13"/>
    <mergeCell ref="M13:R13"/>
    <mergeCell ref="S13:AG13"/>
    <mergeCell ref="AH13:CD13"/>
    <mergeCell ref="B14:D14"/>
    <mergeCell ref="E14:L14"/>
    <mergeCell ref="M14:R14"/>
    <mergeCell ref="S14:AG14"/>
    <mergeCell ref="AH14:CD14"/>
    <mergeCell ref="B15:D15"/>
    <mergeCell ref="E15:L15"/>
    <mergeCell ref="M15:R15"/>
    <mergeCell ref="S15:AG15"/>
    <mergeCell ref="AH15:CD15"/>
    <mergeCell ref="B16:D16"/>
    <mergeCell ref="E16:L16"/>
    <mergeCell ref="M16:R16"/>
    <mergeCell ref="S16:AG16"/>
    <mergeCell ref="AH16:CD16"/>
    <mergeCell ref="B17:D17"/>
    <mergeCell ref="E17:L17"/>
    <mergeCell ref="M17:R17"/>
    <mergeCell ref="S17:AG17"/>
    <mergeCell ref="AH17:CD17"/>
    <mergeCell ref="B18:D18"/>
    <mergeCell ref="E18:L18"/>
    <mergeCell ref="M18:R18"/>
    <mergeCell ref="S18:AG18"/>
    <mergeCell ref="AH18:CD18"/>
    <mergeCell ref="B19:D19"/>
    <mergeCell ref="E19:L19"/>
    <mergeCell ref="M19:R19"/>
    <mergeCell ref="S19:AG19"/>
    <mergeCell ref="AH19:CD19"/>
    <mergeCell ref="B20:D20"/>
    <mergeCell ref="E20:L20"/>
    <mergeCell ref="M20:R20"/>
    <mergeCell ref="S20:AG20"/>
    <mergeCell ref="AH20:CD20"/>
    <mergeCell ref="B21:D21"/>
    <mergeCell ref="E21:L21"/>
    <mergeCell ref="M21:R21"/>
    <mergeCell ref="S21:AG21"/>
    <mergeCell ref="AH21:CD21"/>
    <mergeCell ref="B22:D22"/>
    <mergeCell ref="E22:L22"/>
    <mergeCell ref="M22:R22"/>
    <mergeCell ref="S22:AG22"/>
    <mergeCell ref="AH22:CD22"/>
    <mergeCell ref="B23:D23"/>
    <mergeCell ref="E23:L23"/>
    <mergeCell ref="M23:R23"/>
    <mergeCell ref="S23:AG23"/>
    <mergeCell ref="AH23:CD23"/>
    <mergeCell ref="B24:D24"/>
    <mergeCell ref="E24:L24"/>
    <mergeCell ref="M24:R24"/>
    <mergeCell ref="S24:AG24"/>
    <mergeCell ref="AH24:CD24"/>
    <mergeCell ref="B25:D25"/>
    <mergeCell ref="E25:L25"/>
    <mergeCell ref="M25:R25"/>
    <mergeCell ref="S25:AG25"/>
    <mergeCell ref="AH25:CD25"/>
    <mergeCell ref="B26:D26"/>
    <mergeCell ref="E26:L26"/>
    <mergeCell ref="M26:R26"/>
    <mergeCell ref="S26:AG26"/>
    <mergeCell ref="AH26:CD26"/>
    <mergeCell ref="B27:D27"/>
    <mergeCell ref="E27:L27"/>
    <mergeCell ref="M27:R27"/>
    <mergeCell ref="S27:AG27"/>
    <mergeCell ref="AH27:CD27"/>
    <mergeCell ref="B28:D28"/>
    <mergeCell ref="E28:L28"/>
    <mergeCell ref="M28:R28"/>
    <mergeCell ref="S28:AG28"/>
    <mergeCell ref="AH28:CD28"/>
    <mergeCell ref="B29:D29"/>
    <mergeCell ref="E29:L29"/>
    <mergeCell ref="M29:R29"/>
    <mergeCell ref="S29:AG29"/>
    <mergeCell ref="AH29:CD29"/>
    <mergeCell ref="B30:D30"/>
    <mergeCell ref="E30:L30"/>
    <mergeCell ref="M30:R30"/>
    <mergeCell ref="S30:AG30"/>
    <mergeCell ref="AH30:CD30"/>
    <mergeCell ref="B31:D31"/>
    <mergeCell ref="E31:L31"/>
    <mergeCell ref="M31:R31"/>
    <mergeCell ref="S31:AG31"/>
    <mergeCell ref="AH31:CD31"/>
    <mergeCell ref="B32:D32"/>
    <mergeCell ref="E32:L32"/>
    <mergeCell ref="M32:R32"/>
    <mergeCell ref="S32:AG32"/>
    <mergeCell ref="AH32:CD32"/>
    <mergeCell ref="B33:D33"/>
    <mergeCell ref="E33:L33"/>
    <mergeCell ref="M33:R33"/>
    <mergeCell ref="S33:AG33"/>
    <mergeCell ref="AH33:CD33"/>
    <mergeCell ref="B36:D36"/>
    <mergeCell ref="E36:L36"/>
    <mergeCell ref="M36:R36"/>
    <mergeCell ref="S36:AG36"/>
    <mergeCell ref="AH36:CD36"/>
    <mergeCell ref="B34:D34"/>
    <mergeCell ref="E34:L34"/>
    <mergeCell ref="M34:R34"/>
    <mergeCell ref="S34:AG34"/>
    <mergeCell ref="AH34:CD34"/>
    <mergeCell ref="B35:D35"/>
    <mergeCell ref="E35:L35"/>
    <mergeCell ref="M35:R35"/>
    <mergeCell ref="S35:AG35"/>
    <mergeCell ref="AH35:CD35"/>
  </mergeCells>
  <phoneticPr fontId="15"/>
  <pageMargins left="0.39370078740157483" right="0.39370078740157483" top="0.59055118110236227" bottom="0.39370078740157483" header="0.31496062992125984" footer="0.19685039370078741"/>
  <pageSetup paperSize="9" scale="72" fitToHeight="0" orientation="landscape" verticalDpi="98" r:id="rId1"/>
  <headerFooter alignWithMargins="0">
    <oddHeader>&amp;R&amp;G</oddHead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493B-DB71-46C7-B825-3DEEF7E30210}">
  <sheetPr>
    <tabColor rgb="FFFFFF00"/>
    <pageSetUpPr fitToPage="1"/>
  </sheetPr>
  <dimension ref="A1:AK581"/>
  <sheetViews>
    <sheetView showGridLines="0" view="pageBreakPreview" zoomScale="85" zoomScaleNormal="70" zoomScaleSheetLayoutView="85" workbookViewId="0">
      <pane ySplit="6" topLeftCell="A7" activePane="bottomLeft" state="frozen"/>
      <selection activeCell="A7" sqref="A7"/>
      <selection pane="bottomLeft" activeCell="A7" sqref="A7"/>
    </sheetView>
  </sheetViews>
  <sheetFormatPr defaultColWidth="9" defaultRowHeight="15.75"/>
  <cols>
    <col min="1" max="1" width="4.375" style="1" customWidth="1"/>
    <col min="2" max="2" width="48.75" style="1" bestFit="1" customWidth="1"/>
    <col min="3" max="3" width="25.75" style="1" bestFit="1" customWidth="1"/>
    <col min="4" max="4" width="22.75" style="1" bestFit="1" customWidth="1"/>
    <col min="5" max="5" width="29.625" style="1" bestFit="1" customWidth="1"/>
    <col min="6" max="6" width="5.875" style="1" customWidth="1"/>
    <col min="7" max="7" width="3.875" style="1" customWidth="1"/>
    <col min="8" max="8" width="9" style="1" customWidth="1"/>
    <col min="9" max="9" width="1.125" style="1" customWidth="1"/>
    <col min="10" max="10" width="9" style="1" customWidth="1"/>
    <col min="11" max="11" width="11.75" style="1" customWidth="1"/>
    <col min="12" max="12" width="9" style="1" customWidth="1"/>
    <col min="13" max="34" width="3.125" style="1" customWidth="1"/>
    <col min="35" max="35" width="9" style="1"/>
    <col min="36" max="36" width="18.25" style="1" bestFit="1" customWidth="1"/>
    <col min="37" max="37" width="14.375" style="1" bestFit="1" customWidth="1"/>
    <col min="38" max="16384" width="9" style="1"/>
  </cols>
  <sheetData>
    <row r="1" spans="1:37" ht="15.75" customHeight="1">
      <c r="A1" s="481"/>
      <c r="B1" s="481"/>
      <c r="C1" s="483"/>
      <c r="D1" s="483"/>
      <c r="E1" s="484"/>
      <c r="F1" s="484"/>
      <c r="G1" s="484"/>
      <c r="H1" s="484"/>
      <c r="I1" s="484"/>
      <c r="J1" s="484"/>
      <c r="K1" s="484"/>
      <c r="L1" s="484"/>
      <c r="M1" s="481"/>
      <c r="N1" s="481"/>
      <c r="O1" s="481"/>
      <c r="P1" s="481"/>
      <c r="Q1" s="481"/>
      <c r="R1" s="485"/>
      <c r="S1" s="480"/>
      <c r="T1" s="480"/>
      <c r="U1" s="480"/>
      <c r="V1" s="480"/>
      <c r="W1" s="480"/>
      <c r="X1" s="481"/>
      <c r="Y1" s="481"/>
      <c r="Z1" s="481"/>
      <c r="AA1" s="481"/>
      <c r="AB1" s="481"/>
      <c r="AC1" s="480"/>
      <c r="AD1" s="480"/>
      <c r="AE1" s="480"/>
      <c r="AF1" s="480"/>
      <c r="AG1" s="480"/>
      <c r="AH1" s="480"/>
    </row>
    <row r="2" spans="1:37" ht="15.75" customHeight="1">
      <c r="A2" s="32"/>
      <c r="B2" s="32"/>
      <c r="C2" s="33"/>
      <c r="D2" s="33"/>
      <c r="E2" s="484"/>
      <c r="F2" s="484"/>
      <c r="G2" s="484"/>
      <c r="H2" s="484"/>
      <c r="I2" s="484"/>
      <c r="J2" s="484"/>
      <c r="K2" s="484"/>
      <c r="L2" s="484"/>
      <c r="M2" s="32"/>
      <c r="N2" s="32"/>
      <c r="O2" s="32"/>
      <c r="P2" s="32"/>
      <c r="Q2" s="32"/>
      <c r="R2" s="34"/>
      <c r="S2" s="35"/>
      <c r="T2" s="35"/>
      <c r="U2" s="35"/>
      <c r="V2" s="35"/>
      <c r="W2" s="35"/>
      <c r="X2" s="32"/>
      <c r="Y2" s="32"/>
      <c r="Z2" s="32"/>
      <c r="AA2" s="32"/>
      <c r="AB2" s="32"/>
      <c r="AC2" s="35"/>
      <c r="AD2" s="35"/>
      <c r="AE2" s="35"/>
      <c r="AF2" s="35"/>
      <c r="AG2" s="35"/>
      <c r="AH2" s="35"/>
    </row>
    <row r="3" spans="1:37" ht="15.75" customHeight="1">
      <c r="A3" s="32"/>
      <c r="B3" s="32"/>
      <c r="C3" s="33"/>
      <c r="D3" s="33"/>
      <c r="E3" s="484"/>
      <c r="F3" s="484"/>
      <c r="G3" s="484"/>
      <c r="H3" s="484"/>
      <c r="I3" s="484"/>
      <c r="J3" s="484"/>
      <c r="K3" s="484"/>
      <c r="L3" s="484"/>
      <c r="M3" s="32"/>
      <c r="N3" s="32"/>
      <c r="O3" s="32"/>
      <c r="P3" s="32"/>
      <c r="Q3" s="32"/>
      <c r="R3" s="34"/>
      <c r="S3" s="35"/>
      <c r="T3" s="35"/>
      <c r="U3" s="35"/>
      <c r="V3" s="35"/>
      <c r="W3" s="35"/>
      <c r="X3" s="32"/>
      <c r="Y3" s="32"/>
      <c r="Z3" s="32"/>
      <c r="AA3" s="32"/>
      <c r="AB3" s="32"/>
      <c r="AC3" s="35"/>
      <c r="AD3" s="35"/>
      <c r="AE3" s="35"/>
      <c r="AF3" s="35"/>
      <c r="AG3" s="35"/>
      <c r="AH3" s="35"/>
    </row>
    <row r="4" spans="1:37" ht="15.75" customHeight="1">
      <c r="A4" s="481"/>
      <c r="B4" s="481"/>
      <c r="C4" s="35"/>
      <c r="E4" s="484"/>
      <c r="F4" s="484"/>
      <c r="G4" s="484"/>
      <c r="H4" s="484"/>
      <c r="I4" s="484"/>
      <c r="J4" s="484"/>
      <c r="K4" s="484"/>
      <c r="L4" s="484"/>
      <c r="M4" s="481"/>
      <c r="N4" s="481"/>
      <c r="O4" s="481"/>
      <c r="P4" s="481"/>
      <c r="Q4" s="481"/>
      <c r="R4" s="482"/>
      <c r="S4" s="480"/>
      <c r="T4" s="480"/>
      <c r="U4" s="480"/>
      <c r="V4" s="480"/>
      <c r="W4" s="480"/>
      <c r="X4" s="481"/>
      <c r="Y4" s="481"/>
      <c r="Z4" s="481"/>
      <c r="AA4" s="481"/>
      <c r="AB4" s="481"/>
      <c r="AC4" s="480"/>
      <c r="AD4" s="480"/>
      <c r="AE4" s="480"/>
      <c r="AF4" s="480"/>
      <c r="AG4" s="480"/>
      <c r="AH4" s="480"/>
    </row>
    <row r="5" spans="1:37" ht="5.25" customHeight="1"/>
    <row r="6" spans="1:37">
      <c r="A6" s="486" t="s">
        <v>20</v>
      </c>
      <c r="B6" s="487"/>
      <c r="C6" s="488" t="s">
        <v>45</v>
      </c>
      <c r="D6" s="489"/>
      <c r="E6" s="490" t="s">
        <v>21</v>
      </c>
      <c r="F6" s="490"/>
      <c r="G6" s="38" t="s">
        <v>46</v>
      </c>
      <c r="H6" s="39"/>
      <c r="I6" s="39"/>
      <c r="J6" s="39"/>
      <c r="K6" s="39"/>
      <c r="L6" s="39"/>
      <c r="M6" s="39"/>
      <c r="N6" s="39"/>
      <c r="O6" s="39"/>
      <c r="P6" s="39"/>
      <c r="Q6" s="39"/>
      <c r="R6" s="39"/>
      <c r="S6" s="39"/>
      <c r="T6" s="39"/>
      <c r="U6" s="39"/>
      <c r="V6" s="39"/>
      <c r="W6" s="39"/>
      <c r="X6" s="39"/>
      <c r="Y6" s="39"/>
      <c r="Z6" s="39"/>
      <c r="AA6" s="39"/>
      <c r="AB6" s="39"/>
      <c r="AC6" s="39"/>
      <c r="AD6" s="39"/>
      <c r="AE6" s="39"/>
      <c r="AF6" s="39"/>
      <c r="AG6" s="39"/>
      <c r="AH6" s="40"/>
    </row>
    <row r="7" spans="1:37" ht="5.25" customHeight="1"/>
    <row r="8" spans="1:37">
      <c r="A8" s="491" t="s">
        <v>22</v>
      </c>
      <c r="B8" s="491" t="s">
        <v>23</v>
      </c>
      <c r="C8" s="491"/>
      <c r="D8" s="491" t="s">
        <v>24</v>
      </c>
      <c r="E8" s="493" t="s">
        <v>25</v>
      </c>
      <c r="F8" s="491" t="s">
        <v>26</v>
      </c>
      <c r="G8" s="491"/>
      <c r="H8" s="491"/>
      <c r="I8" s="27"/>
      <c r="J8" s="504" t="s">
        <v>27</v>
      </c>
      <c r="K8" s="491" t="s">
        <v>28</v>
      </c>
      <c r="L8" s="491"/>
      <c r="M8" s="491"/>
      <c r="N8" s="491"/>
      <c r="O8" s="491"/>
      <c r="P8" s="495" t="s">
        <v>29</v>
      </c>
      <c r="Q8" s="495"/>
      <c r="R8" s="495"/>
      <c r="S8" s="495"/>
      <c r="T8" s="495"/>
      <c r="U8" s="495"/>
      <c r="V8" s="495"/>
      <c r="W8" s="495"/>
      <c r="X8" s="495"/>
      <c r="Y8" s="495"/>
      <c r="Z8" s="495"/>
      <c r="AA8" s="495"/>
      <c r="AB8" s="495" t="s">
        <v>30</v>
      </c>
      <c r="AC8" s="495"/>
      <c r="AD8" s="495"/>
      <c r="AE8" s="495"/>
      <c r="AF8" s="495"/>
      <c r="AG8" s="495"/>
      <c r="AH8" s="495"/>
    </row>
    <row r="9" spans="1:37" ht="16.5" thickBot="1">
      <c r="A9" s="492"/>
      <c r="B9" s="492"/>
      <c r="C9" s="492"/>
      <c r="D9" s="492"/>
      <c r="E9" s="494"/>
      <c r="F9" s="28" t="s">
        <v>31</v>
      </c>
      <c r="G9" s="29" t="s">
        <v>32</v>
      </c>
      <c r="H9" s="30" t="s">
        <v>33</v>
      </c>
      <c r="I9" s="31"/>
      <c r="J9" s="505"/>
      <c r="K9" s="28" t="s">
        <v>34</v>
      </c>
      <c r="L9" s="29" t="s">
        <v>35</v>
      </c>
      <c r="M9" s="497" t="s">
        <v>36</v>
      </c>
      <c r="N9" s="497"/>
      <c r="O9" s="498"/>
      <c r="P9" s="496"/>
      <c r="Q9" s="496"/>
      <c r="R9" s="496"/>
      <c r="S9" s="496"/>
      <c r="T9" s="496"/>
      <c r="U9" s="496"/>
      <c r="V9" s="496"/>
      <c r="W9" s="496"/>
      <c r="X9" s="496"/>
      <c r="Y9" s="496"/>
      <c r="Z9" s="496"/>
      <c r="AA9" s="496"/>
      <c r="AB9" s="496"/>
      <c r="AC9" s="496"/>
      <c r="AD9" s="496"/>
      <c r="AE9" s="496"/>
      <c r="AF9" s="496"/>
      <c r="AG9" s="496"/>
      <c r="AH9" s="496"/>
    </row>
    <row r="10" spans="1:37" ht="16.5" thickTop="1">
      <c r="A10" s="2">
        <f>+IF(C10&lt;&gt;"",ROW()-9,"")</f>
        <v>1</v>
      </c>
      <c r="B10" s="17" t="s">
        <v>227</v>
      </c>
      <c r="C10" s="17" t="s">
        <v>219</v>
      </c>
      <c r="D10" s="4" t="b">
        <v>0</v>
      </c>
      <c r="E10" s="3">
        <v>1</v>
      </c>
      <c r="F10" s="3">
        <v>7</v>
      </c>
      <c r="G10" s="3">
        <v>0</v>
      </c>
      <c r="H10" s="3">
        <v>0</v>
      </c>
      <c r="I10" s="2"/>
      <c r="J10" s="5" t="s">
        <v>130</v>
      </c>
      <c r="K10" s="3"/>
      <c r="L10" s="3"/>
      <c r="M10" s="503"/>
      <c r="N10" s="503"/>
      <c r="O10" s="503"/>
      <c r="P10" s="6"/>
      <c r="Q10" s="6"/>
      <c r="R10" s="6"/>
      <c r="S10" s="6"/>
      <c r="T10" s="6"/>
      <c r="U10" s="6"/>
      <c r="V10" s="6"/>
      <c r="W10" s="6"/>
      <c r="X10" s="6"/>
      <c r="Y10" s="6"/>
      <c r="Z10" s="6"/>
      <c r="AA10" s="6"/>
      <c r="AB10" s="7"/>
      <c r="AC10" s="6"/>
      <c r="AD10" s="6"/>
      <c r="AE10" s="6"/>
      <c r="AF10" s="6"/>
      <c r="AG10" s="6"/>
      <c r="AH10" s="5"/>
      <c r="AJ10" s="1" t="s">
        <v>581</v>
      </c>
      <c r="AK10" s="1" t="s">
        <v>582</v>
      </c>
    </row>
    <row r="11" spans="1:37">
      <c r="A11" s="3">
        <f t="shared" ref="A11:A13" si="0">+IF(C11&lt;&gt;"",ROW()-9,"")</f>
        <v>2</v>
      </c>
      <c r="B11" s="3" t="s">
        <v>228</v>
      </c>
      <c r="C11" s="3" t="s">
        <v>108</v>
      </c>
      <c r="D11" s="4" t="b">
        <v>0</v>
      </c>
      <c r="E11" s="3">
        <v>0</v>
      </c>
      <c r="F11" s="3">
        <v>7</v>
      </c>
      <c r="G11" s="3">
        <v>0</v>
      </c>
      <c r="H11" s="3">
        <f t="shared" ref="H11:H13" si="1">IF(C11="","",0)</f>
        <v>0</v>
      </c>
      <c r="I11" s="2"/>
      <c r="J11" s="5" t="s">
        <v>129</v>
      </c>
      <c r="K11" s="3"/>
      <c r="L11" s="3"/>
      <c r="M11" s="503"/>
      <c r="N11" s="503"/>
      <c r="O11" s="503"/>
      <c r="P11" s="2"/>
      <c r="Q11" s="6"/>
      <c r="R11" s="6"/>
      <c r="S11" s="6"/>
      <c r="T11" s="6"/>
      <c r="U11" s="6"/>
      <c r="V11" s="6"/>
      <c r="W11" s="6"/>
      <c r="X11" s="6"/>
      <c r="Y11" s="6"/>
      <c r="Z11" s="6"/>
      <c r="AA11" s="6"/>
      <c r="AB11" s="2"/>
      <c r="AC11" s="6"/>
      <c r="AD11" s="6"/>
      <c r="AE11" s="6"/>
      <c r="AF11" s="6"/>
      <c r="AG11" s="6"/>
      <c r="AH11" s="5"/>
      <c r="AJ11" s="1" t="s">
        <v>581</v>
      </c>
      <c r="AK11" s="1" t="s">
        <v>583</v>
      </c>
    </row>
    <row r="12" spans="1:37">
      <c r="A12" s="3">
        <f t="shared" si="0"/>
        <v>3</v>
      </c>
      <c r="B12" s="3" t="s">
        <v>229</v>
      </c>
      <c r="C12" s="3" t="s">
        <v>109</v>
      </c>
      <c r="D12" s="4" t="b">
        <v>1</v>
      </c>
      <c r="E12" s="3">
        <v>0</v>
      </c>
      <c r="F12" s="77">
        <v>100</v>
      </c>
      <c r="G12" s="3">
        <v>0</v>
      </c>
      <c r="H12" s="3">
        <f t="shared" si="1"/>
        <v>0</v>
      </c>
      <c r="I12" s="2"/>
      <c r="J12" s="5" t="s">
        <v>132</v>
      </c>
      <c r="K12" s="3"/>
      <c r="L12" s="3"/>
      <c r="M12" s="503"/>
      <c r="N12" s="503"/>
      <c r="O12" s="503"/>
      <c r="P12" s="2"/>
      <c r="Q12" s="6"/>
      <c r="R12" s="6"/>
      <c r="S12" s="6"/>
      <c r="T12" s="6"/>
      <c r="U12" s="6"/>
      <c r="V12" s="6"/>
      <c r="W12" s="6"/>
      <c r="X12" s="6"/>
      <c r="Y12" s="6"/>
      <c r="Z12" s="6"/>
      <c r="AA12" s="6"/>
      <c r="AB12" s="2"/>
      <c r="AC12" s="6"/>
      <c r="AD12" s="6"/>
      <c r="AE12" s="6"/>
      <c r="AF12" s="6"/>
      <c r="AG12" s="6"/>
      <c r="AH12" s="5"/>
      <c r="AJ12" s="1" t="s">
        <v>584</v>
      </c>
      <c r="AK12" s="1" t="s">
        <v>585</v>
      </c>
    </row>
    <row r="13" spans="1:37">
      <c r="A13" s="3">
        <f t="shared" si="0"/>
        <v>4</v>
      </c>
      <c r="B13" s="3" t="s">
        <v>230</v>
      </c>
      <c r="C13" s="3" t="s">
        <v>110</v>
      </c>
      <c r="D13" s="4" t="b">
        <v>1</v>
      </c>
      <c r="E13" s="3">
        <v>0</v>
      </c>
      <c r="F13" s="77">
        <v>8</v>
      </c>
      <c r="G13" s="3">
        <v>0</v>
      </c>
      <c r="H13" s="3">
        <f t="shared" si="1"/>
        <v>0</v>
      </c>
      <c r="I13" s="2"/>
      <c r="J13" s="5" t="s">
        <v>130</v>
      </c>
      <c r="K13" s="3"/>
      <c r="L13" s="3"/>
      <c r="M13" s="503"/>
      <c r="N13" s="503"/>
      <c r="O13" s="503"/>
      <c r="P13" s="2"/>
      <c r="Q13" s="6"/>
      <c r="R13" s="6"/>
      <c r="S13" s="6"/>
      <c r="T13" s="6"/>
      <c r="U13" s="6"/>
      <c r="V13" s="6"/>
      <c r="W13" s="6"/>
      <c r="X13" s="6"/>
      <c r="Y13" s="6"/>
      <c r="Z13" s="6"/>
      <c r="AA13" s="6"/>
      <c r="AB13" s="2"/>
      <c r="AC13" s="6"/>
      <c r="AD13" s="6"/>
      <c r="AE13" s="6"/>
      <c r="AF13" s="6"/>
      <c r="AG13" s="6"/>
      <c r="AH13" s="5"/>
      <c r="AJ13" s="1" t="s">
        <v>581</v>
      </c>
      <c r="AK13" s="1" t="s">
        <v>572</v>
      </c>
    </row>
    <row r="14" spans="1:37">
      <c r="A14" s="3">
        <f t="shared" ref="A14:A16" si="2">+IF(C14&lt;&gt;"",ROW()-9,"")</f>
        <v>5</v>
      </c>
      <c r="B14" s="3" t="s">
        <v>231</v>
      </c>
      <c r="C14" s="3" t="s">
        <v>111</v>
      </c>
      <c r="D14" s="4" t="b">
        <v>1</v>
      </c>
      <c r="E14" s="3">
        <v>0</v>
      </c>
      <c r="F14" s="77">
        <v>60</v>
      </c>
      <c r="G14" s="3">
        <v>0</v>
      </c>
      <c r="H14" s="3">
        <f t="shared" ref="H14:H16" si="3">IF(C14="","",0)</f>
        <v>0</v>
      </c>
      <c r="I14" s="2"/>
      <c r="J14" s="5" t="s">
        <v>132</v>
      </c>
      <c r="K14" s="3"/>
      <c r="L14" s="3"/>
      <c r="M14" s="503"/>
      <c r="N14" s="503"/>
      <c r="O14" s="503"/>
      <c r="P14" s="2"/>
      <c r="Q14" s="6"/>
      <c r="R14" s="6"/>
      <c r="S14" s="6"/>
      <c r="T14" s="6"/>
      <c r="U14" s="6"/>
      <c r="V14" s="6"/>
      <c r="W14" s="6"/>
      <c r="X14" s="6"/>
      <c r="Y14" s="6"/>
      <c r="Z14" s="6"/>
      <c r="AA14" s="6"/>
      <c r="AB14" s="2"/>
      <c r="AC14" s="6"/>
      <c r="AD14" s="6"/>
      <c r="AE14" s="6"/>
      <c r="AF14" s="6"/>
      <c r="AG14" s="6"/>
      <c r="AH14" s="5"/>
      <c r="AJ14" s="1" t="s">
        <v>586</v>
      </c>
      <c r="AK14" s="1" t="s">
        <v>587</v>
      </c>
    </row>
    <row r="15" spans="1:37">
      <c r="A15" s="3">
        <f t="shared" si="2"/>
        <v>6</v>
      </c>
      <c r="B15" s="3" t="s">
        <v>469</v>
      </c>
      <c r="C15" s="3" t="s">
        <v>112</v>
      </c>
      <c r="D15" s="4" t="b">
        <v>1</v>
      </c>
      <c r="E15" s="3">
        <v>0</v>
      </c>
      <c r="F15" s="77">
        <v>100</v>
      </c>
      <c r="G15" s="3">
        <v>0</v>
      </c>
      <c r="H15" s="3">
        <f t="shared" si="3"/>
        <v>0</v>
      </c>
      <c r="I15" s="2"/>
      <c r="J15" s="5" t="s">
        <v>132</v>
      </c>
      <c r="K15" s="3"/>
      <c r="L15" s="3"/>
      <c r="M15" s="503"/>
      <c r="N15" s="503"/>
      <c r="O15" s="503"/>
      <c r="P15" s="2"/>
      <c r="Q15" s="6"/>
      <c r="R15" s="6"/>
      <c r="S15" s="6"/>
      <c r="T15" s="6"/>
      <c r="U15" s="6"/>
      <c r="V15" s="6"/>
      <c r="W15" s="6"/>
      <c r="X15" s="6"/>
      <c r="Y15" s="6"/>
      <c r="Z15" s="6"/>
      <c r="AA15" s="6"/>
      <c r="AB15" s="2"/>
      <c r="AC15" s="6"/>
      <c r="AD15" s="6"/>
      <c r="AE15" s="6"/>
      <c r="AF15" s="6"/>
      <c r="AG15" s="6"/>
      <c r="AH15" s="5"/>
      <c r="AJ15" s="1" t="s">
        <v>584</v>
      </c>
      <c r="AK15" s="1" t="s">
        <v>585</v>
      </c>
    </row>
    <row r="16" spans="1:37">
      <c r="A16" s="3">
        <f t="shared" si="2"/>
        <v>7</v>
      </c>
      <c r="B16" s="3" t="s">
        <v>471</v>
      </c>
      <c r="C16" s="3" t="s">
        <v>113</v>
      </c>
      <c r="D16" s="4" t="b">
        <v>1</v>
      </c>
      <c r="E16" s="3">
        <v>0</v>
      </c>
      <c r="F16" s="77">
        <v>100</v>
      </c>
      <c r="G16" s="3">
        <v>0</v>
      </c>
      <c r="H16" s="3">
        <f t="shared" si="3"/>
        <v>0</v>
      </c>
      <c r="I16" s="2"/>
      <c r="J16" s="5" t="s">
        <v>131</v>
      </c>
      <c r="K16" s="3"/>
      <c r="L16" s="3"/>
      <c r="M16" s="503"/>
      <c r="N16" s="503"/>
      <c r="O16" s="503"/>
      <c r="P16" s="2"/>
      <c r="Q16" s="6"/>
      <c r="R16" s="6"/>
      <c r="S16" s="6"/>
      <c r="T16" s="6"/>
      <c r="U16" s="6"/>
      <c r="V16" s="6"/>
      <c r="W16" s="6"/>
      <c r="X16" s="6"/>
      <c r="Y16" s="6"/>
      <c r="Z16" s="6"/>
      <c r="AA16" s="6"/>
      <c r="AB16" s="2"/>
      <c r="AC16" s="6"/>
      <c r="AD16" s="6"/>
      <c r="AE16" s="6"/>
      <c r="AF16" s="6"/>
      <c r="AG16" s="6"/>
      <c r="AH16" s="5"/>
      <c r="AJ16" s="1" t="s">
        <v>584</v>
      </c>
      <c r="AK16" s="1" t="s">
        <v>585</v>
      </c>
    </row>
    <row r="17" spans="1:37">
      <c r="A17" s="3">
        <f t="shared" ref="A17:A25" si="4">+IF(C17&lt;&gt;"",ROW()-9,"")</f>
        <v>8</v>
      </c>
      <c r="B17" s="3" t="s">
        <v>473</v>
      </c>
      <c r="C17" s="3" t="s">
        <v>114</v>
      </c>
      <c r="D17" s="4" t="b">
        <v>1</v>
      </c>
      <c r="E17" s="3">
        <v>0</v>
      </c>
      <c r="F17" s="77">
        <v>100</v>
      </c>
      <c r="G17" s="3">
        <v>0</v>
      </c>
      <c r="H17" s="3">
        <f t="shared" ref="H17:H25" si="5">IF(C17="","",0)</f>
        <v>0</v>
      </c>
      <c r="I17" s="2"/>
      <c r="J17" s="5" t="s">
        <v>131</v>
      </c>
      <c r="K17" s="3"/>
      <c r="L17" s="3"/>
      <c r="M17" s="503"/>
      <c r="N17" s="503"/>
      <c r="O17" s="503"/>
      <c r="P17" s="2"/>
      <c r="Q17" s="6"/>
      <c r="R17" s="6"/>
      <c r="S17" s="6"/>
      <c r="T17" s="6"/>
      <c r="U17" s="6"/>
      <c r="V17" s="6"/>
      <c r="W17" s="6"/>
      <c r="X17" s="6"/>
      <c r="Y17" s="6"/>
      <c r="Z17" s="6"/>
      <c r="AA17" s="6"/>
      <c r="AB17" s="2"/>
      <c r="AC17" s="6"/>
      <c r="AD17" s="6"/>
      <c r="AE17" s="6"/>
      <c r="AF17" s="6"/>
      <c r="AG17" s="6"/>
      <c r="AH17" s="5"/>
      <c r="AJ17" s="1" t="s">
        <v>584</v>
      </c>
      <c r="AK17" s="1" t="s">
        <v>585</v>
      </c>
    </row>
    <row r="18" spans="1:37" ht="47.25">
      <c r="A18" s="3">
        <f t="shared" si="4"/>
        <v>9</v>
      </c>
      <c r="B18" s="3" t="s">
        <v>232</v>
      </c>
      <c r="C18" s="3" t="s">
        <v>115</v>
      </c>
      <c r="D18" s="4" t="b">
        <v>1</v>
      </c>
      <c r="E18" s="3">
        <v>0</v>
      </c>
      <c r="F18" s="77">
        <v>120</v>
      </c>
      <c r="G18" s="3">
        <v>0</v>
      </c>
      <c r="H18" s="3">
        <f t="shared" si="5"/>
        <v>0</v>
      </c>
      <c r="I18" s="2"/>
      <c r="J18" s="5" t="s">
        <v>131</v>
      </c>
      <c r="K18" s="3"/>
      <c r="L18" s="3"/>
      <c r="M18" s="503"/>
      <c r="N18" s="503"/>
      <c r="O18" s="503"/>
      <c r="P18" s="509" t="s">
        <v>1110</v>
      </c>
      <c r="Q18" s="510"/>
      <c r="R18" s="510"/>
      <c r="S18" s="510"/>
      <c r="T18" s="510"/>
      <c r="U18" s="510"/>
      <c r="V18" s="510"/>
      <c r="W18" s="510"/>
      <c r="X18" s="510"/>
      <c r="Y18" s="510"/>
      <c r="Z18" s="510"/>
      <c r="AA18" s="511"/>
      <c r="AB18" s="2"/>
      <c r="AC18" s="6"/>
      <c r="AD18" s="6"/>
      <c r="AE18" s="6"/>
      <c r="AF18" s="6"/>
      <c r="AG18" s="6"/>
      <c r="AH18" s="5"/>
      <c r="AJ18" s="89" t="s">
        <v>589</v>
      </c>
      <c r="AK18" s="89" t="s">
        <v>590</v>
      </c>
    </row>
    <row r="19" spans="1:37">
      <c r="A19" s="3">
        <f t="shared" si="4"/>
        <v>10</v>
      </c>
      <c r="B19" s="3" t="s">
        <v>233</v>
      </c>
      <c r="C19" s="3" t="s">
        <v>116</v>
      </c>
      <c r="D19" s="4" t="b">
        <v>1</v>
      </c>
      <c r="E19" s="3">
        <v>0</v>
      </c>
      <c r="F19" s="77">
        <v>20</v>
      </c>
      <c r="G19" s="3">
        <v>0</v>
      </c>
      <c r="H19" s="3">
        <f t="shared" si="5"/>
        <v>0</v>
      </c>
      <c r="I19" s="2"/>
      <c r="J19" s="5" t="s">
        <v>131</v>
      </c>
      <c r="K19" s="3"/>
      <c r="L19" s="3"/>
      <c r="M19" s="503"/>
      <c r="N19" s="503"/>
      <c r="O19" s="503"/>
      <c r="P19" s="509" t="s">
        <v>1115</v>
      </c>
      <c r="Q19" s="510"/>
      <c r="R19" s="510"/>
      <c r="S19" s="510"/>
      <c r="T19" s="510"/>
      <c r="U19" s="510"/>
      <c r="V19" s="510"/>
      <c r="W19" s="510"/>
      <c r="X19" s="510"/>
      <c r="Y19" s="510"/>
      <c r="Z19" s="510"/>
      <c r="AA19" s="511"/>
      <c r="AB19" s="2"/>
      <c r="AC19" s="6"/>
      <c r="AD19" s="6"/>
      <c r="AE19" s="6"/>
      <c r="AF19" s="6"/>
      <c r="AG19" s="6"/>
      <c r="AH19" s="5"/>
      <c r="AJ19" s="1" t="s">
        <v>588</v>
      </c>
      <c r="AK19" s="1" t="s">
        <v>591</v>
      </c>
    </row>
    <row r="20" spans="1:37">
      <c r="A20" s="3">
        <f t="shared" si="4"/>
        <v>11</v>
      </c>
      <c r="B20" s="3" t="s">
        <v>234</v>
      </c>
      <c r="C20" s="3" t="s">
        <v>117</v>
      </c>
      <c r="D20" s="4" t="b">
        <v>1</v>
      </c>
      <c r="E20" s="3">
        <v>0</v>
      </c>
      <c r="F20" s="77">
        <v>15</v>
      </c>
      <c r="G20" s="3">
        <v>0</v>
      </c>
      <c r="H20" s="3">
        <f t="shared" si="5"/>
        <v>0</v>
      </c>
      <c r="I20" s="2"/>
      <c r="J20" s="5" t="s">
        <v>130</v>
      </c>
      <c r="K20" s="3"/>
      <c r="L20" s="3"/>
      <c r="M20" s="503"/>
      <c r="N20" s="503"/>
      <c r="O20" s="503"/>
      <c r="P20" s="509" t="s">
        <v>1117</v>
      </c>
      <c r="Q20" s="510"/>
      <c r="R20" s="510"/>
      <c r="S20" s="510"/>
      <c r="T20" s="510"/>
      <c r="U20" s="510"/>
      <c r="V20" s="510"/>
      <c r="W20" s="510"/>
      <c r="X20" s="510"/>
      <c r="Y20" s="510"/>
      <c r="Z20" s="510"/>
      <c r="AA20" s="511"/>
      <c r="AB20" s="2"/>
      <c r="AC20" s="6"/>
      <c r="AD20" s="6"/>
      <c r="AE20" s="6"/>
      <c r="AF20" s="6"/>
      <c r="AG20" s="6"/>
      <c r="AH20" s="5"/>
      <c r="AJ20" s="1" t="s">
        <v>588</v>
      </c>
      <c r="AK20" s="1" t="s">
        <v>592</v>
      </c>
    </row>
    <row r="21" spans="1:37">
      <c r="A21" s="3">
        <f t="shared" si="4"/>
        <v>12</v>
      </c>
      <c r="B21" s="3" t="s">
        <v>235</v>
      </c>
      <c r="C21" s="3" t="s">
        <v>118</v>
      </c>
      <c r="D21" s="4" t="b">
        <v>1</v>
      </c>
      <c r="E21" s="3">
        <v>0</v>
      </c>
      <c r="F21" s="3">
        <v>9</v>
      </c>
      <c r="G21" s="3">
        <v>0</v>
      </c>
      <c r="H21" s="3">
        <f t="shared" si="5"/>
        <v>0</v>
      </c>
      <c r="I21" s="2"/>
      <c r="J21" s="5" t="s">
        <v>129</v>
      </c>
      <c r="K21" s="3"/>
      <c r="L21" s="3"/>
      <c r="M21" s="503"/>
      <c r="N21" s="503"/>
      <c r="O21" s="503"/>
      <c r="P21" s="509" t="s">
        <v>1119</v>
      </c>
      <c r="Q21" s="510"/>
      <c r="R21" s="510"/>
      <c r="S21" s="510"/>
      <c r="T21" s="510"/>
      <c r="U21" s="510"/>
      <c r="V21" s="510"/>
      <c r="W21" s="510"/>
      <c r="X21" s="510"/>
      <c r="Y21" s="510"/>
      <c r="Z21" s="510"/>
      <c r="AA21" s="511"/>
      <c r="AB21" s="2"/>
      <c r="AC21" s="6"/>
      <c r="AD21" s="6"/>
      <c r="AE21" s="6"/>
      <c r="AF21" s="6"/>
      <c r="AG21" s="6"/>
      <c r="AH21" s="5"/>
      <c r="AJ21" s="1" t="s">
        <v>588</v>
      </c>
      <c r="AK21" s="1" t="s">
        <v>593</v>
      </c>
    </row>
    <row r="22" spans="1:37">
      <c r="A22" s="3">
        <f t="shared" si="4"/>
        <v>13</v>
      </c>
      <c r="B22" s="3" t="s">
        <v>236</v>
      </c>
      <c r="C22" s="3" t="s">
        <v>119</v>
      </c>
      <c r="D22" s="4" t="b">
        <v>1</v>
      </c>
      <c r="E22" s="3">
        <v>0</v>
      </c>
      <c r="F22" s="3">
        <v>0</v>
      </c>
      <c r="G22" s="3">
        <v>0</v>
      </c>
      <c r="H22" s="3">
        <f t="shared" si="5"/>
        <v>0</v>
      </c>
      <c r="I22" s="2"/>
      <c r="J22" s="5" t="s">
        <v>134</v>
      </c>
      <c r="K22" s="3"/>
      <c r="L22" s="3"/>
      <c r="M22" s="503"/>
      <c r="N22" s="503"/>
      <c r="O22" s="503"/>
      <c r="P22" s="298"/>
      <c r="Q22" s="299"/>
      <c r="R22" s="299"/>
      <c r="S22" s="299"/>
      <c r="T22" s="299"/>
      <c r="U22" s="299"/>
      <c r="V22" s="299"/>
      <c r="W22" s="299"/>
      <c r="X22" s="299"/>
      <c r="Y22" s="299"/>
      <c r="Z22" s="299"/>
      <c r="AA22" s="299"/>
      <c r="AB22" s="2"/>
      <c r="AC22" s="6"/>
      <c r="AD22" s="6"/>
      <c r="AE22" s="6"/>
      <c r="AF22" s="6"/>
      <c r="AG22" s="6"/>
      <c r="AH22" s="5"/>
      <c r="AJ22" s="1" t="s">
        <v>594</v>
      </c>
      <c r="AK22" s="1" t="s">
        <v>595</v>
      </c>
    </row>
    <row r="23" spans="1:37">
      <c r="A23" s="3">
        <f t="shared" si="4"/>
        <v>14</v>
      </c>
      <c r="B23" s="3" t="s">
        <v>237</v>
      </c>
      <c r="C23" s="3" t="s">
        <v>120</v>
      </c>
      <c r="D23" s="4" t="b">
        <v>1</v>
      </c>
      <c r="E23" s="3">
        <v>0</v>
      </c>
      <c r="F23" s="3">
        <v>0</v>
      </c>
      <c r="G23" s="3">
        <v>0</v>
      </c>
      <c r="H23" s="3">
        <f t="shared" si="5"/>
        <v>0</v>
      </c>
      <c r="I23" s="2"/>
      <c r="J23" s="5" t="s">
        <v>133</v>
      </c>
      <c r="K23" s="3"/>
      <c r="L23" s="3"/>
      <c r="M23" s="503"/>
      <c r="N23" s="503"/>
      <c r="O23" s="503"/>
      <c r="P23" s="298"/>
      <c r="Q23" s="299"/>
      <c r="R23" s="299"/>
      <c r="S23" s="299"/>
      <c r="T23" s="299"/>
      <c r="U23" s="299"/>
      <c r="V23" s="299"/>
      <c r="W23" s="299"/>
      <c r="X23" s="299"/>
      <c r="Y23" s="299"/>
      <c r="Z23" s="299"/>
      <c r="AA23" s="299"/>
      <c r="AB23" s="2"/>
      <c r="AC23" s="6"/>
      <c r="AD23" s="6"/>
      <c r="AE23" s="6"/>
      <c r="AF23" s="6"/>
      <c r="AG23" s="6"/>
      <c r="AH23" s="5"/>
      <c r="AJ23" s="1" t="s">
        <v>581</v>
      </c>
      <c r="AK23" s="1" t="s">
        <v>596</v>
      </c>
    </row>
    <row r="24" spans="1:37">
      <c r="A24" s="3">
        <f t="shared" si="4"/>
        <v>15</v>
      </c>
      <c r="B24" s="3" t="s">
        <v>238</v>
      </c>
      <c r="C24" s="3" t="s">
        <v>121</v>
      </c>
      <c r="D24" s="4" t="b">
        <v>1</v>
      </c>
      <c r="E24" s="3">
        <v>0</v>
      </c>
      <c r="F24" s="3">
        <v>0</v>
      </c>
      <c r="G24" s="3">
        <v>0</v>
      </c>
      <c r="H24" s="3">
        <f t="shared" si="5"/>
        <v>0</v>
      </c>
      <c r="I24" s="2"/>
      <c r="J24" s="5" t="s">
        <v>133</v>
      </c>
      <c r="K24" s="3"/>
      <c r="L24" s="3"/>
      <c r="M24" s="503"/>
      <c r="N24" s="503"/>
      <c r="O24" s="503"/>
      <c r="P24" s="298"/>
      <c r="Q24" s="299"/>
      <c r="R24" s="299"/>
      <c r="S24" s="299"/>
      <c r="T24" s="299"/>
      <c r="U24" s="299"/>
      <c r="V24" s="299"/>
      <c r="W24" s="299"/>
      <c r="X24" s="299"/>
      <c r="Y24" s="299"/>
      <c r="Z24" s="299"/>
      <c r="AA24" s="299"/>
      <c r="AB24" s="2"/>
      <c r="AC24" s="6"/>
      <c r="AD24" s="6"/>
      <c r="AE24" s="6"/>
      <c r="AF24" s="6"/>
      <c r="AG24" s="6"/>
      <c r="AH24" s="5"/>
      <c r="AJ24" s="1" t="s">
        <v>581</v>
      </c>
      <c r="AK24" s="1" t="s">
        <v>597</v>
      </c>
    </row>
    <row r="25" spans="1:37">
      <c r="A25" s="3">
        <f t="shared" si="4"/>
        <v>16</v>
      </c>
      <c r="B25" s="3" t="s">
        <v>239</v>
      </c>
      <c r="C25" s="3" t="s">
        <v>122</v>
      </c>
      <c r="D25" s="4" t="b">
        <v>1</v>
      </c>
      <c r="E25" s="3">
        <v>0</v>
      </c>
      <c r="F25" s="3">
        <v>0</v>
      </c>
      <c r="G25" s="3">
        <v>0</v>
      </c>
      <c r="H25" s="3">
        <f t="shared" si="5"/>
        <v>0</v>
      </c>
      <c r="I25" s="2"/>
      <c r="J25" s="5" t="s">
        <v>133</v>
      </c>
      <c r="K25" s="3"/>
      <c r="L25" s="3"/>
      <c r="M25" s="503"/>
      <c r="N25" s="503"/>
      <c r="O25" s="503"/>
      <c r="P25" s="298"/>
      <c r="Q25" s="299"/>
      <c r="R25" s="299"/>
      <c r="S25" s="299"/>
      <c r="T25" s="299"/>
      <c r="U25" s="299"/>
      <c r="V25" s="299"/>
      <c r="W25" s="299"/>
      <c r="X25" s="299"/>
      <c r="Y25" s="299"/>
      <c r="Z25" s="299"/>
      <c r="AA25" s="299"/>
      <c r="AB25" s="2"/>
      <c r="AC25" s="6"/>
      <c r="AD25" s="6"/>
      <c r="AE25" s="6"/>
      <c r="AF25" s="6"/>
      <c r="AG25" s="6"/>
      <c r="AH25" s="5"/>
      <c r="AJ25" s="1" t="s">
        <v>581</v>
      </c>
      <c r="AK25" s="1" t="s">
        <v>598</v>
      </c>
    </row>
    <row r="26" spans="1:37">
      <c r="A26" s="3">
        <f t="shared" ref="A26:A29" si="6">+IF(C26&lt;&gt;"",ROW()-9,"")</f>
        <v>17</v>
      </c>
      <c r="B26" s="3" t="s">
        <v>475</v>
      </c>
      <c r="C26" s="76" t="s">
        <v>123</v>
      </c>
      <c r="D26" s="4" t="b">
        <v>1</v>
      </c>
      <c r="E26" s="3">
        <v>0</v>
      </c>
      <c r="F26" s="3">
        <v>100</v>
      </c>
      <c r="G26" s="3">
        <v>0</v>
      </c>
      <c r="H26" s="3">
        <f t="shared" ref="H26:H29" si="7">IF(C26="","",0)</f>
        <v>0</v>
      </c>
      <c r="I26" s="2"/>
      <c r="J26" s="5" t="s">
        <v>131</v>
      </c>
      <c r="K26" s="3"/>
      <c r="L26" s="3"/>
      <c r="M26" s="503"/>
      <c r="N26" s="503"/>
      <c r="O26" s="503"/>
      <c r="P26" s="509" t="s">
        <v>1126</v>
      </c>
      <c r="Q26" s="510"/>
      <c r="R26" s="510"/>
      <c r="S26" s="510"/>
      <c r="T26" s="510"/>
      <c r="U26" s="510"/>
      <c r="V26" s="510"/>
      <c r="W26" s="510"/>
      <c r="X26" s="510"/>
      <c r="Y26" s="510"/>
      <c r="Z26" s="510"/>
      <c r="AA26" s="511"/>
      <c r="AB26" s="2"/>
      <c r="AC26" s="6"/>
      <c r="AD26" s="6"/>
      <c r="AE26" s="6"/>
      <c r="AF26" s="6"/>
      <c r="AG26" s="6"/>
      <c r="AH26" s="5"/>
      <c r="AJ26" s="1" t="s">
        <v>584</v>
      </c>
      <c r="AK26" s="1" t="s">
        <v>585</v>
      </c>
    </row>
    <row r="27" spans="1:37">
      <c r="A27" s="3">
        <f t="shared" si="6"/>
        <v>18</v>
      </c>
      <c r="B27" s="3" t="s">
        <v>477</v>
      </c>
      <c r="C27" s="76" t="s">
        <v>124</v>
      </c>
      <c r="D27" s="4" t="b">
        <v>1</v>
      </c>
      <c r="E27" s="3">
        <v>0</v>
      </c>
      <c r="F27" s="3">
        <v>100</v>
      </c>
      <c r="G27" s="3">
        <v>0</v>
      </c>
      <c r="H27" s="3">
        <f t="shared" si="7"/>
        <v>0</v>
      </c>
      <c r="I27" s="2"/>
      <c r="J27" s="5" t="s">
        <v>131</v>
      </c>
      <c r="K27" s="3"/>
      <c r="L27" s="3"/>
      <c r="M27" s="503"/>
      <c r="N27" s="503"/>
      <c r="O27" s="503"/>
      <c r="P27" s="509" t="s">
        <v>1128</v>
      </c>
      <c r="Q27" s="510"/>
      <c r="R27" s="510"/>
      <c r="S27" s="510"/>
      <c r="T27" s="510"/>
      <c r="U27" s="510"/>
      <c r="V27" s="510"/>
      <c r="W27" s="510"/>
      <c r="X27" s="510"/>
      <c r="Y27" s="510"/>
      <c r="Z27" s="510"/>
      <c r="AA27" s="511"/>
      <c r="AB27" s="2"/>
      <c r="AC27" s="6"/>
      <c r="AD27" s="6"/>
      <c r="AE27" s="6"/>
      <c r="AF27" s="6"/>
      <c r="AG27" s="6"/>
      <c r="AH27" s="5"/>
      <c r="AJ27" s="1" t="s">
        <v>584</v>
      </c>
      <c r="AK27" s="1" t="s">
        <v>585</v>
      </c>
    </row>
    <row r="28" spans="1:37">
      <c r="A28" s="3">
        <f t="shared" si="6"/>
        <v>19</v>
      </c>
      <c r="B28" s="3" t="s">
        <v>240</v>
      </c>
      <c r="C28" s="3" t="s">
        <v>125</v>
      </c>
      <c r="D28" s="4" t="b">
        <v>1</v>
      </c>
      <c r="E28" s="3">
        <v>0</v>
      </c>
      <c r="F28" s="3">
        <v>80</v>
      </c>
      <c r="G28" s="3">
        <v>0</v>
      </c>
      <c r="H28" s="3">
        <f t="shared" si="7"/>
        <v>0</v>
      </c>
      <c r="I28" s="2"/>
      <c r="J28" s="5" t="s">
        <v>131</v>
      </c>
      <c r="K28" s="3"/>
      <c r="L28" s="3"/>
      <c r="M28" s="503"/>
      <c r="N28" s="503"/>
      <c r="O28" s="503"/>
      <c r="P28" s="214"/>
      <c r="Q28" s="219"/>
      <c r="R28" s="219"/>
      <c r="S28" s="219"/>
      <c r="T28" s="219"/>
      <c r="U28" s="219"/>
      <c r="V28" s="219"/>
      <c r="W28" s="219"/>
      <c r="X28" s="219"/>
      <c r="Y28" s="219"/>
      <c r="Z28" s="219"/>
      <c r="AA28" s="219"/>
      <c r="AB28" s="2"/>
      <c r="AC28" s="6"/>
      <c r="AD28" s="6"/>
      <c r="AE28" s="6"/>
      <c r="AF28" s="6"/>
      <c r="AG28" s="6"/>
      <c r="AH28" s="5"/>
      <c r="AJ28" s="1" t="s">
        <v>599</v>
      </c>
      <c r="AK28" s="1" t="s">
        <v>600</v>
      </c>
    </row>
    <row r="29" spans="1:37">
      <c r="A29" s="3">
        <f t="shared" si="6"/>
        <v>20</v>
      </c>
      <c r="B29" s="3" t="s">
        <v>241</v>
      </c>
      <c r="C29" s="3" t="s">
        <v>126</v>
      </c>
      <c r="D29" s="4" t="b">
        <v>1</v>
      </c>
      <c r="E29" s="3">
        <v>0</v>
      </c>
      <c r="F29" s="3">
        <v>30</v>
      </c>
      <c r="G29" s="3">
        <v>0</v>
      </c>
      <c r="H29" s="3">
        <f t="shared" si="7"/>
        <v>0</v>
      </c>
      <c r="I29" s="2"/>
      <c r="J29" s="5" t="s">
        <v>131</v>
      </c>
      <c r="K29" s="3"/>
      <c r="L29" s="3"/>
      <c r="M29" s="503"/>
      <c r="N29" s="503"/>
      <c r="O29" s="503"/>
      <c r="P29" s="214"/>
      <c r="Q29" s="219"/>
      <c r="R29" s="219"/>
      <c r="S29" s="219"/>
      <c r="T29" s="219"/>
      <c r="U29" s="219"/>
      <c r="V29" s="219"/>
      <c r="W29" s="219"/>
      <c r="X29" s="219"/>
      <c r="Y29" s="219"/>
      <c r="Z29" s="219"/>
      <c r="AA29" s="219"/>
      <c r="AB29" s="2"/>
      <c r="AC29" s="6"/>
      <c r="AD29" s="6"/>
      <c r="AE29" s="6"/>
      <c r="AF29" s="6"/>
      <c r="AG29" s="6"/>
      <c r="AH29" s="5"/>
      <c r="AJ29" s="1" t="s">
        <v>601</v>
      </c>
      <c r="AK29" s="1" t="s">
        <v>602</v>
      </c>
    </row>
    <row r="30" spans="1:37">
      <c r="A30" s="3">
        <f t="shared" ref="A30:A31" si="8">+IF(C30&lt;&gt;"",ROW()-9,"")</f>
        <v>21</v>
      </c>
      <c r="B30" s="3" t="s">
        <v>242</v>
      </c>
      <c r="C30" s="3" t="s">
        <v>127</v>
      </c>
      <c r="D30" s="4" t="b">
        <v>1</v>
      </c>
      <c r="E30" s="3">
        <v>0</v>
      </c>
      <c r="F30" s="3">
        <v>42</v>
      </c>
      <c r="G30" s="3">
        <v>0</v>
      </c>
      <c r="H30" s="3">
        <f t="shared" ref="H30:H31" si="9">IF(C30="","",0)</f>
        <v>0</v>
      </c>
      <c r="I30" s="2"/>
      <c r="J30" s="5" t="s">
        <v>131</v>
      </c>
      <c r="K30" s="3"/>
      <c r="L30" s="3"/>
      <c r="M30" s="503"/>
      <c r="N30" s="503"/>
      <c r="O30" s="503"/>
      <c r="P30" s="214"/>
      <c r="Q30" s="219"/>
      <c r="R30" s="219"/>
      <c r="S30" s="219"/>
      <c r="T30" s="219"/>
      <c r="U30" s="219"/>
      <c r="V30" s="219"/>
      <c r="W30" s="219"/>
      <c r="X30" s="219"/>
      <c r="Y30" s="219"/>
      <c r="Z30" s="219"/>
      <c r="AA30" s="219"/>
      <c r="AB30" s="2"/>
      <c r="AC30" s="6"/>
      <c r="AD30" s="6"/>
      <c r="AE30" s="6"/>
      <c r="AF30" s="6"/>
      <c r="AG30" s="6"/>
      <c r="AH30" s="5"/>
      <c r="AJ30" s="1" t="s">
        <v>603</v>
      </c>
      <c r="AK30" s="1" t="s">
        <v>604</v>
      </c>
    </row>
    <row r="31" spans="1:37" ht="31.5">
      <c r="A31" s="3">
        <f t="shared" si="8"/>
        <v>22</v>
      </c>
      <c r="B31" s="3" t="s">
        <v>243</v>
      </c>
      <c r="C31" s="3" t="s">
        <v>128</v>
      </c>
      <c r="D31" s="4" t="b">
        <v>1</v>
      </c>
      <c r="E31" s="3">
        <v>0</v>
      </c>
      <c r="F31" s="3">
        <v>513</v>
      </c>
      <c r="G31" s="3">
        <v>0</v>
      </c>
      <c r="H31" s="3">
        <f t="shared" si="9"/>
        <v>0</v>
      </c>
      <c r="I31" s="2"/>
      <c r="J31" s="5" t="s">
        <v>131</v>
      </c>
      <c r="K31" s="3"/>
      <c r="L31" s="3"/>
      <c r="M31" s="503"/>
      <c r="N31" s="503"/>
      <c r="O31" s="503"/>
      <c r="P31" s="512" t="s">
        <v>1140</v>
      </c>
      <c r="Q31" s="513"/>
      <c r="R31" s="513"/>
      <c r="S31" s="513"/>
      <c r="T31" s="513"/>
      <c r="U31" s="513"/>
      <c r="V31" s="513"/>
      <c r="W31" s="513"/>
      <c r="X31" s="513"/>
      <c r="Y31" s="513"/>
      <c r="Z31" s="513"/>
      <c r="AA31" s="514"/>
      <c r="AB31" s="2"/>
      <c r="AC31" s="6"/>
      <c r="AD31" s="6"/>
      <c r="AE31" s="6"/>
      <c r="AF31" s="6"/>
      <c r="AG31" s="6"/>
      <c r="AH31" s="5"/>
      <c r="AJ31" s="1" t="s">
        <v>581</v>
      </c>
      <c r="AK31" s="89" t="s">
        <v>605</v>
      </c>
    </row>
    <row r="32" spans="1:37">
      <c r="A32" s="499" t="s">
        <v>37</v>
      </c>
      <c r="B32" s="500"/>
      <c r="C32" s="500"/>
      <c r="D32" s="500"/>
      <c r="E32" s="500"/>
      <c r="F32" s="500"/>
      <c r="G32" s="500"/>
      <c r="H32" s="500"/>
      <c r="I32" s="500"/>
      <c r="J32" s="500"/>
      <c r="K32" s="500"/>
      <c r="L32" s="500"/>
      <c r="M32" s="500"/>
      <c r="N32" s="500"/>
      <c r="O32" s="500"/>
      <c r="P32" s="500"/>
      <c r="Q32" s="500"/>
      <c r="R32" s="500"/>
      <c r="S32" s="500"/>
      <c r="T32" s="500"/>
      <c r="U32" s="500"/>
      <c r="V32" s="500"/>
      <c r="W32" s="500"/>
      <c r="X32" s="500"/>
      <c r="Y32" s="500"/>
      <c r="Z32" s="500"/>
      <c r="AA32" s="500"/>
      <c r="AB32" s="500"/>
      <c r="AC32" s="500"/>
      <c r="AD32" s="500"/>
      <c r="AE32" s="500"/>
      <c r="AF32" s="500"/>
      <c r="AG32" s="500"/>
      <c r="AH32" s="501"/>
    </row>
    <row r="33" spans="1:34">
      <c r="A33" s="8"/>
      <c r="B33" s="9"/>
      <c r="C33" s="9"/>
      <c r="D33" s="10"/>
      <c r="E33" s="9"/>
      <c r="F33" s="9"/>
      <c r="G33" s="9"/>
      <c r="H33" s="9"/>
      <c r="I33" s="9"/>
      <c r="J33" s="9"/>
      <c r="K33" s="9"/>
      <c r="L33" s="9"/>
      <c r="M33" s="502"/>
      <c r="N33" s="502"/>
      <c r="O33" s="502"/>
      <c r="P33" s="9"/>
      <c r="Q33" s="9"/>
      <c r="R33" s="9"/>
      <c r="S33" s="9"/>
      <c r="T33" s="9"/>
      <c r="U33" s="9"/>
      <c r="V33" s="9"/>
      <c r="W33" s="9"/>
      <c r="X33" s="9"/>
      <c r="Y33" s="9"/>
      <c r="Z33" s="9"/>
      <c r="AA33" s="9"/>
      <c r="AB33" s="9"/>
      <c r="AC33" s="9"/>
      <c r="AD33" s="9"/>
      <c r="AE33" s="9"/>
      <c r="AF33" s="9"/>
      <c r="AG33" s="9"/>
      <c r="AH33" s="11"/>
    </row>
    <row r="34" spans="1:34">
      <c r="A34" s="12"/>
      <c r="B34" s="1" t="s">
        <v>38</v>
      </c>
      <c r="M34" s="506"/>
      <c r="N34" s="506"/>
      <c r="O34" s="506"/>
      <c r="AH34" s="13"/>
    </row>
    <row r="35" spans="1:34">
      <c r="A35" s="12"/>
      <c r="B35" s="1" t="s">
        <v>47</v>
      </c>
      <c r="D35" s="35"/>
      <c r="M35" s="506"/>
      <c r="N35" s="506"/>
      <c r="O35" s="506"/>
      <c r="AH35" s="13"/>
    </row>
    <row r="36" spans="1:34">
      <c r="A36" s="12"/>
      <c r="B36" s="1" t="s">
        <v>60</v>
      </c>
      <c r="D36" s="35"/>
      <c r="AH36" s="13"/>
    </row>
    <row r="37" spans="1:34">
      <c r="A37" s="12"/>
      <c r="B37" s="1" t="s">
        <v>48</v>
      </c>
      <c r="D37" s="35"/>
      <c r="AH37" s="13"/>
    </row>
    <row r="38" spans="1:34">
      <c r="A38" s="12"/>
      <c r="B38" s="1" t="s">
        <v>606</v>
      </c>
      <c r="D38" s="35"/>
      <c r="AH38" s="13"/>
    </row>
    <row r="39" spans="1:34">
      <c r="A39" s="12"/>
      <c r="B39" s="1" t="s">
        <v>49</v>
      </c>
      <c r="D39" s="35"/>
      <c r="AH39" s="13"/>
    </row>
    <row r="40" spans="1:34">
      <c r="A40" s="12"/>
      <c r="B40" s="1" t="s">
        <v>213</v>
      </c>
      <c r="D40" s="42"/>
      <c r="AH40" s="13"/>
    </row>
    <row r="41" spans="1:34">
      <c r="A41" s="12"/>
      <c r="B41" s="1" t="s">
        <v>214</v>
      </c>
      <c r="D41" s="42"/>
      <c r="AH41" s="13"/>
    </row>
    <row r="42" spans="1:34">
      <c r="A42" s="12"/>
      <c r="B42" s="1" t="s">
        <v>215</v>
      </c>
      <c r="D42" s="42"/>
      <c r="AH42" s="13"/>
    </row>
    <row r="43" spans="1:34">
      <c r="A43" s="12"/>
      <c r="B43" s="1" t="s">
        <v>216</v>
      </c>
      <c r="D43" s="42"/>
      <c r="AH43" s="13"/>
    </row>
    <row r="44" spans="1:34">
      <c r="A44" s="12"/>
      <c r="B44" s="1" t="s">
        <v>58</v>
      </c>
      <c r="D44" s="35"/>
      <c r="AH44" s="13"/>
    </row>
    <row r="45" spans="1:34">
      <c r="A45" s="12"/>
      <c r="B45" s="1" t="s">
        <v>52</v>
      </c>
      <c r="D45" s="35"/>
      <c r="AH45" s="13"/>
    </row>
    <row r="46" spans="1:34">
      <c r="A46" s="12"/>
      <c r="B46" s="1" t="s">
        <v>54</v>
      </c>
      <c r="D46" s="35"/>
      <c r="AH46" s="13"/>
    </row>
    <row r="47" spans="1:34">
      <c r="A47" s="12"/>
      <c r="B47" s="1" t="s">
        <v>57</v>
      </c>
      <c r="D47" s="35"/>
      <c r="AH47" s="13"/>
    </row>
    <row r="48" spans="1:34">
      <c r="A48" s="12"/>
      <c r="B48" s="1" t="s">
        <v>55</v>
      </c>
      <c r="D48" s="35"/>
      <c r="AH48" s="13"/>
    </row>
    <row r="49" spans="1:34">
      <c r="A49" s="12"/>
      <c r="B49" s="1" t="s">
        <v>59</v>
      </c>
      <c r="D49" s="35"/>
      <c r="AH49" s="13"/>
    </row>
    <row r="50" spans="1:34">
      <c r="A50" s="12"/>
      <c r="B50" s="1" t="s">
        <v>217</v>
      </c>
      <c r="D50" s="42"/>
      <c r="AH50" s="13"/>
    </row>
    <row r="51" spans="1:34">
      <c r="A51" s="12"/>
      <c r="D51" s="42"/>
      <c r="AH51" s="13"/>
    </row>
    <row r="52" spans="1:34">
      <c r="A52" s="12"/>
      <c r="B52" s="1" t="s">
        <v>39</v>
      </c>
      <c r="M52" s="506"/>
      <c r="N52" s="506"/>
      <c r="O52" s="506"/>
      <c r="AH52" s="13"/>
    </row>
    <row r="53" spans="1:34">
      <c r="A53" s="12"/>
      <c r="B53" s="1" t="s">
        <v>61</v>
      </c>
      <c r="AH53" s="13"/>
    </row>
    <row r="54" spans="1:34">
      <c r="A54" s="12"/>
      <c r="B54" s="1" t="s">
        <v>62</v>
      </c>
      <c r="C54" s="1" t="s">
        <v>40</v>
      </c>
      <c r="D54" s="1" t="s">
        <v>63</v>
      </c>
      <c r="AH54" s="13"/>
    </row>
    <row r="55" spans="1:34">
      <c r="A55" s="12"/>
      <c r="AH55" s="13"/>
    </row>
    <row r="56" spans="1:34">
      <c r="A56" s="12"/>
      <c r="B56" s="1" t="s">
        <v>526</v>
      </c>
      <c r="AH56" s="13"/>
    </row>
    <row r="57" spans="1:34">
      <c r="A57" s="12"/>
      <c r="B57" s="1" t="s">
        <v>64</v>
      </c>
      <c r="C57" s="1" t="s">
        <v>40</v>
      </c>
      <c r="D57" s="1" t="s">
        <v>65</v>
      </c>
      <c r="AH57" s="13"/>
    </row>
    <row r="58" spans="1:34">
      <c r="A58" s="12"/>
      <c r="AH58" s="13"/>
    </row>
    <row r="59" spans="1:34">
      <c r="A59" s="12"/>
      <c r="B59" s="1" t="s">
        <v>66</v>
      </c>
      <c r="AH59" s="13"/>
    </row>
    <row r="60" spans="1:34">
      <c r="A60" s="12"/>
      <c r="B60" s="1" t="s">
        <v>67</v>
      </c>
      <c r="C60" s="1" t="s">
        <v>40</v>
      </c>
      <c r="D60" s="1" t="s">
        <v>68</v>
      </c>
      <c r="AH60" s="13"/>
    </row>
    <row r="61" spans="1:34">
      <c r="A61" s="12"/>
      <c r="B61" s="1" t="s">
        <v>73</v>
      </c>
      <c r="C61" s="1" t="s">
        <v>40</v>
      </c>
      <c r="D61" s="43" t="s">
        <v>76</v>
      </c>
      <c r="AH61" s="13"/>
    </row>
    <row r="62" spans="1:34">
      <c r="A62" s="12"/>
      <c r="AH62" s="13"/>
    </row>
    <row r="63" spans="1:34">
      <c r="A63" s="12"/>
      <c r="B63" s="1" t="s">
        <v>71</v>
      </c>
      <c r="AH63" s="13"/>
    </row>
    <row r="64" spans="1:34">
      <c r="A64" s="12"/>
      <c r="B64" s="1" t="s">
        <v>75</v>
      </c>
      <c r="C64" s="1" t="s">
        <v>40</v>
      </c>
      <c r="D64" s="1" t="s">
        <v>74</v>
      </c>
      <c r="AH64" s="13"/>
    </row>
    <row r="65" spans="1:34">
      <c r="A65" s="12"/>
      <c r="B65" s="1" t="s">
        <v>83</v>
      </c>
      <c r="C65" s="1" t="s">
        <v>78</v>
      </c>
      <c r="D65" s="43" t="s">
        <v>79</v>
      </c>
      <c r="AH65" s="13"/>
    </row>
    <row r="66" spans="1:34">
      <c r="A66" s="12"/>
      <c r="B66" s="1" t="s">
        <v>84</v>
      </c>
      <c r="C66" s="1" t="s">
        <v>81</v>
      </c>
      <c r="D66" s="43" t="s">
        <v>79</v>
      </c>
      <c r="AH66" s="13"/>
    </row>
    <row r="67" spans="1:34">
      <c r="A67" s="12"/>
      <c r="AH67" s="13"/>
    </row>
    <row r="68" spans="1:34">
      <c r="A68" s="12"/>
      <c r="B68" s="1" t="s">
        <v>72</v>
      </c>
      <c r="AH68" s="13"/>
    </row>
    <row r="69" spans="1:34">
      <c r="A69" s="12"/>
      <c r="B69" s="1" t="s">
        <v>75</v>
      </c>
      <c r="C69" s="1" t="s">
        <v>40</v>
      </c>
      <c r="D69" s="1" t="s">
        <v>82</v>
      </c>
      <c r="AH69" s="13"/>
    </row>
    <row r="70" spans="1:34">
      <c r="A70" s="12"/>
      <c r="B70" s="1" t="s">
        <v>77</v>
      </c>
      <c r="C70" s="1" t="s">
        <v>78</v>
      </c>
      <c r="D70" s="43" t="s">
        <v>79</v>
      </c>
      <c r="AH70" s="13"/>
    </row>
    <row r="71" spans="1:34">
      <c r="A71" s="12"/>
      <c r="B71" s="1" t="s">
        <v>80</v>
      </c>
      <c r="C71" s="1" t="s">
        <v>81</v>
      </c>
      <c r="D71" s="43" t="s">
        <v>79</v>
      </c>
      <c r="AH71" s="13"/>
    </row>
    <row r="72" spans="1:34">
      <c r="A72" s="12"/>
      <c r="AH72" s="13"/>
    </row>
    <row r="73" spans="1:34">
      <c r="A73" s="12"/>
      <c r="B73" s="1" t="s">
        <v>527</v>
      </c>
      <c r="AH73" s="13"/>
    </row>
    <row r="74" spans="1:34">
      <c r="A74" s="12"/>
      <c r="B74" s="1" t="s">
        <v>67</v>
      </c>
      <c r="C74" s="1" t="s">
        <v>40</v>
      </c>
      <c r="D74" s="1" t="s">
        <v>85</v>
      </c>
      <c r="AH74" s="13"/>
    </row>
    <row r="75" spans="1:34">
      <c r="A75" s="12"/>
      <c r="B75" s="1" t="s">
        <v>97</v>
      </c>
      <c r="C75" s="1" t="s">
        <v>78</v>
      </c>
      <c r="D75" s="43" t="s">
        <v>79</v>
      </c>
      <c r="AH75" s="13"/>
    </row>
    <row r="76" spans="1:34">
      <c r="A76" s="12"/>
      <c r="B76" s="1" t="s">
        <v>96</v>
      </c>
      <c r="C76" s="1" t="s">
        <v>81</v>
      </c>
      <c r="D76" s="43" t="s">
        <v>79</v>
      </c>
      <c r="AH76" s="13"/>
    </row>
    <row r="77" spans="1:34">
      <c r="A77" s="12"/>
      <c r="D77" s="43"/>
      <c r="AH77" s="13"/>
    </row>
    <row r="78" spans="1:34">
      <c r="A78" s="12"/>
      <c r="B78" s="1" t="s">
        <v>528</v>
      </c>
      <c r="AH78" s="13"/>
    </row>
    <row r="79" spans="1:34">
      <c r="A79" s="12"/>
      <c r="B79" s="1" t="s">
        <v>67</v>
      </c>
      <c r="C79" s="1" t="s">
        <v>40</v>
      </c>
      <c r="D79" s="1" t="s">
        <v>88</v>
      </c>
      <c r="AH79" s="13"/>
    </row>
    <row r="80" spans="1:34">
      <c r="A80" s="12"/>
      <c r="B80" s="1" t="s">
        <v>94</v>
      </c>
      <c r="C80" s="1" t="s">
        <v>78</v>
      </c>
      <c r="D80" s="43" t="s">
        <v>79</v>
      </c>
      <c r="AH80" s="13"/>
    </row>
    <row r="81" spans="1:34">
      <c r="A81" s="12"/>
      <c r="B81" s="1" t="s">
        <v>95</v>
      </c>
      <c r="C81" s="1" t="s">
        <v>81</v>
      </c>
      <c r="D81" s="43" t="s">
        <v>79</v>
      </c>
      <c r="AH81" s="13"/>
    </row>
    <row r="82" spans="1:34">
      <c r="A82" s="12"/>
      <c r="D82" s="43"/>
      <c r="AH82" s="13"/>
    </row>
    <row r="83" spans="1:34">
      <c r="A83" s="12"/>
      <c r="B83" s="1" t="s">
        <v>529</v>
      </c>
      <c r="AH83" s="13"/>
    </row>
    <row r="84" spans="1:34">
      <c r="A84" s="12"/>
      <c r="B84" s="1" t="s">
        <v>67</v>
      </c>
      <c r="C84" s="1" t="s">
        <v>40</v>
      </c>
      <c r="D84" s="1" t="s">
        <v>91</v>
      </c>
      <c r="AH84" s="13"/>
    </row>
    <row r="85" spans="1:34">
      <c r="A85" s="12"/>
      <c r="B85" s="1" t="s">
        <v>93</v>
      </c>
      <c r="C85" s="1" t="s">
        <v>78</v>
      </c>
      <c r="D85" s="43" t="s">
        <v>79</v>
      </c>
      <c r="AH85" s="13"/>
    </row>
    <row r="86" spans="1:34">
      <c r="A86" s="12"/>
      <c r="B86" s="1" t="s">
        <v>92</v>
      </c>
      <c r="C86" s="1" t="s">
        <v>81</v>
      </c>
      <c r="D86" s="43" t="s">
        <v>79</v>
      </c>
      <c r="AH86" s="13"/>
    </row>
    <row r="87" spans="1:34">
      <c r="A87" s="12"/>
      <c r="D87" s="43"/>
      <c r="AH87" s="13"/>
    </row>
    <row r="88" spans="1:34">
      <c r="A88" s="12"/>
      <c r="B88" s="1" t="s">
        <v>530</v>
      </c>
      <c r="AH88" s="13"/>
    </row>
    <row r="89" spans="1:34">
      <c r="A89" s="12"/>
      <c r="B89" s="1" t="s">
        <v>99</v>
      </c>
      <c r="C89" s="1" t="s">
        <v>40</v>
      </c>
      <c r="D89" s="1" t="s">
        <v>98</v>
      </c>
      <c r="AH89" s="13"/>
    </row>
    <row r="90" spans="1:34">
      <c r="A90" s="12"/>
      <c r="B90" s="1" t="s">
        <v>100</v>
      </c>
      <c r="C90" s="1" t="s">
        <v>40</v>
      </c>
      <c r="D90" s="43" t="s">
        <v>76</v>
      </c>
      <c r="AH90" s="13"/>
    </row>
    <row r="91" spans="1:34">
      <c r="A91" s="12"/>
      <c r="D91" s="43"/>
      <c r="AH91" s="13"/>
    </row>
    <row r="92" spans="1:34">
      <c r="A92" s="12"/>
      <c r="B92" s="1" t="s">
        <v>531</v>
      </c>
      <c r="AH92" s="13"/>
    </row>
    <row r="93" spans="1:34">
      <c r="A93" s="12"/>
      <c r="B93" s="1" t="s">
        <v>102</v>
      </c>
      <c r="C93" s="1" t="s">
        <v>40</v>
      </c>
      <c r="D93" s="1" t="s">
        <v>101</v>
      </c>
      <c r="AH93" s="13"/>
    </row>
    <row r="94" spans="1:34">
      <c r="A94" s="12"/>
      <c r="B94" s="1" t="s">
        <v>103</v>
      </c>
      <c r="C94" s="1" t="s">
        <v>40</v>
      </c>
      <c r="D94" s="43" t="s">
        <v>76</v>
      </c>
      <c r="AH94" s="13"/>
    </row>
    <row r="95" spans="1:34">
      <c r="A95" s="12"/>
      <c r="D95" s="43"/>
      <c r="AH95" s="13"/>
    </row>
    <row r="96" spans="1:34">
      <c r="A96" s="12"/>
      <c r="B96" s="1" t="s">
        <v>532</v>
      </c>
      <c r="AH96" s="13"/>
    </row>
    <row r="97" spans="1:34">
      <c r="A97" s="12"/>
      <c r="B97" s="1" t="s">
        <v>70</v>
      </c>
      <c r="C97" s="1" t="s">
        <v>40</v>
      </c>
      <c r="D97" s="1" t="s">
        <v>69</v>
      </c>
      <c r="AH97" s="13"/>
    </row>
    <row r="98" spans="1:34">
      <c r="A98" s="12"/>
      <c r="B98" s="1" t="s">
        <v>104</v>
      </c>
      <c r="C98" s="1" t="s">
        <v>40</v>
      </c>
      <c r="D98" s="43" t="s">
        <v>76</v>
      </c>
      <c r="AH98" s="13"/>
    </row>
    <row r="99" spans="1:34">
      <c r="A99" s="12"/>
      <c r="D99" s="43"/>
      <c r="AH99" s="13"/>
    </row>
    <row r="100" spans="1:34">
      <c r="A100" s="12"/>
      <c r="B100" s="1" t="s">
        <v>533</v>
      </c>
      <c r="AH100" s="13"/>
    </row>
    <row r="101" spans="1:34">
      <c r="A101" s="12"/>
      <c r="B101" s="1" t="s">
        <v>144</v>
      </c>
      <c r="AH101" s="13"/>
    </row>
    <row r="102" spans="1:34">
      <c r="A102" s="12"/>
      <c r="B102" s="1" t="s">
        <v>136</v>
      </c>
      <c r="AH102" s="13"/>
    </row>
    <row r="103" spans="1:34">
      <c r="A103" s="12"/>
      <c r="B103" s="1" t="s">
        <v>137</v>
      </c>
      <c r="AH103" s="13"/>
    </row>
    <row r="104" spans="1:34">
      <c r="A104" s="12"/>
      <c r="B104" s="1" t="s">
        <v>138</v>
      </c>
      <c r="AH104" s="13"/>
    </row>
    <row r="105" spans="1:34">
      <c r="A105" s="12"/>
      <c r="B105" s="1" t="s">
        <v>139</v>
      </c>
      <c r="AH105" s="13"/>
    </row>
    <row r="106" spans="1:34">
      <c r="A106" s="12"/>
      <c r="B106" s="1" t="s">
        <v>142</v>
      </c>
      <c r="AH106" s="13"/>
    </row>
    <row r="107" spans="1:34">
      <c r="A107" s="12"/>
      <c r="B107" s="1" t="s">
        <v>141</v>
      </c>
      <c r="AH107" s="13"/>
    </row>
    <row r="108" spans="1:34">
      <c r="A108" s="12"/>
      <c r="B108" s="1" t="s">
        <v>140</v>
      </c>
      <c r="AH108" s="13"/>
    </row>
    <row r="109" spans="1:34">
      <c r="A109" s="12"/>
      <c r="B109" s="1" t="s">
        <v>143</v>
      </c>
      <c r="AH109" s="13"/>
    </row>
    <row r="110" spans="1:34">
      <c r="A110" s="12"/>
      <c r="B110" s="1" t="s">
        <v>145</v>
      </c>
      <c r="AH110" s="13"/>
    </row>
    <row r="111" spans="1:34">
      <c r="A111" s="12"/>
      <c r="AH111" s="13"/>
    </row>
    <row r="112" spans="1:34">
      <c r="A112" s="12"/>
      <c r="B112" s="1" t="s">
        <v>146</v>
      </c>
      <c r="C112" s="1" t="s">
        <v>40</v>
      </c>
      <c r="D112" s="1" t="s">
        <v>147</v>
      </c>
      <c r="AH112" s="13"/>
    </row>
    <row r="113" spans="1:34">
      <c r="A113" s="12"/>
      <c r="AH113" s="13"/>
    </row>
    <row r="114" spans="1:34">
      <c r="A114" s="12"/>
      <c r="B114" s="1" t="s">
        <v>41</v>
      </c>
      <c r="M114" s="506"/>
      <c r="N114" s="506"/>
      <c r="O114" s="506"/>
      <c r="AH114" s="13"/>
    </row>
    <row r="115" spans="1:34">
      <c r="A115" s="12"/>
      <c r="B115" s="1" t="s">
        <v>220</v>
      </c>
      <c r="M115" s="80"/>
      <c r="N115" s="80"/>
      <c r="O115" s="80"/>
      <c r="AH115" s="13"/>
    </row>
    <row r="116" spans="1:34">
      <c r="A116" s="12"/>
      <c r="B116" s="79" t="s">
        <v>135</v>
      </c>
      <c r="M116" s="80"/>
      <c r="N116" s="80"/>
      <c r="O116" s="80"/>
      <c r="AH116" s="13"/>
    </row>
    <row r="117" spans="1:34">
      <c r="A117" s="12"/>
      <c r="B117" s="78" t="s">
        <v>149</v>
      </c>
      <c r="M117" s="80"/>
      <c r="N117" s="80"/>
      <c r="O117" s="80"/>
      <c r="AH117" s="13"/>
    </row>
    <row r="118" spans="1:34">
      <c r="A118" s="12"/>
      <c r="B118" s="1" t="s">
        <v>148</v>
      </c>
      <c r="M118" s="80"/>
      <c r="N118" s="80"/>
      <c r="O118" s="80"/>
      <c r="AH118" s="13"/>
    </row>
    <row r="119" spans="1:34">
      <c r="A119" s="12"/>
      <c r="B119" s="78" t="s">
        <v>163</v>
      </c>
      <c r="M119" s="80"/>
      <c r="N119" s="80"/>
      <c r="O119" s="80"/>
      <c r="AH119" s="13"/>
    </row>
    <row r="120" spans="1:34">
      <c r="A120" s="12"/>
      <c r="B120" s="1" t="s">
        <v>151</v>
      </c>
      <c r="M120" s="80"/>
      <c r="N120" s="80"/>
      <c r="O120" s="80"/>
      <c r="AH120" s="13"/>
    </row>
    <row r="121" spans="1:34">
      <c r="A121" s="12"/>
      <c r="B121" s="1" t="s">
        <v>152</v>
      </c>
      <c r="M121" s="80"/>
      <c r="N121" s="80"/>
      <c r="O121" s="80"/>
      <c r="AH121" s="13"/>
    </row>
    <row r="122" spans="1:34">
      <c r="A122" s="12"/>
      <c r="B122" s="1" t="s">
        <v>154</v>
      </c>
      <c r="M122" s="41"/>
      <c r="N122" s="41"/>
      <c r="O122" s="41"/>
      <c r="AH122" s="13"/>
    </row>
    <row r="123" spans="1:34">
      <c r="A123" s="12"/>
      <c r="B123" s="1" t="s">
        <v>155</v>
      </c>
      <c r="M123" s="41"/>
      <c r="N123" s="41"/>
      <c r="O123" s="41"/>
      <c r="AH123" s="13"/>
    </row>
    <row r="124" spans="1:34">
      <c r="A124" s="12"/>
      <c r="B124" s="1" t="s">
        <v>156</v>
      </c>
      <c r="M124" s="41"/>
      <c r="N124" s="41"/>
      <c r="O124" s="41"/>
      <c r="AH124" s="13"/>
    </row>
    <row r="125" spans="1:34">
      <c r="A125" s="12"/>
      <c r="B125" s="1" t="s">
        <v>157</v>
      </c>
      <c r="M125" s="41"/>
      <c r="N125" s="41"/>
      <c r="O125" s="41"/>
      <c r="AH125" s="13"/>
    </row>
    <row r="126" spans="1:34">
      <c r="A126" s="12"/>
      <c r="B126" s="1" t="s">
        <v>158</v>
      </c>
      <c r="M126" s="41"/>
      <c r="N126" s="41"/>
      <c r="O126" s="41"/>
      <c r="AH126" s="13"/>
    </row>
    <row r="127" spans="1:34">
      <c r="A127" s="12"/>
      <c r="B127" s="1" t="s">
        <v>159</v>
      </c>
      <c r="M127" s="41"/>
      <c r="N127" s="41"/>
      <c r="O127" s="41"/>
      <c r="AH127" s="13"/>
    </row>
    <row r="128" spans="1:34">
      <c r="A128" s="12"/>
      <c r="B128" s="1" t="s">
        <v>161</v>
      </c>
      <c r="M128" s="41"/>
      <c r="N128" s="41"/>
      <c r="O128" s="41"/>
      <c r="AH128" s="13"/>
    </row>
    <row r="129" spans="1:34">
      <c r="A129" s="12"/>
      <c r="B129" s="1" t="s">
        <v>162</v>
      </c>
      <c r="M129" s="41"/>
      <c r="N129" s="41"/>
      <c r="O129" s="41"/>
      <c r="AH129" s="13"/>
    </row>
    <row r="130" spans="1:34">
      <c r="A130" s="12"/>
      <c r="B130" s="78" t="s">
        <v>164</v>
      </c>
      <c r="M130" s="41"/>
      <c r="N130" s="41"/>
      <c r="O130" s="41"/>
      <c r="AH130" s="13"/>
    </row>
    <row r="131" spans="1:34">
      <c r="A131" s="12"/>
      <c r="B131" s="1" t="s">
        <v>150</v>
      </c>
      <c r="M131" s="41"/>
      <c r="N131" s="41"/>
      <c r="O131" s="41"/>
      <c r="AH131" s="13"/>
    </row>
    <row r="132" spans="1:34">
      <c r="A132" s="12"/>
      <c r="B132" s="1" t="s">
        <v>165</v>
      </c>
      <c r="M132" s="41"/>
      <c r="N132" s="41"/>
      <c r="O132" s="41"/>
      <c r="AH132" s="13"/>
    </row>
    <row r="133" spans="1:34">
      <c r="A133" s="12"/>
      <c r="B133" s="1" t="s">
        <v>153</v>
      </c>
      <c r="M133" s="41"/>
      <c r="N133" s="41"/>
      <c r="O133" s="41"/>
      <c r="AH133" s="13"/>
    </row>
    <row r="134" spans="1:34">
      <c r="A134" s="12"/>
      <c r="B134" s="1" t="s">
        <v>166</v>
      </c>
      <c r="M134" s="41"/>
      <c r="N134" s="41"/>
      <c r="O134" s="41"/>
      <c r="AH134" s="13"/>
    </row>
    <row r="135" spans="1:34">
      <c r="A135" s="12"/>
      <c r="B135" s="1" t="s">
        <v>167</v>
      </c>
      <c r="M135" s="41"/>
      <c r="N135" s="41"/>
      <c r="O135" s="41"/>
      <c r="AH135" s="13"/>
    </row>
    <row r="136" spans="1:34">
      <c r="A136" s="12"/>
      <c r="B136" s="1" t="s">
        <v>212</v>
      </c>
      <c r="M136" s="41"/>
      <c r="N136" s="41"/>
      <c r="O136" s="41"/>
      <c r="AH136" s="13"/>
    </row>
    <row r="137" spans="1:34">
      <c r="A137" s="12"/>
      <c r="B137" s="1" t="s">
        <v>168</v>
      </c>
      <c r="M137" s="41"/>
      <c r="N137" s="41"/>
      <c r="O137" s="41"/>
      <c r="AH137" s="13"/>
    </row>
    <row r="138" spans="1:34">
      <c r="A138" s="12"/>
      <c r="B138" s="1" t="s">
        <v>169</v>
      </c>
      <c r="M138" s="41"/>
      <c r="N138" s="41"/>
      <c r="O138" s="41"/>
      <c r="AH138" s="13"/>
    </row>
    <row r="139" spans="1:34">
      <c r="A139" s="12"/>
      <c r="B139" s="1" t="s">
        <v>170</v>
      </c>
      <c r="M139" s="41"/>
      <c r="N139" s="41"/>
      <c r="O139" s="41"/>
      <c r="AH139" s="13"/>
    </row>
    <row r="140" spans="1:34">
      <c r="A140" s="12"/>
      <c r="B140" s="1" t="s">
        <v>171</v>
      </c>
      <c r="M140" s="41"/>
      <c r="N140" s="41"/>
      <c r="O140" s="41"/>
      <c r="AH140" s="13"/>
    </row>
    <row r="141" spans="1:34">
      <c r="A141" s="12"/>
      <c r="B141" s="1" t="s">
        <v>172</v>
      </c>
      <c r="M141" s="41"/>
      <c r="N141" s="41"/>
      <c r="O141" s="41"/>
      <c r="AH141" s="13"/>
    </row>
    <row r="142" spans="1:34">
      <c r="A142" s="12"/>
      <c r="B142" s="1" t="s">
        <v>182</v>
      </c>
      <c r="M142" s="41"/>
      <c r="N142" s="41"/>
      <c r="O142" s="41"/>
      <c r="AH142" s="13"/>
    </row>
    <row r="143" spans="1:34">
      <c r="A143" s="12"/>
      <c r="B143" s="1" t="s">
        <v>173</v>
      </c>
      <c r="M143" s="41"/>
      <c r="N143" s="41"/>
      <c r="O143" s="41"/>
      <c r="AH143" s="13"/>
    </row>
    <row r="144" spans="1:34">
      <c r="A144" s="12"/>
      <c r="B144" s="1" t="s">
        <v>174</v>
      </c>
      <c r="M144" s="41"/>
      <c r="N144" s="41"/>
      <c r="O144" s="41"/>
      <c r="AH144" s="13"/>
    </row>
    <row r="145" spans="1:34">
      <c r="A145" s="12"/>
      <c r="B145" s="1" t="s">
        <v>175</v>
      </c>
      <c r="M145" s="41"/>
      <c r="N145" s="41"/>
      <c r="O145" s="41"/>
      <c r="AH145" s="13"/>
    </row>
    <row r="146" spans="1:34">
      <c r="A146" s="12"/>
      <c r="B146" s="1" t="s">
        <v>176</v>
      </c>
      <c r="M146" s="41"/>
      <c r="N146" s="41"/>
      <c r="O146" s="41"/>
      <c r="AH146" s="13"/>
    </row>
    <row r="147" spans="1:34">
      <c r="A147" s="12"/>
      <c r="B147" s="1" t="s">
        <v>177</v>
      </c>
      <c r="M147" s="41"/>
      <c r="N147" s="41"/>
      <c r="O147" s="41"/>
      <c r="AH147" s="13"/>
    </row>
    <row r="148" spans="1:34">
      <c r="A148" s="12"/>
      <c r="B148" s="1" t="s">
        <v>160</v>
      </c>
      <c r="M148" s="41"/>
      <c r="N148" s="41"/>
      <c r="O148" s="41"/>
      <c r="AH148" s="13"/>
    </row>
    <row r="149" spans="1:34">
      <c r="A149" s="12"/>
      <c r="B149" s="1" t="s">
        <v>178</v>
      </c>
      <c r="M149" s="41"/>
      <c r="N149" s="41"/>
      <c r="O149" s="41"/>
      <c r="AH149" s="13"/>
    </row>
    <row r="150" spans="1:34">
      <c r="A150" s="12"/>
      <c r="B150" s="79" t="s">
        <v>179</v>
      </c>
      <c r="M150" s="41"/>
      <c r="N150" s="41"/>
      <c r="O150" s="41"/>
      <c r="AH150" s="13"/>
    </row>
    <row r="151" spans="1:34">
      <c r="A151" s="12"/>
      <c r="B151" s="1" t="s">
        <v>180</v>
      </c>
      <c r="M151" s="41"/>
      <c r="N151" s="41"/>
      <c r="O151" s="41"/>
      <c r="AH151" s="13"/>
    </row>
    <row r="152" spans="1:34">
      <c r="A152" s="12"/>
      <c r="B152" s="1" t="s">
        <v>181</v>
      </c>
      <c r="M152" s="41"/>
      <c r="N152" s="41"/>
      <c r="O152" s="41"/>
      <c r="AH152" s="13"/>
    </row>
    <row r="153" spans="1:34">
      <c r="A153" s="12"/>
      <c r="B153" s="1" t="s">
        <v>184</v>
      </c>
      <c r="M153" s="41"/>
      <c r="N153" s="41"/>
      <c r="O153" s="41"/>
      <c r="AH153" s="13"/>
    </row>
    <row r="154" spans="1:34">
      <c r="A154" s="12"/>
      <c r="B154" s="1" t="s">
        <v>183</v>
      </c>
      <c r="M154" s="41"/>
      <c r="N154" s="41"/>
      <c r="O154" s="41"/>
      <c r="AH154" s="13"/>
    </row>
    <row r="155" spans="1:34">
      <c r="A155" s="12"/>
      <c r="M155" s="41"/>
      <c r="N155" s="41"/>
      <c r="O155" s="41"/>
      <c r="AH155" s="13"/>
    </row>
    <row r="156" spans="1:34">
      <c r="A156" s="12"/>
      <c r="B156" s="1" t="s">
        <v>221</v>
      </c>
      <c r="M156" s="41"/>
      <c r="N156" s="41"/>
      <c r="O156" s="41"/>
      <c r="AH156" s="13"/>
    </row>
    <row r="157" spans="1:34">
      <c r="A157" s="12"/>
      <c r="B157" s="1" t="s">
        <v>186</v>
      </c>
      <c r="M157" s="41"/>
      <c r="N157" s="41"/>
      <c r="O157" s="41"/>
      <c r="AH157" s="13"/>
    </row>
    <row r="158" spans="1:34">
      <c r="A158" s="12"/>
      <c r="M158" s="41"/>
      <c r="N158" s="41"/>
      <c r="O158" s="41"/>
      <c r="AH158" s="13"/>
    </row>
    <row r="159" spans="1:34">
      <c r="A159" s="12"/>
      <c r="B159" s="1" t="s">
        <v>222</v>
      </c>
      <c r="M159" s="41"/>
      <c r="N159" s="41"/>
      <c r="O159" s="41"/>
      <c r="AH159" s="13"/>
    </row>
    <row r="160" spans="1:34">
      <c r="A160" s="12"/>
      <c r="B160" s="1" t="s">
        <v>185</v>
      </c>
      <c r="M160" s="41"/>
      <c r="N160" s="41"/>
      <c r="O160" s="41"/>
      <c r="AH160" s="13"/>
    </row>
    <row r="161" spans="1:34">
      <c r="A161" s="12"/>
      <c r="M161" s="41"/>
      <c r="N161" s="41"/>
      <c r="O161" s="41"/>
      <c r="AH161" s="13"/>
    </row>
    <row r="162" spans="1:34">
      <c r="A162" s="12"/>
      <c r="B162" s="1" t="s">
        <v>222</v>
      </c>
      <c r="M162" s="41"/>
      <c r="N162" s="41"/>
      <c r="O162" s="41"/>
      <c r="AH162" s="13"/>
    </row>
    <row r="163" spans="1:34">
      <c r="A163" s="12"/>
      <c r="B163" s="1" t="s">
        <v>187</v>
      </c>
      <c r="M163" s="41"/>
      <c r="N163" s="41"/>
      <c r="O163" s="41"/>
      <c r="AH163" s="13"/>
    </row>
    <row r="164" spans="1:34">
      <c r="A164" s="12"/>
      <c r="M164" s="41"/>
      <c r="N164" s="41"/>
      <c r="O164" s="41"/>
      <c r="AH164" s="13"/>
    </row>
    <row r="165" spans="1:34">
      <c r="A165" s="12"/>
      <c r="B165" s="1" t="s">
        <v>223</v>
      </c>
      <c r="M165" s="41"/>
      <c r="N165" s="41"/>
      <c r="O165" s="41"/>
      <c r="AH165" s="13"/>
    </row>
    <row r="166" spans="1:34">
      <c r="A166" s="12"/>
      <c r="B166" s="1" t="s">
        <v>188</v>
      </c>
      <c r="M166" s="41"/>
      <c r="N166" s="41"/>
      <c r="O166" s="41"/>
      <c r="AH166" s="13"/>
    </row>
    <row r="167" spans="1:34">
      <c r="A167" s="12"/>
      <c r="M167" s="41"/>
      <c r="N167" s="41"/>
      <c r="O167" s="41"/>
      <c r="AH167" s="13"/>
    </row>
    <row r="168" spans="1:34">
      <c r="A168" s="12"/>
      <c r="B168" s="1" t="s">
        <v>224</v>
      </c>
      <c r="M168" s="41"/>
      <c r="N168" s="41"/>
      <c r="O168" s="41"/>
      <c r="AH168" s="13"/>
    </row>
    <row r="169" spans="1:34">
      <c r="A169" s="12"/>
      <c r="B169" s="1" t="s">
        <v>189</v>
      </c>
      <c r="M169" s="41"/>
      <c r="N169" s="41"/>
      <c r="O169" s="41"/>
      <c r="AH169" s="13"/>
    </row>
    <row r="170" spans="1:34">
      <c r="A170" s="12"/>
      <c r="M170" s="41"/>
      <c r="N170" s="41"/>
      <c r="O170" s="41"/>
      <c r="AH170" s="13"/>
    </row>
    <row r="171" spans="1:34">
      <c r="A171" s="12"/>
      <c r="B171" s="1" t="s">
        <v>225</v>
      </c>
      <c r="AH171" s="13"/>
    </row>
    <row r="172" spans="1:34">
      <c r="A172" s="12"/>
      <c r="B172" s="1" t="s">
        <v>546</v>
      </c>
      <c r="C172" s="1" t="s">
        <v>190</v>
      </c>
      <c r="AH172" s="13"/>
    </row>
    <row r="173" spans="1:34">
      <c r="A173" s="12"/>
      <c r="B173" s="1" t="s">
        <v>547</v>
      </c>
      <c r="C173" s="1" t="s">
        <v>191</v>
      </c>
      <c r="AH173" s="13"/>
    </row>
    <row r="174" spans="1:34">
      <c r="A174" s="12"/>
      <c r="B174" s="1" t="s">
        <v>548</v>
      </c>
      <c r="C174" s="1" t="s">
        <v>192</v>
      </c>
      <c r="AH174" s="13"/>
    </row>
    <row r="175" spans="1:34">
      <c r="A175" s="12"/>
      <c r="B175" s="1" t="s">
        <v>549</v>
      </c>
      <c r="C175" s="1" t="s">
        <v>211</v>
      </c>
      <c r="AH175" s="13"/>
    </row>
    <row r="176" spans="1:34">
      <c r="A176" s="12"/>
      <c r="B176" s="1" t="s">
        <v>550</v>
      </c>
      <c r="C176" s="1" t="s">
        <v>193</v>
      </c>
      <c r="M176" s="506"/>
      <c r="N176" s="506"/>
      <c r="O176" s="506"/>
      <c r="AH176" s="13"/>
    </row>
    <row r="177" spans="1:34">
      <c r="A177" s="12"/>
      <c r="B177" s="1" t="s">
        <v>551</v>
      </c>
      <c r="C177" s="1" t="s">
        <v>194</v>
      </c>
      <c r="AH177" s="13"/>
    </row>
    <row r="178" spans="1:34">
      <c r="A178" s="12"/>
      <c r="B178" s="1" t="s">
        <v>552</v>
      </c>
      <c r="C178" s="1" t="s">
        <v>195</v>
      </c>
      <c r="M178" s="506"/>
      <c r="N178" s="506"/>
      <c r="O178" s="506"/>
      <c r="AH178" s="13"/>
    </row>
    <row r="179" spans="1:34">
      <c r="A179" s="12"/>
      <c r="B179" s="1" t="s">
        <v>553</v>
      </c>
      <c r="C179" s="1" t="s">
        <v>196</v>
      </c>
      <c r="AH179" s="13"/>
    </row>
    <row r="180" spans="1:34">
      <c r="A180" s="12"/>
      <c r="B180" s="1" t="s">
        <v>554</v>
      </c>
      <c r="C180" s="1" t="s">
        <v>197</v>
      </c>
      <c r="M180" s="506"/>
      <c r="N180" s="506"/>
      <c r="O180" s="506"/>
      <c r="AH180" s="13"/>
    </row>
    <row r="181" spans="1:34">
      <c r="A181" s="12"/>
      <c r="B181" s="1" t="s">
        <v>555</v>
      </c>
      <c r="C181" s="1" t="s">
        <v>198</v>
      </c>
      <c r="AH181" s="13"/>
    </row>
    <row r="182" spans="1:34">
      <c r="A182" s="12"/>
      <c r="B182" s="1" t="s">
        <v>556</v>
      </c>
      <c r="C182" s="1" t="s">
        <v>199</v>
      </c>
      <c r="M182" s="506"/>
      <c r="N182" s="506"/>
      <c r="O182" s="506"/>
      <c r="AH182" s="13"/>
    </row>
    <row r="183" spans="1:34">
      <c r="A183" s="12"/>
      <c r="B183" s="1" t="s">
        <v>557</v>
      </c>
      <c r="C183" s="1" t="s">
        <v>200</v>
      </c>
      <c r="AH183" s="13"/>
    </row>
    <row r="184" spans="1:34">
      <c r="A184" s="12"/>
      <c r="B184" s="1" t="s">
        <v>558</v>
      </c>
      <c r="C184" s="1" t="s">
        <v>201</v>
      </c>
      <c r="AH184" s="13"/>
    </row>
    <row r="185" spans="1:34">
      <c r="A185" s="12"/>
      <c r="B185" s="1" t="s">
        <v>559</v>
      </c>
      <c r="C185" s="1" t="s">
        <v>202</v>
      </c>
      <c r="M185" s="506"/>
      <c r="N185" s="506"/>
      <c r="O185" s="506"/>
      <c r="AH185" s="13"/>
    </row>
    <row r="186" spans="1:34">
      <c r="A186" s="12"/>
      <c r="B186" s="1" t="s">
        <v>560</v>
      </c>
      <c r="C186" s="1" t="s">
        <v>203</v>
      </c>
      <c r="AH186" s="13"/>
    </row>
    <row r="187" spans="1:34">
      <c r="A187" s="12"/>
      <c r="B187" s="1" t="s">
        <v>561</v>
      </c>
      <c r="C187" s="1" t="s">
        <v>204</v>
      </c>
      <c r="AH187" s="13"/>
    </row>
    <row r="188" spans="1:34">
      <c r="A188" s="12"/>
      <c r="B188" s="1" t="s">
        <v>562</v>
      </c>
      <c r="C188" s="1" t="s">
        <v>205</v>
      </c>
      <c r="M188" s="506"/>
      <c r="N188" s="506"/>
      <c r="O188" s="506"/>
      <c r="AH188" s="13"/>
    </row>
    <row r="189" spans="1:34">
      <c r="A189" s="12"/>
      <c r="B189" s="1" t="s">
        <v>563</v>
      </c>
      <c r="C189" s="1" t="s">
        <v>206</v>
      </c>
      <c r="AH189" s="13"/>
    </row>
    <row r="190" spans="1:34">
      <c r="A190" s="12"/>
      <c r="B190" s="1" t="s">
        <v>564</v>
      </c>
      <c r="C190" s="1" t="s">
        <v>207</v>
      </c>
      <c r="AH190" s="13"/>
    </row>
    <row r="191" spans="1:34">
      <c r="A191" s="12"/>
      <c r="B191" s="1" t="s">
        <v>565</v>
      </c>
      <c r="C191" s="1" t="s">
        <v>208</v>
      </c>
      <c r="M191" s="506"/>
      <c r="N191" s="506"/>
      <c r="O191" s="506"/>
      <c r="AH191" s="13"/>
    </row>
    <row r="192" spans="1:34">
      <c r="A192" s="12"/>
      <c r="B192" s="1" t="s">
        <v>566</v>
      </c>
      <c r="C192" s="1" t="s">
        <v>209</v>
      </c>
      <c r="AH192" s="13"/>
    </row>
    <row r="193" spans="1:34">
      <c r="A193" s="12"/>
      <c r="B193" s="1" t="s">
        <v>567</v>
      </c>
      <c r="C193" s="1" t="s">
        <v>210</v>
      </c>
      <c r="AH193" s="13"/>
    </row>
    <row r="194" spans="1:34">
      <c r="A194" s="12"/>
      <c r="B194" s="1" t="s">
        <v>568</v>
      </c>
      <c r="C194" s="1" t="s">
        <v>218</v>
      </c>
      <c r="AH194" s="13"/>
    </row>
    <row r="195" spans="1:34">
      <c r="A195" s="12"/>
      <c r="M195" s="506"/>
      <c r="N195" s="506"/>
      <c r="O195" s="506"/>
      <c r="AH195" s="13"/>
    </row>
    <row r="196" spans="1:34">
      <c r="A196" s="499" t="s">
        <v>42</v>
      </c>
      <c r="B196" s="500"/>
      <c r="C196" s="500"/>
      <c r="D196" s="500"/>
      <c r="E196" s="500"/>
      <c r="F196" s="500"/>
      <c r="G196" s="500"/>
      <c r="H196" s="500"/>
      <c r="I196" s="500"/>
      <c r="J196" s="500"/>
      <c r="K196" s="500"/>
      <c r="L196" s="500"/>
      <c r="M196" s="500"/>
      <c r="N196" s="500"/>
      <c r="O196" s="500"/>
      <c r="P196" s="500"/>
      <c r="Q196" s="500"/>
      <c r="R196" s="500"/>
      <c r="S196" s="500"/>
      <c r="T196" s="500"/>
      <c r="U196" s="500"/>
      <c r="V196" s="500"/>
      <c r="W196" s="500"/>
      <c r="X196" s="500"/>
      <c r="Y196" s="500"/>
      <c r="Z196" s="500"/>
      <c r="AA196" s="500"/>
      <c r="AB196" s="500"/>
      <c r="AC196" s="500"/>
      <c r="AD196" s="500"/>
      <c r="AE196" s="500"/>
      <c r="AF196" s="500"/>
      <c r="AG196" s="500"/>
      <c r="AH196" s="501"/>
    </row>
    <row r="197" spans="1:34">
      <c r="A197" s="12"/>
      <c r="M197" s="506"/>
      <c r="N197" s="506"/>
      <c r="O197" s="506"/>
      <c r="AH197" s="13"/>
    </row>
    <row r="198" spans="1:34">
      <c r="A198" s="12"/>
      <c r="B198" s="1" t="s">
        <v>957</v>
      </c>
      <c r="M198" s="297"/>
      <c r="N198" s="297"/>
      <c r="O198" s="297"/>
      <c r="AH198" s="13"/>
    </row>
    <row r="199" spans="1:34">
      <c r="A199" s="12"/>
      <c r="M199" s="297"/>
      <c r="N199" s="297"/>
      <c r="O199" s="297"/>
      <c r="AH199" s="13"/>
    </row>
    <row r="200" spans="1:34" s="300" customFormat="1">
      <c r="A200" s="229"/>
      <c r="B200" s="300" t="s">
        <v>226</v>
      </c>
      <c r="M200" s="507"/>
      <c r="N200" s="507"/>
      <c r="O200" s="507"/>
      <c r="AH200" s="230"/>
    </row>
    <row r="201" spans="1:34" s="300" customFormat="1">
      <c r="A201" s="229"/>
      <c r="AH201" s="230"/>
    </row>
    <row r="202" spans="1:34" s="300" customFormat="1">
      <c r="A202" s="229"/>
      <c r="B202" s="301" t="s">
        <v>958</v>
      </c>
      <c r="AH202" s="230"/>
    </row>
    <row r="203" spans="1:34" s="300" customFormat="1">
      <c r="A203" s="229"/>
      <c r="B203" s="301"/>
      <c r="AH203" s="230"/>
    </row>
    <row r="204" spans="1:34" s="300" customFormat="1">
      <c r="A204" s="229"/>
      <c r="B204" s="300" t="s">
        <v>579</v>
      </c>
      <c r="AH204" s="230"/>
    </row>
    <row r="205" spans="1:34" s="300" customFormat="1">
      <c r="A205" s="229"/>
      <c r="AH205" s="230"/>
    </row>
    <row r="206" spans="1:34" s="300" customFormat="1">
      <c r="A206" s="229"/>
      <c r="B206" s="301" t="s">
        <v>1369</v>
      </c>
      <c r="AH206" s="230"/>
    </row>
    <row r="207" spans="1:34" s="300" customFormat="1" hidden="1">
      <c r="A207" s="229"/>
      <c r="AH207" s="230"/>
    </row>
    <row r="208" spans="1:34" s="300" customFormat="1" hidden="1">
      <c r="A208" s="229"/>
      <c r="AH208" s="230"/>
    </row>
    <row r="209" spans="1:34" s="300" customFormat="1" hidden="1">
      <c r="A209" s="229"/>
      <c r="B209" s="300" t="s">
        <v>478</v>
      </c>
      <c r="AH209" s="230"/>
    </row>
    <row r="210" spans="1:34" s="300" customFormat="1" hidden="1">
      <c r="A210" s="229"/>
      <c r="B210" s="300" t="s">
        <v>525</v>
      </c>
      <c r="AH210" s="230"/>
    </row>
    <row r="211" spans="1:34" s="300" customFormat="1" hidden="1">
      <c r="A211" s="229"/>
      <c r="B211" s="300" t="s">
        <v>537</v>
      </c>
      <c r="AH211" s="230"/>
    </row>
    <row r="212" spans="1:34" s="300" customFormat="1" hidden="1">
      <c r="A212" s="229"/>
      <c r="B212" s="300" t="s">
        <v>541</v>
      </c>
      <c r="AH212" s="230"/>
    </row>
    <row r="213" spans="1:34" s="300" customFormat="1" hidden="1">
      <c r="A213" s="229"/>
      <c r="B213" s="300" t="s">
        <v>538</v>
      </c>
      <c r="AH213" s="230"/>
    </row>
    <row r="214" spans="1:34" s="300" customFormat="1" hidden="1">
      <c r="A214" s="229"/>
      <c r="B214" s="300" t="s">
        <v>545</v>
      </c>
      <c r="AH214" s="230"/>
    </row>
    <row r="215" spans="1:34" s="300" customFormat="1" hidden="1">
      <c r="A215" s="229"/>
      <c r="B215" s="300" t="s">
        <v>539</v>
      </c>
      <c r="AH215" s="230"/>
    </row>
    <row r="216" spans="1:34" s="300" customFormat="1" hidden="1">
      <c r="A216" s="229"/>
      <c r="B216" s="300" t="s">
        <v>542</v>
      </c>
      <c r="AH216" s="230"/>
    </row>
    <row r="217" spans="1:34" s="300" customFormat="1" hidden="1">
      <c r="A217" s="229"/>
      <c r="B217" s="300" t="s">
        <v>544</v>
      </c>
      <c r="AH217" s="230"/>
    </row>
    <row r="218" spans="1:34" s="300" customFormat="1" hidden="1">
      <c r="A218" s="229"/>
      <c r="B218" s="300" t="s">
        <v>540</v>
      </c>
      <c r="AH218" s="230"/>
    </row>
    <row r="219" spans="1:34" s="300" customFormat="1" hidden="1">
      <c r="A219" s="229"/>
      <c r="B219" s="300" t="s">
        <v>543</v>
      </c>
      <c r="AH219" s="230"/>
    </row>
    <row r="220" spans="1:34" s="300" customFormat="1" hidden="1">
      <c r="A220" s="229"/>
      <c r="B220" s="300" t="s">
        <v>570</v>
      </c>
      <c r="AH220" s="230"/>
    </row>
    <row r="221" spans="1:34" s="300" customFormat="1" hidden="1">
      <c r="A221" s="229"/>
      <c r="B221" s="300" t="s">
        <v>571</v>
      </c>
      <c r="AH221" s="230"/>
    </row>
    <row r="222" spans="1:34" s="300" customFormat="1" hidden="1">
      <c r="A222" s="229"/>
      <c r="B222" s="300" t="s">
        <v>534</v>
      </c>
      <c r="AH222" s="230"/>
    </row>
    <row r="223" spans="1:34" s="300" customFormat="1" hidden="1">
      <c r="A223" s="229"/>
      <c r="B223" s="300" t="s">
        <v>534</v>
      </c>
      <c r="AH223" s="230"/>
    </row>
    <row r="224" spans="1:34" s="300" customFormat="1" hidden="1">
      <c r="A224" s="229"/>
      <c r="B224" s="300" t="s">
        <v>534</v>
      </c>
      <c r="AH224" s="230"/>
    </row>
    <row r="225" spans="1:34" s="300" customFormat="1" hidden="1">
      <c r="A225" s="229"/>
      <c r="B225" s="300" t="s">
        <v>479</v>
      </c>
      <c r="AH225" s="230"/>
    </row>
    <row r="226" spans="1:34" s="300" customFormat="1" hidden="1">
      <c r="A226" s="229"/>
      <c r="B226" s="300" t="s">
        <v>480</v>
      </c>
      <c r="AH226" s="230"/>
    </row>
    <row r="227" spans="1:34" s="300" customFormat="1" hidden="1">
      <c r="A227" s="229"/>
      <c r="B227" s="300" t="s">
        <v>481</v>
      </c>
      <c r="AH227" s="230"/>
    </row>
    <row r="228" spans="1:34" s="300" customFormat="1" hidden="1">
      <c r="A228" s="229"/>
      <c r="B228" s="300" t="s">
        <v>482</v>
      </c>
      <c r="AH228" s="230"/>
    </row>
    <row r="229" spans="1:34" s="300" customFormat="1" hidden="1">
      <c r="A229" s="229"/>
      <c r="B229" s="300" t="s">
        <v>483</v>
      </c>
      <c r="AH229" s="230"/>
    </row>
    <row r="230" spans="1:34" s="300" customFormat="1" hidden="1">
      <c r="A230" s="229"/>
      <c r="B230" s="300" t="s">
        <v>484</v>
      </c>
      <c r="AH230" s="230"/>
    </row>
    <row r="231" spans="1:34" s="300" customFormat="1" hidden="1">
      <c r="A231" s="229"/>
      <c r="B231" s="300" t="s">
        <v>485</v>
      </c>
      <c r="AH231" s="230"/>
    </row>
    <row r="232" spans="1:34" s="300" customFormat="1" hidden="1">
      <c r="A232" s="229"/>
      <c r="B232" s="300" t="s">
        <v>486</v>
      </c>
      <c r="AH232" s="230"/>
    </row>
    <row r="233" spans="1:34" s="300" customFormat="1" hidden="1">
      <c r="A233" s="229"/>
      <c r="B233" s="300" t="s">
        <v>487</v>
      </c>
      <c r="AH233" s="230"/>
    </row>
    <row r="234" spans="1:34" s="300" customFormat="1" hidden="1">
      <c r="A234" s="229"/>
      <c r="B234" s="300" t="s">
        <v>488</v>
      </c>
      <c r="AH234" s="230"/>
    </row>
    <row r="235" spans="1:34" s="300" customFormat="1" hidden="1">
      <c r="A235" s="229"/>
      <c r="B235" s="300" t="s">
        <v>245</v>
      </c>
      <c r="AH235" s="230"/>
    </row>
    <row r="236" spans="1:34" s="300" customFormat="1" hidden="1">
      <c r="A236" s="229"/>
      <c r="B236" s="300" t="s">
        <v>489</v>
      </c>
      <c r="AH236" s="230"/>
    </row>
    <row r="237" spans="1:34" s="300" customFormat="1" hidden="1">
      <c r="A237" s="229"/>
      <c r="B237" s="300" t="s">
        <v>490</v>
      </c>
      <c r="AH237" s="230"/>
    </row>
    <row r="238" spans="1:34" s="300" customFormat="1" hidden="1">
      <c r="A238" s="229"/>
      <c r="B238" s="300" t="s">
        <v>491</v>
      </c>
      <c r="AH238" s="230"/>
    </row>
    <row r="239" spans="1:34" s="300" customFormat="1" hidden="1">
      <c r="A239" s="229"/>
      <c r="B239" s="300" t="s">
        <v>492</v>
      </c>
      <c r="AH239" s="230"/>
    </row>
    <row r="240" spans="1:34" s="300" customFormat="1" hidden="1">
      <c r="A240" s="229"/>
      <c r="B240" s="300" t="s">
        <v>493</v>
      </c>
      <c r="AH240" s="230"/>
    </row>
    <row r="241" spans="1:34" s="300" customFormat="1" hidden="1">
      <c r="A241" s="229"/>
      <c r="B241" s="300" t="s">
        <v>494</v>
      </c>
      <c r="AH241" s="230"/>
    </row>
    <row r="242" spans="1:34" s="300" customFormat="1" hidden="1">
      <c r="A242" s="229"/>
      <c r="B242" s="300" t="s">
        <v>246</v>
      </c>
      <c r="AH242" s="230"/>
    </row>
    <row r="243" spans="1:34" s="300" customFormat="1" hidden="1">
      <c r="A243" s="229"/>
      <c r="B243" s="300" t="s">
        <v>495</v>
      </c>
      <c r="AH243" s="230"/>
    </row>
    <row r="244" spans="1:34" s="300" customFormat="1" hidden="1">
      <c r="A244" s="229"/>
      <c r="B244" s="300" t="s">
        <v>496</v>
      </c>
      <c r="AH244" s="230"/>
    </row>
    <row r="245" spans="1:34" s="300" customFormat="1" hidden="1">
      <c r="A245" s="229"/>
      <c r="B245" s="300" t="s">
        <v>497</v>
      </c>
      <c r="AH245" s="230"/>
    </row>
    <row r="246" spans="1:34" s="300" customFormat="1" hidden="1">
      <c r="A246" s="229"/>
      <c r="B246" s="300" t="s">
        <v>498</v>
      </c>
      <c r="AH246" s="230"/>
    </row>
    <row r="247" spans="1:34" s="300" customFormat="1" hidden="1">
      <c r="A247" s="229"/>
      <c r="B247" s="300" t="s">
        <v>499</v>
      </c>
      <c r="AH247" s="230"/>
    </row>
    <row r="248" spans="1:34" s="300" customFormat="1" hidden="1">
      <c r="A248" s="229"/>
      <c r="B248" s="300" t="s">
        <v>500</v>
      </c>
      <c r="AH248" s="230"/>
    </row>
    <row r="249" spans="1:34" s="300" customFormat="1" hidden="1">
      <c r="A249" s="229"/>
      <c r="B249" s="300" t="s">
        <v>501</v>
      </c>
      <c r="AH249" s="230"/>
    </row>
    <row r="250" spans="1:34" s="300" customFormat="1" hidden="1">
      <c r="A250" s="229"/>
      <c r="B250" s="300" t="s">
        <v>502</v>
      </c>
      <c r="AH250" s="230"/>
    </row>
    <row r="251" spans="1:34" s="300" customFormat="1" hidden="1">
      <c r="A251" s="229"/>
      <c r="B251" s="300" t="s">
        <v>503</v>
      </c>
      <c r="AH251" s="230"/>
    </row>
    <row r="252" spans="1:34" s="300" customFormat="1" hidden="1">
      <c r="A252" s="229"/>
      <c r="B252" s="300" t="s">
        <v>504</v>
      </c>
      <c r="AH252" s="230"/>
    </row>
    <row r="253" spans="1:34" s="300" customFormat="1" hidden="1">
      <c r="A253" s="229"/>
      <c r="B253" s="300" t="s">
        <v>505</v>
      </c>
      <c r="AH253" s="230"/>
    </row>
    <row r="254" spans="1:34" s="300" customFormat="1" hidden="1">
      <c r="A254" s="229"/>
      <c r="B254" s="300" t="s">
        <v>506</v>
      </c>
      <c r="AH254" s="230"/>
    </row>
    <row r="255" spans="1:34" s="300" customFormat="1" hidden="1">
      <c r="A255" s="229"/>
      <c r="B255" s="300" t="s">
        <v>507</v>
      </c>
      <c r="AH255" s="230"/>
    </row>
    <row r="256" spans="1:34" s="300" customFormat="1" hidden="1">
      <c r="A256" s="229"/>
      <c r="B256" s="300" t="s">
        <v>508</v>
      </c>
      <c r="AH256" s="230"/>
    </row>
    <row r="257" spans="1:34" s="300" customFormat="1" hidden="1">
      <c r="A257" s="229"/>
      <c r="B257" s="300" t="s">
        <v>509</v>
      </c>
      <c r="AH257" s="230"/>
    </row>
    <row r="258" spans="1:34" s="300" customFormat="1" hidden="1">
      <c r="A258" s="229"/>
      <c r="B258" s="300" t="s">
        <v>510</v>
      </c>
      <c r="AH258" s="230"/>
    </row>
    <row r="259" spans="1:34" s="300" customFormat="1" hidden="1">
      <c r="A259" s="229"/>
      <c r="B259" s="300" t="s">
        <v>247</v>
      </c>
      <c r="AH259" s="230"/>
    </row>
    <row r="260" spans="1:34" s="300" customFormat="1" hidden="1">
      <c r="A260" s="229"/>
      <c r="B260" s="300" t="s">
        <v>511</v>
      </c>
      <c r="AH260" s="230"/>
    </row>
    <row r="261" spans="1:34" s="300" customFormat="1" hidden="1">
      <c r="A261" s="229"/>
      <c r="B261" s="300" t="s">
        <v>512</v>
      </c>
      <c r="AH261" s="230"/>
    </row>
    <row r="262" spans="1:34" s="300" customFormat="1" hidden="1">
      <c r="A262" s="229"/>
      <c r="B262" s="300" t="s">
        <v>513</v>
      </c>
      <c r="AH262" s="230"/>
    </row>
    <row r="263" spans="1:34" s="300" customFormat="1" hidden="1">
      <c r="A263" s="229"/>
      <c r="B263" s="300" t="s">
        <v>514</v>
      </c>
      <c r="AH263" s="230"/>
    </row>
    <row r="264" spans="1:34" s="300" customFormat="1" hidden="1">
      <c r="A264" s="229"/>
      <c r="B264" s="300" t="s">
        <v>515</v>
      </c>
      <c r="AH264" s="230"/>
    </row>
    <row r="265" spans="1:34" s="300" customFormat="1" hidden="1">
      <c r="A265" s="229"/>
      <c r="B265" s="300" t="s">
        <v>516</v>
      </c>
      <c r="AH265" s="230"/>
    </row>
    <row r="266" spans="1:34" s="300" customFormat="1" hidden="1">
      <c r="A266" s="229"/>
      <c r="B266" s="300" t="s">
        <v>517</v>
      </c>
      <c r="AH266" s="230"/>
    </row>
    <row r="267" spans="1:34" s="300" customFormat="1" hidden="1">
      <c r="A267" s="229"/>
      <c r="B267" s="300" t="s">
        <v>518</v>
      </c>
      <c r="AH267" s="230"/>
    </row>
    <row r="268" spans="1:34" s="300" customFormat="1" hidden="1">
      <c r="A268" s="229"/>
      <c r="B268" s="300" t="s">
        <v>519</v>
      </c>
      <c r="AH268" s="230"/>
    </row>
    <row r="269" spans="1:34" s="300" customFormat="1" hidden="1">
      <c r="A269" s="229"/>
      <c r="B269" s="300" t="s">
        <v>520</v>
      </c>
      <c r="AH269" s="230"/>
    </row>
    <row r="270" spans="1:34" s="300" customFormat="1" hidden="1">
      <c r="A270" s="229"/>
      <c r="B270" s="300" t="s">
        <v>521</v>
      </c>
      <c r="AH270" s="230"/>
    </row>
    <row r="271" spans="1:34" s="300" customFormat="1" hidden="1">
      <c r="A271" s="229"/>
      <c r="B271" s="300" t="s">
        <v>522</v>
      </c>
      <c r="AH271" s="230"/>
    </row>
    <row r="272" spans="1:34" s="300" customFormat="1" hidden="1">
      <c r="A272" s="229"/>
      <c r="B272" s="300" t="s">
        <v>523</v>
      </c>
      <c r="AH272" s="230"/>
    </row>
    <row r="273" spans="1:34" s="300" customFormat="1" hidden="1">
      <c r="A273" s="229"/>
      <c r="B273" s="300" t="s">
        <v>524</v>
      </c>
      <c r="AH273" s="230"/>
    </row>
    <row r="274" spans="1:34" s="300" customFormat="1" hidden="1">
      <c r="A274" s="229"/>
      <c r="B274" s="300" t="s">
        <v>535</v>
      </c>
      <c r="AH274" s="230"/>
    </row>
    <row r="275" spans="1:34" s="300" customFormat="1" hidden="1">
      <c r="A275" s="229"/>
      <c r="B275" s="300" t="s">
        <v>536</v>
      </c>
      <c r="AH275" s="230"/>
    </row>
    <row r="276" spans="1:34" s="300" customFormat="1" hidden="1">
      <c r="A276" s="229"/>
      <c r="B276" s="300" t="s">
        <v>569</v>
      </c>
      <c r="AH276" s="230"/>
    </row>
    <row r="277" spans="1:34" s="300" customFormat="1" hidden="1">
      <c r="A277" s="229"/>
      <c r="AH277" s="230"/>
    </row>
    <row r="278" spans="1:34" s="300" customFormat="1" hidden="1">
      <c r="A278" s="229"/>
      <c r="B278" s="300" t="s">
        <v>248</v>
      </c>
      <c r="AH278" s="230"/>
    </row>
    <row r="279" spans="1:34" s="300" customFormat="1" hidden="1">
      <c r="A279" s="229"/>
      <c r="AH279" s="230"/>
    </row>
    <row r="280" spans="1:34" s="300" customFormat="1" hidden="1">
      <c r="A280" s="229"/>
      <c r="B280" s="300" t="s">
        <v>249</v>
      </c>
      <c r="AH280" s="230"/>
    </row>
    <row r="281" spans="1:34" s="300" customFormat="1" hidden="1">
      <c r="A281" s="229"/>
      <c r="B281" s="300" t="s">
        <v>250</v>
      </c>
      <c r="AH281" s="230"/>
    </row>
    <row r="282" spans="1:34" s="300" customFormat="1" hidden="1">
      <c r="A282" s="229"/>
      <c r="B282" s="300" t="s">
        <v>251</v>
      </c>
      <c r="AH282" s="230"/>
    </row>
    <row r="283" spans="1:34" s="300" customFormat="1" hidden="1">
      <c r="A283" s="229"/>
      <c r="B283" s="300" t="s">
        <v>252</v>
      </c>
      <c r="AH283" s="230"/>
    </row>
    <row r="284" spans="1:34" s="300" customFormat="1" hidden="1">
      <c r="A284" s="229"/>
      <c r="B284" s="300" t="s">
        <v>253</v>
      </c>
      <c r="AH284" s="230"/>
    </row>
    <row r="285" spans="1:34" s="300" customFormat="1" hidden="1">
      <c r="A285" s="229"/>
      <c r="B285" s="300" t="s">
        <v>254</v>
      </c>
      <c r="AH285" s="230"/>
    </row>
    <row r="286" spans="1:34" s="300" customFormat="1" hidden="1">
      <c r="A286" s="229"/>
      <c r="B286" s="300" t="s">
        <v>255</v>
      </c>
      <c r="AH286" s="230"/>
    </row>
    <row r="287" spans="1:34" s="300" customFormat="1" hidden="1">
      <c r="A287" s="229"/>
      <c r="B287" s="300" t="s">
        <v>256</v>
      </c>
      <c r="AH287" s="230"/>
    </row>
    <row r="288" spans="1:34" s="300" customFormat="1" hidden="1">
      <c r="A288" s="229"/>
      <c r="B288" s="300" t="s">
        <v>257</v>
      </c>
      <c r="AH288" s="230"/>
    </row>
    <row r="289" spans="1:34" s="300" customFormat="1" hidden="1">
      <c r="A289" s="229"/>
      <c r="B289" s="300" t="s">
        <v>258</v>
      </c>
      <c r="AH289" s="230"/>
    </row>
    <row r="290" spans="1:34" s="300" customFormat="1" hidden="1">
      <c r="A290" s="229"/>
      <c r="B290" s="300" t="s">
        <v>259</v>
      </c>
      <c r="AH290" s="230"/>
    </row>
    <row r="291" spans="1:34" s="300" customFormat="1" hidden="1">
      <c r="A291" s="229"/>
      <c r="B291" s="300" t="s">
        <v>260</v>
      </c>
      <c r="AH291" s="230"/>
    </row>
    <row r="292" spans="1:34" s="300" customFormat="1" hidden="1">
      <c r="A292" s="229"/>
      <c r="AH292" s="230"/>
    </row>
    <row r="293" spans="1:34" s="300" customFormat="1" hidden="1">
      <c r="A293" s="229"/>
      <c r="B293" s="300" t="s">
        <v>261</v>
      </c>
      <c r="AH293" s="230"/>
    </row>
    <row r="294" spans="1:34" s="300" customFormat="1" hidden="1">
      <c r="A294" s="229"/>
      <c r="B294" s="300" t="s">
        <v>262</v>
      </c>
      <c r="AH294" s="230"/>
    </row>
    <row r="295" spans="1:34" s="300" customFormat="1" hidden="1">
      <c r="A295" s="229"/>
      <c r="B295" s="300" t="s">
        <v>263</v>
      </c>
      <c r="AH295" s="230"/>
    </row>
    <row r="296" spans="1:34" s="300" customFormat="1" hidden="1">
      <c r="A296" s="229"/>
      <c r="B296" s="300" t="s">
        <v>264</v>
      </c>
      <c r="AH296" s="230"/>
    </row>
    <row r="297" spans="1:34" s="300" customFormat="1" hidden="1">
      <c r="A297" s="229"/>
      <c r="B297" s="300" t="s">
        <v>265</v>
      </c>
      <c r="AH297" s="230"/>
    </row>
    <row r="298" spans="1:34" s="300" customFormat="1" hidden="1">
      <c r="A298" s="229"/>
      <c r="B298" s="300" t="s">
        <v>266</v>
      </c>
      <c r="AH298" s="230"/>
    </row>
    <row r="299" spans="1:34" s="300" customFormat="1" hidden="1">
      <c r="A299" s="229"/>
      <c r="B299" s="300" t="s">
        <v>267</v>
      </c>
      <c r="AH299" s="230"/>
    </row>
    <row r="300" spans="1:34" s="300" customFormat="1" hidden="1">
      <c r="A300" s="229"/>
      <c r="B300" s="300" t="s">
        <v>268</v>
      </c>
      <c r="AH300" s="230"/>
    </row>
    <row r="301" spans="1:34" s="300" customFormat="1" hidden="1">
      <c r="A301" s="229"/>
      <c r="B301" s="300" t="s">
        <v>269</v>
      </c>
      <c r="AH301" s="230"/>
    </row>
    <row r="302" spans="1:34" s="300" customFormat="1" hidden="1">
      <c r="A302" s="229"/>
      <c r="B302" s="300" t="s">
        <v>270</v>
      </c>
      <c r="AH302" s="230"/>
    </row>
    <row r="303" spans="1:34" s="300" customFormat="1" hidden="1">
      <c r="A303" s="229"/>
      <c r="B303" s="300" t="s">
        <v>271</v>
      </c>
      <c r="AH303" s="230"/>
    </row>
    <row r="304" spans="1:34" s="300" customFormat="1" hidden="1">
      <c r="A304" s="229"/>
      <c r="B304" s="300" t="s">
        <v>272</v>
      </c>
      <c r="AH304" s="230"/>
    </row>
    <row r="305" spans="1:34" s="300" customFormat="1" hidden="1">
      <c r="A305" s="229"/>
      <c r="AH305" s="230"/>
    </row>
    <row r="306" spans="1:34" s="300" customFormat="1" hidden="1">
      <c r="A306" s="229"/>
      <c r="B306" s="300" t="s">
        <v>273</v>
      </c>
      <c r="AH306" s="230"/>
    </row>
    <row r="307" spans="1:34" s="300" customFormat="1" hidden="1">
      <c r="A307" s="229"/>
      <c r="B307" s="300" t="s">
        <v>274</v>
      </c>
      <c r="AH307" s="230"/>
    </row>
    <row r="308" spans="1:34" s="300" customFormat="1" hidden="1">
      <c r="A308" s="229"/>
      <c r="B308" s="300" t="s">
        <v>275</v>
      </c>
      <c r="AH308" s="230"/>
    </row>
    <row r="309" spans="1:34" s="300" customFormat="1" hidden="1">
      <c r="A309" s="229"/>
      <c r="B309" s="300" t="s">
        <v>276</v>
      </c>
      <c r="AH309" s="230"/>
    </row>
    <row r="310" spans="1:34" s="300" customFormat="1" hidden="1">
      <c r="A310" s="229"/>
      <c r="B310" s="300" t="s">
        <v>277</v>
      </c>
      <c r="AH310" s="230"/>
    </row>
    <row r="311" spans="1:34" s="300" customFormat="1" hidden="1">
      <c r="A311" s="229"/>
      <c r="B311" s="300" t="s">
        <v>278</v>
      </c>
      <c r="AH311" s="230"/>
    </row>
    <row r="312" spans="1:34" s="300" customFormat="1" hidden="1">
      <c r="A312" s="229"/>
      <c r="B312" s="300" t="s">
        <v>279</v>
      </c>
      <c r="AH312" s="230"/>
    </row>
    <row r="313" spans="1:34" s="300" customFormat="1" hidden="1">
      <c r="A313" s="229"/>
      <c r="B313" s="300" t="s">
        <v>280</v>
      </c>
      <c r="AH313" s="230"/>
    </row>
    <row r="314" spans="1:34" s="300" customFormat="1" hidden="1">
      <c r="A314" s="229"/>
      <c r="B314" s="300" t="s">
        <v>281</v>
      </c>
      <c r="AH314" s="230"/>
    </row>
    <row r="315" spans="1:34" s="300" customFormat="1" hidden="1">
      <c r="A315" s="229"/>
      <c r="B315" s="300" t="s">
        <v>282</v>
      </c>
      <c r="AH315" s="230"/>
    </row>
    <row r="316" spans="1:34" s="300" customFormat="1" hidden="1">
      <c r="A316" s="229"/>
      <c r="B316" s="300" t="s">
        <v>283</v>
      </c>
      <c r="AH316" s="230"/>
    </row>
    <row r="317" spans="1:34" s="300" customFormat="1" hidden="1">
      <c r="A317" s="229"/>
      <c r="B317" s="300" t="s">
        <v>284</v>
      </c>
      <c r="AH317" s="230"/>
    </row>
    <row r="318" spans="1:34" s="300" customFormat="1" hidden="1">
      <c r="A318" s="229"/>
      <c r="B318" s="300" t="s">
        <v>285</v>
      </c>
      <c r="AH318" s="230"/>
    </row>
    <row r="319" spans="1:34" s="300" customFormat="1" hidden="1">
      <c r="A319" s="229"/>
      <c r="B319" s="300" t="s">
        <v>286</v>
      </c>
      <c r="AH319" s="230"/>
    </row>
    <row r="320" spans="1:34" s="300" customFormat="1" hidden="1">
      <c r="A320" s="229"/>
      <c r="B320" s="300" t="s">
        <v>287</v>
      </c>
      <c r="AH320" s="230"/>
    </row>
    <row r="321" spans="1:34" s="300" customFormat="1" hidden="1">
      <c r="A321" s="229"/>
      <c r="B321" s="300" t="s">
        <v>288</v>
      </c>
      <c r="AH321" s="230"/>
    </row>
    <row r="322" spans="1:34" s="300" customFormat="1" hidden="1">
      <c r="A322" s="229"/>
      <c r="B322" s="300" t="s">
        <v>289</v>
      </c>
      <c r="AH322" s="230"/>
    </row>
    <row r="323" spans="1:34" s="300" customFormat="1" hidden="1">
      <c r="A323" s="229"/>
      <c r="AH323" s="230"/>
    </row>
    <row r="324" spans="1:34" s="300" customFormat="1" hidden="1">
      <c r="A324" s="229"/>
      <c r="B324" s="300" t="s">
        <v>290</v>
      </c>
      <c r="AH324" s="230"/>
    </row>
    <row r="325" spans="1:34" s="300" customFormat="1" hidden="1">
      <c r="A325" s="229"/>
      <c r="B325" s="300" t="s">
        <v>291</v>
      </c>
      <c r="AH325" s="230"/>
    </row>
    <row r="326" spans="1:34" s="300" customFormat="1" hidden="1">
      <c r="A326" s="229"/>
      <c r="B326" s="300" t="s">
        <v>292</v>
      </c>
      <c r="AH326" s="230"/>
    </row>
    <row r="327" spans="1:34" s="300" customFormat="1" hidden="1">
      <c r="A327" s="229"/>
      <c r="B327" s="300" t="s">
        <v>293</v>
      </c>
      <c r="AH327" s="230"/>
    </row>
    <row r="328" spans="1:34" s="300" customFormat="1" hidden="1">
      <c r="A328" s="229"/>
      <c r="B328" s="300" t="s">
        <v>294</v>
      </c>
      <c r="AH328" s="230"/>
    </row>
    <row r="329" spans="1:34" s="300" customFormat="1" hidden="1">
      <c r="A329" s="229"/>
      <c r="B329" s="300" t="s">
        <v>295</v>
      </c>
      <c r="AH329" s="230"/>
    </row>
    <row r="330" spans="1:34" s="300" customFormat="1" hidden="1">
      <c r="A330" s="229"/>
      <c r="AH330" s="230"/>
    </row>
    <row r="331" spans="1:34" s="300" customFormat="1" hidden="1">
      <c r="A331" s="229"/>
      <c r="B331" s="300" t="s">
        <v>296</v>
      </c>
      <c r="AH331" s="230"/>
    </row>
    <row r="332" spans="1:34" s="300" customFormat="1" hidden="1">
      <c r="A332" s="229"/>
      <c r="B332" s="300" t="s">
        <v>297</v>
      </c>
      <c r="AH332" s="230"/>
    </row>
    <row r="333" spans="1:34" s="300" customFormat="1" hidden="1">
      <c r="A333" s="229"/>
      <c r="B333" s="300" t="s">
        <v>298</v>
      </c>
      <c r="AH333" s="230"/>
    </row>
    <row r="334" spans="1:34" s="300" customFormat="1" hidden="1">
      <c r="A334" s="229"/>
      <c r="B334" s="300" t="s">
        <v>299</v>
      </c>
      <c r="AH334" s="230"/>
    </row>
    <row r="335" spans="1:34" s="300" customFormat="1" hidden="1">
      <c r="A335" s="229"/>
      <c r="B335" s="300" t="s">
        <v>300</v>
      </c>
      <c r="AH335" s="230"/>
    </row>
    <row r="336" spans="1:34" s="300" customFormat="1" hidden="1">
      <c r="A336" s="229"/>
      <c r="B336" s="300" t="s">
        <v>301</v>
      </c>
      <c r="AH336" s="230"/>
    </row>
    <row r="337" spans="1:34" s="300" customFormat="1" hidden="1">
      <c r="A337" s="229"/>
      <c r="AH337" s="230"/>
    </row>
    <row r="338" spans="1:34" s="300" customFormat="1" hidden="1">
      <c r="A338" s="229"/>
      <c r="B338" s="300" t="s">
        <v>302</v>
      </c>
      <c r="AH338" s="230"/>
    </row>
    <row r="339" spans="1:34" s="300" customFormat="1" hidden="1">
      <c r="A339" s="229"/>
      <c r="B339" s="300" t="s">
        <v>303</v>
      </c>
      <c r="AH339" s="230"/>
    </row>
    <row r="340" spans="1:34" s="300" customFormat="1" hidden="1">
      <c r="A340" s="229"/>
      <c r="B340" s="300" t="s">
        <v>304</v>
      </c>
      <c r="AH340" s="230"/>
    </row>
    <row r="341" spans="1:34" s="300" customFormat="1" hidden="1">
      <c r="A341" s="229"/>
      <c r="AH341" s="230"/>
    </row>
    <row r="342" spans="1:34" s="300" customFormat="1" hidden="1">
      <c r="A342" s="229"/>
      <c r="B342" s="300" t="s">
        <v>305</v>
      </c>
      <c r="AH342" s="230"/>
    </row>
    <row r="343" spans="1:34" s="300" customFormat="1" hidden="1">
      <c r="A343" s="229"/>
      <c r="B343" s="300" t="s">
        <v>306</v>
      </c>
      <c r="AH343" s="230"/>
    </row>
    <row r="344" spans="1:34" s="300" customFormat="1" hidden="1">
      <c r="A344" s="229"/>
      <c r="B344" s="300" t="s">
        <v>307</v>
      </c>
      <c r="AH344" s="230"/>
    </row>
    <row r="345" spans="1:34" s="300" customFormat="1" hidden="1">
      <c r="A345" s="229"/>
      <c r="B345" s="300" t="s">
        <v>308</v>
      </c>
      <c r="AH345" s="230"/>
    </row>
    <row r="346" spans="1:34" s="300" customFormat="1" hidden="1">
      <c r="A346" s="229"/>
      <c r="B346" s="300" t="s">
        <v>309</v>
      </c>
      <c r="AH346" s="230"/>
    </row>
    <row r="347" spans="1:34" s="300" customFormat="1" hidden="1">
      <c r="A347" s="229"/>
      <c r="B347" s="300" t="s">
        <v>310</v>
      </c>
      <c r="AH347" s="230"/>
    </row>
    <row r="348" spans="1:34" s="300" customFormat="1" hidden="1">
      <c r="A348" s="229"/>
      <c r="B348" s="300" t="s">
        <v>311</v>
      </c>
      <c r="AH348" s="230"/>
    </row>
    <row r="349" spans="1:34" s="300" customFormat="1" hidden="1">
      <c r="A349" s="229"/>
      <c r="AH349" s="230"/>
    </row>
    <row r="350" spans="1:34" s="300" customFormat="1" hidden="1">
      <c r="A350" s="229"/>
      <c r="B350" s="300" t="s">
        <v>312</v>
      </c>
      <c r="AH350" s="230"/>
    </row>
    <row r="351" spans="1:34" s="300" customFormat="1" hidden="1">
      <c r="A351" s="229"/>
      <c r="B351" s="300" t="s">
        <v>313</v>
      </c>
      <c r="AH351" s="230"/>
    </row>
    <row r="352" spans="1:34" s="300" customFormat="1" hidden="1">
      <c r="A352" s="229"/>
      <c r="B352" s="300" t="s">
        <v>314</v>
      </c>
      <c r="AH352" s="230"/>
    </row>
    <row r="353" spans="1:34" s="300" customFormat="1" hidden="1">
      <c r="A353" s="229"/>
      <c r="B353" s="300" t="s">
        <v>315</v>
      </c>
      <c r="AH353" s="230"/>
    </row>
    <row r="354" spans="1:34" s="300" customFormat="1" hidden="1">
      <c r="A354" s="229"/>
      <c r="B354" s="300" t="s">
        <v>316</v>
      </c>
      <c r="AH354" s="230"/>
    </row>
    <row r="355" spans="1:34" s="300" customFormat="1" hidden="1">
      <c r="A355" s="229"/>
      <c r="B355" s="300" t="s">
        <v>317</v>
      </c>
      <c r="AH355" s="230"/>
    </row>
    <row r="356" spans="1:34" s="300" customFormat="1" hidden="1">
      <c r="A356" s="229"/>
      <c r="B356" s="300" t="s">
        <v>318</v>
      </c>
      <c r="AH356" s="230"/>
    </row>
    <row r="357" spans="1:34" s="300" customFormat="1" hidden="1">
      <c r="A357" s="229"/>
      <c r="AH357" s="230"/>
    </row>
    <row r="358" spans="1:34" s="300" customFormat="1" hidden="1">
      <c r="A358" s="229"/>
      <c r="B358" s="300" t="s">
        <v>319</v>
      </c>
      <c r="AH358" s="230"/>
    </row>
    <row r="359" spans="1:34" s="300" customFormat="1" hidden="1">
      <c r="A359" s="229"/>
      <c r="B359" s="300" t="s">
        <v>320</v>
      </c>
      <c r="AH359" s="230"/>
    </row>
    <row r="360" spans="1:34" s="300" customFormat="1" hidden="1">
      <c r="A360" s="229"/>
      <c r="B360" s="300" t="s">
        <v>321</v>
      </c>
      <c r="AH360" s="230"/>
    </row>
    <row r="361" spans="1:34" s="300" customFormat="1" hidden="1">
      <c r="A361" s="229"/>
      <c r="B361" s="300" t="s">
        <v>322</v>
      </c>
      <c r="AH361" s="230"/>
    </row>
    <row r="362" spans="1:34" s="300" customFormat="1" hidden="1">
      <c r="A362" s="229"/>
      <c r="B362" s="300" t="s">
        <v>323</v>
      </c>
      <c r="AH362" s="230"/>
    </row>
    <row r="363" spans="1:34" s="300" customFormat="1" hidden="1">
      <c r="A363" s="229"/>
      <c r="B363" s="300" t="s">
        <v>324</v>
      </c>
      <c r="AH363" s="230"/>
    </row>
    <row r="364" spans="1:34" s="300" customFormat="1" hidden="1">
      <c r="A364" s="229"/>
      <c r="AH364" s="230"/>
    </row>
    <row r="365" spans="1:34" s="300" customFormat="1" hidden="1">
      <c r="A365" s="229"/>
      <c r="B365" s="300" t="s">
        <v>325</v>
      </c>
      <c r="AH365" s="230"/>
    </row>
    <row r="366" spans="1:34" s="300" customFormat="1" hidden="1">
      <c r="A366" s="229"/>
      <c r="B366" s="300" t="s">
        <v>326</v>
      </c>
      <c r="AH366" s="230"/>
    </row>
    <row r="367" spans="1:34" s="300" customFormat="1" hidden="1">
      <c r="A367" s="229"/>
      <c r="AH367" s="230"/>
    </row>
    <row r="368" spans="1:34" s="300" customFormat="1" hidden="1">
      <c r="A368" s="229"/>
      <c r="B368" s="300" t="s">
        <v>327</v>
      </c>
      <c r="AH368" s="230"/>
    </row>
    <row r="369" spans="1:34" s="300" customFormat="1" hidden="1">
      <c r="A369" s="229"/>
      <c r="B369" s="300" t="s">
        <v>328</v>
      </c>
      <c r="AH369" s="230"/>
    </row>
    <row r="370" spans="1:34" s="300" customFormat="1" hidden="1">
      <c r="A370" s="229"/>
      <c r="B370" s="300" t="s">
        <v>329</v>
      </c>
      <c r="AH370" s="230"/>
    </row>
    <row r="371" spans="1:34" s="300" customFormat="1" hidden="1">
      <c r="A371" s="229"/>
      <c r="B371" s="300" t="s">
        <v>330</v>
      </c>
      <c r="AH371" s="230"/>
    </row>
    <row r="372" spans="1:34" s="300" customFormat="1" hidden="1">
      <c r="A372" s="229"/>
      <c r="B372" s="300" t="s">
        <v>331</v>
      </c>
      <c r="AH372" s="230"/>
    </row>
    <row r="373" spans="1:34" s="300" customFormat="1" hidden="1">
      <c r="A373" s="229"/>
      <c r="B373" s="300" t="s">
        <v>332</v>
      </c>
      <c r="AH373" s="230"/>
    </row>
    <row r="374" spans="1:34" s="300" customFormat="1" hidden="1">
      <c r="A374" s="229"/>
      <c r="AH374" s="230"/>
    </row>
    <row r="375" spans="1:34" s="300" customFormat="1" hidden="1">
      <c r="A375" s="229"/>
      <c r="B375" s="300" t="s">
        <v>333</v>
      </c>
      <c r="AH375" s="230"/>
    </row>
    <row r="376" spans="1:34" s="300" customFormat="1" hidden="1">
      <c r="A376" s="229"/>
      <c r="B376" s="300" t="s">
        <v>334</v>
      </c>
      <c r="AH376" s="230"/>
    </row>
    <row r="377" spans="1:34" s="300" customFormat="1" hidden="1">
      <c r="A377" s="229"/>
      <c r="B377" s="300" t="s">
        <v>335</v>
      </c>
      <c r="AH377" s="230"/>
    </row>
    <row r="378" spans="1:34" s="300" customFormat="1" hidden="1">
      <c r="A378" s="229"/>
      <c r="B378" s="300" t="s">
        <v>336</v>
      </c>
      <c r="AH378" s="230"/>
    </row>
    <row r="379" spans="1:34" s="300" customFormat="1" hidden="1">
      <c r="A379" s="229"/>
      <c r="B379" s="300" t="s">
        <v>337</v>
      </c>
      <c r="AH379" s="230"/>
    </row>
    <row r="380" spans="1:34" s="300" customFormat="1" hidden="1">
      <c r="A380" s="229"/>
      <c r="AH380" s="230"/>
    </row>
    <row r="381" spans="1:34" s="300" customFormat="1" hidden="1">
      <c r="A381" s="229"/>
      <c r="B381" s="300" t="s">
        <v>338</v>
      </c>
      <c r="AH381" s="230"/>
    </row>
    <row r="382" spans="1:34" s="300" customFormat="1" hidden="1">
      <c r="A382" s="229"/>
      <c r="B382" s="300" t="s">
        <v>339</v>
      </c>
      <c r="AH382" s="230"/>
    </row>
    <row r="383" spans="1:34" s="300" customFormat="1" hidden="1">
      <c r="A383" s="229"/>
      <c r="B383" s="300" t="s">
        <v>340</v>
      </c>
      <c r="AH383" s="230"/>
    </row>
    <row r="384" spans="1:34" s="300" customFormat="1" hidden="1">
      <c r="A384" s="229"/>
      <c r="B384" s="300" t="s">
        <v>341</v>
      </c>
      <c r="AH384" s="230"/>
    </row>
    <row r="385" spans="1:34" s="300" customFormat="1" hidden="1">
      <c r="A385" s="229"/>
      <c r="B385" s="300" t="s">
        <v>342</v>
      </c>
      <c r="AH385" s="230"/>
    </row>
    <row r="386" spans="1:34" s="300" customFormat="1" hidden="1">
      <c r="A386" s="229"/>
      <c r="AH386" s="230"/>
    </row>
    <row r="387" spans="1:34" s="300" customFormat="1" hidden="1">
      <c r="A387" s="229"/>
      <c r="B387" s="300" t="s">
        <v>343</v>
      </c>
      <c r="AH387" s="230"/>
    </row>
    <row r="388" spans="1:34" s="300" customFormat="1" hidden="1">
      <c r="A388" s="229"/>
      <c r="B388" s="300" t="s">
        <v>344</v>
      </c>
      <c r="AH388" s="230"/>
    </row>
    <row r="389" spans="1:34" s="300" customFormat="1" hidden="1">
      <c r="A389" s="229"/>
      <c r="B389" s="300" t="s">
        <v>345</v>
      </c>
      <c r="AH389" s="230"/>
    </row>
    <row r="390" spans="1:34" s="300" customFormat="1" hidden="1">
      <c r="A390" s="229"/>
      <c r="B390" s="300" t="s">
        <v>346</v>
      </c>
      <c r="AH390" s="230"/>
    </row>
    <row r="391" spans="1:34" s="300" customFormat="1" hidden="1">
      <c r="A391" s="229"/>
      <c r="B391" s="300" t="s">
        <v>347</v>
      </c>
      <c r="AH391" s="230"/>
    </row>
    <row r="392" spans="1:34" s="300" customFormat="1" hidden="1">
      <c r="A392" s="229"/>
      <c r="AH392" s="230"/>
    </row>
    <row r="393" spans="1:34" s="300" customFormat="1" hidden="1">
      <c r="A393" s="229"/>
      <c r="B393" s="300" t="s">
        <v>348</v>
      </c>
      <c r="AH393" s="230"/>
    </row>
    <row r="394" spans="1:34" s="300" customFormat="1" hidden="1">
      <c r="A394" s="229"/>
      <c r="B394" s="300" t="s">
        <v>349</v>
      </c>
      <c r="AH394" s="230"/>
    </row>
    <row r="395" spans="1:34" s="300" customFormat="1" hidden="1">
      <c r="A395" s="229"/>
      <c r="B395" s="300" t="s">
        <v>350</v>
      </c>
      <c r="AH395" s="230"/>
    </row>
    <row r="396" spans="1:34" s="300" customFormat="1" hidden="1">
      <c r="A396" s="229"/>
      <c r="B396" s="300" t="s">
        <v>351</v>
      </c>
      <c r="AH396" s="230"/>
    </row>
    <row r="397" spans="1:34" s="300" customFormat="1" hidden="1">
      <c r="A397" s="229"/>
      <c r="B397" s="300" t="s">
        <v>352</v>
      </c>
      <c r="AH397" s="230"/>
    </row>
    <row r="398" spans="1:34" s="300" customFormat="1" hidden="1">
      <c r="A398" s="229"/>
      <c r="AH398" s="230"/>
    </row>
    <row r="399" spans="1:34" s="300" customFormat="1" hidden="1">
      <c r="A399" s="229"/>
      <c r="B399" s="300" t="s">
        <v>353</v>
      </c>
      <c r="AH399" s="230"/>
    </row>
    <row r="400" spans="1:34" s="300" customFormat="1" hidden="1">
      <c r="A400" s="229"/>
      <c r="B400" s="300" t="s">
        <v>354</v>
      </c>
      <c r="AH400" s="230"/>
    </row>
    <row r="401" spans="1:34" s="300" customFormat="1" hidden="1">
      <c r="A401" s="229"/>
      <c r="B401" s="300" t="s">
        <v>355</v>
      </c>
      <c r="AH401" s="230"/>
    </row>
    <row r="402" spans="1:34" s="300" customFormat="1" hidden="1">
      <c r="A402" s="229"/>
      <c r="B402" s="300" t="s">
        <v>356</v>
      </c>
      <c r="AH402" s="230"/>
    </row>
    <row r="403" spans="1:34" s="300" customFormat="1" hidden="1">
      <c r="A403" s="229"/>
      <c r="B403" s="300" t="s">
        <v>357</v>
      </c>
      <c r="AH403" s="230"/>
    </row>
    <row r="404" spans="1:34" s="300" customFormat="1" hidden="1">
      <c r="A404" s="229"/>
      <c r="B404" s="300" t="s">
        <v>358</v>
      </c>
      <c r="AH404" s="230"/>
    </row>
    <row r="405" spans="1:34" s="300" customFormat="1" hidden="1">
      <c r="A405" s="229"/>
      <c r="B405" s="300" t="s">
        <v>359</v>
      </c>
      <c r="AH405" s="230"/>
    </row>
    <row r="406" spans="1:34" s="300" customFormat="1" hidden="1">
      <c r="A406" s="229"/>
      <c r="B406" s="300" t="s">
        <v>244</v>
      </c>
      <c r="AH406" s="230"/>
    </row>
    <row r="407" spans="1:34" s="300" customFormat="1" hidden="1">
      <c r="A407" s="229"/>
      <c r="B407" s="300" t="s">
        <v>360</v>
      </c>
      <c r="AH407" s="230"/>
    </row>
    <row r="408" spans="1:34" s="300" customFormat="1" hidden="1">
      <c r="A408" s="229"/>
      <c r="B408" s="300" t="s">
        <v>361</v>
      </c>
      <c r="AH408" s="230"/>
    </row>
    <row r="409" spans="1:34" s="300" customFormat="1" hidden="1">
      <c r="A409" s="229"/>
      <c r="AH409" s="230"/>
    </row>
    <row r="410" spans="1:34" s="300" customFormat="1" hidden="1">
      <c r="A410" s="229"/>
      <c r="B410" s="300" t="s">
        <v>362</v>
      </c>
      <c r="AH410" s="230"/>
    </row>
    <row r="411" spans="1:34" s="300" customFormat="1" hidden="1">
      <c r="A411" s="229"/>
      <c r="B411" s="300" t="s">
        <v>363</v>
      </c>
      <c r="AH411" s="230"/>
    </row>
    <row r="412" spans="1:34" s="300" customFormat="1" hidden="1">
      <c r="A412" s="229"/>
      <c r="B412" s="300" t="s">
        <v>364</v>
      </c>
      <c r="AH412" s="230"/>
    </row>
    <row r="413" spans="1:34" s="300" customFormat="1" hidden="1">
      <c r="A413" s="229"/>
      <c r="B413" s="300" t="s">
        <v>365</v>
      </c>
      <c r="AH413" s="230"/>
    </row>
    <row r="414" spans="1:34" s="300" customFormat="1" hidden="1">
      <c r="A414" s="229"/>
      <c r="B414" s="300" t="s">
        <v>366</v>
      </c>
      <c r="AH414" s="230"/>
    </row>
    <row r="415" spans="1:34" s="300" customFormat="1" hidden="1">
      <c r="A415" s="229"/>
      <c r="B415" s="300" t="s">
        <v>367</v>
      </c>
      <c r="AH415" s="230"/>
    </row>
    <row r="416" spans="1:34" s="300" customFormat="1" hidden="1">
      <c r="A416" s="229"/>
      <c r="AH416" s="230"/>
    </row>
    <row r="417" spans="1:34" s="300" customFormat="1" hidden="1">
      <c r="A417" s="229"/>
      <c r="B417" s="300" t="s">
        <v>368</v>
      </c>
      <c r="AH417" s="230"/>
    </row>
    <row r="418" spans="1:34" s="300" customFormat="1" hidden="1">
      <c r="A418" s="229"/>
      <c r="B418" s="300" t="s">
        <v>369</v>
      </c>
      <c r="AH418" s="230"/>
    </row>
    <row r="419" spans="1:34" s="300" customFormat="1" hidden="1">
      <c r="A419" s="229"/>
      <c r="B419" s="300" t="s">
        <v>370</v>
      </c>
      <c r="AH419" s="230"/>
    </row>
    <row r="420" spans="1:34" s="300" customFormat="1" hidden="1">
      <c r="A420" s="229"/>
      <c r="B420" s="300" t="s">
        <v>371</v>
      </c>
      <c r="AH420" s="230"/>
    </row>
    <row r="421" spans="1:34" s="300" customFormat="1" hidden="1">
      <c r="A421" s="229"/>
      <c r="B421" s="300" t="s">
        <v>372</v>
      </c>
      <c r="AH421" s="230"/>
    </row>
    <row r="422" spans="1:34" s="300" customFormat="1" hidden="1">
      <c r="A422" s="229"/>
      <c r="B422" s="300" t="s">
        <v>373</v>
      </c>
      <c r="AH422" s="230"/>
    </row>
    <row r="423" spans="1:34" s="300" customFormat="1" hidden="1">
      <c r="A423" s="229"/>
      <c r="B423" s="300" t="s">
        <v>374</v>
      </c>
      <c r="AH423" s="230"/>
    </row>
    <row r="424" spans="1:34" s="300" customFormat="1" hidden="1">
      <c r="A424" s="229"/>
      <c r="B424" s="300" t="s">
        <v>375</v>
      </c>
      <c r="AH424" s="230"/>
    </row>
    <row r="425" spans="1:34" s="300" customFormat="1" hidden="1">
      <c r="A425" s="229"/>
      <c r="AH425" s="230"/>
    </row>
    <row r="426" spans="1:34" s="300" customFormat="1" hidden="1">
      <c r="A426" s="229"/>
      <c r="B426" s="300" t="s">
        <v>376</v>
      </c>
      <c r="AH426" s="230"/>
    </row>
    <row r="427" spans="1:34" s="300" customFormat="1" hidden="1">
      <c r="A427" s="229"/>
      <c r="B427" s="300" t="s">
        <v>377</v>
      </c>
      <c r="AH427" s="230"/>
    </row>
    <row r="428" spans="1:34" s="300" customFormat="1" hidden="1">
      <c r="A428" s="229"/>
      <c r="B428" s="300" t="s">
        <v>378</v>
      </c>
      <c r="AH428" s="230"/>
    </row>
    <row r="429" spans="1:34" s="300" customFormat="1" hidden="1">
      <c r="A429" s="229"/>
      <c r="B429" s="300" t="s">
        <v>379</v>
      </c>
      <c r="AH429" s="230"/>
    </row>
    <row r="430" spans="1:34" s="300" customFormat="1" hidden="1">
      <c r="A430" s="229"/>
      <c r="B430" s="300" t="s">
        <v>380</v>
      </c>
      <c r="AH430" s="230"/>
    </row>
    <row r="431" spans="1:34" s="300" customFormat="1" hidden="1">
      <c r="A431" s="229"/>
      <c r="B431" s="300" t="s">
        <v>381</v>
      </c>
      <c r="AH431" s="230"/>
    </row>
    <row r="432" spans="1:34" s="300" customFormat="1" hidden="1">
      <c r="A432" s="229"/>
      <c r="B432" s="300" t="s">
        <v>382</v>
      </c>
      <c r="AH432" s="230"/>
    </row>
    <row r="433" spans="1:34" s="300" customFormat="1" hidden="1">
      <c r="A433" s="229"/>
      <c r="B433" s="300" t="s">
        <v>383</v>
      </c>
      <c r="AH433" s="230"/>
    </row>
    <row r="434" spans="1:34" s="300" customFormat="1" hidden="1">
      <c r="A434" s="229"/>
      <c r="B434" s="300" t="s">
        <v>384</v>
      </c>
      <c r="AH434" s="230"/>
    </row>
    <row r="435" spans="1:34" s="300" customFormat="1" hidden="1">
      <c r="A435" s="229"/>
      <c r="B435" s="300" t="s">
        <v>385</v>
      </c>
      <c r="AH435" s="230"/>
    </row>
    <row r="436" spans="1:34" s="300" customFormat="1" hidden="1">
      <c r="A436" s="229"/>
      <c r="B436" s="300" t="s">
        <v>386</v>
      </c>
      <c r="AH436" s="230"/>
    </row>
    <row r="437" spans="1:34" s="300" customFormat="1" hidden="1">
      <c r="A437" s="229"/>
      <c r="B437" s="300" t="s">
        <v>387</v>
      </c>
      <c r="AH437" s="230"/>
    </row>
    <row r="438" spans="1:34" s="300" customFormat="1" hidden="1">
      <c r="A438" s="229"/>
      <c r="B438" s="300" t="s">
        <v>388</v>
      </c>
      <c r="AH438" s="230"/>
    </row>
    <row r="439" spans="1:34" s="300" customFormat="1" hidden="1">
      <c r="A439" s="229"/>
      <c r="B439" s="300" t="s">
        <v>389</v>
      </c>
      <c r="AH439" s="230"/>
    </row>
    <row r="440" spans="1:34" s="300" customFormat="1" hidden="1">
      <c r="A440" s="229"/>
      <c r="B440" s="300" t="s">
        <v>390</v>
      </c>
      <c r="AH440" s="230"/>
    </row>
    <row r="441" spans="1:34" s="300" customFormat="1" hidden="1">
      <c r="A441" s="229"/>
      <c r="B441" s="300" t="s">
        <v>391</v>
      </c>
      <c r="AH441" s="230"/>
    </row>
    <row r="442" spans="1:34" s="300" customFormat="1" hidden="1">
      <c r="A442" s="229"/>
      <c r="AH442" s="230"/>
    </row>
    <row r="443" spans="1:34" s="300" customFormat="1" hidden="1">
      <c r="A443" s="229"/>
      <c r="B443" s="300" t="s">
        <v>392</v>
      </c>
      <c r="AH443" s="230"/>
    </row>
    <row r="444" spans="1:34" s="300" customFormat="1" hidden="1">
      <c r="A444" s="229"/>
      <c r="B444" s="300" t="s">
        <v>393</v>
      </c>
      <c r="AH444" s="230"/>
    </row>
    <row r="445" spans="1:34" s="300" customFormat="1" hidden="1">
      <c r="A445" s="229"/>
      <c r="B445" s="300" t="s">
        <v>394</v>
      </c>
      <c r="AH445" s="230"/>
    </row>
    <row r="446" spans="1:34" s="300" customFormat="1" hidden="1">
      <c r="A446" s="229"/>
      <c r="B446" s="300" t="s">
        <v>395</v>
      </c>
      <c r="AH446" s="230"/>
    </row>
    <row r="447" spans="1:34" s="300" customFormat="1" hidden="1">
      <c r="A447" s="229"/>
      <c r="B447" s="300" t="s">
        <v>396</v>
      </c>
      <c r="AH447" s="230"/>
    </row>
    <row r="448" spans="1:34" s="300" customFormat="1" hidden="1">
      <c r="A448" s="229"/>
      <c r="B448" s="300" t="s">
        <v>397</v>
      </c>
      <c r="AH448" s="230"/>
    </row>
    <row r="449" spans="1:34" s="300" customFormat="1" hidden="1">
      <c r="A449" s="229"/>
      <c r="B449" s="300" t="s">
        <v>398</v>
      </c>
      <c r="AH449" s="230"/>
    </row>
    <row r="450" spans="1:34" s="300" customFormat="1" hidden="1">
      <c r="A450" s="229"/>
      <c r="B450" s="300" t="s">
        <v>399</v>
      </c>
      <c r="AH450" s="230"/>
    </row>
    <row r="451" spans="1:34" s="300" customFormat="1" hidden="1">
      <c r="A451" s="229"/>
      <c r="B451" s="300" t="s">
        <v>400</v>
      </c>
      <c r="AH451" s="230"/>
    </row>
    <row r="452" spans="1:34" s="300" customFormat="1" hidden="1">
      <c r="A452" s="229"/>
      <c r="B452" s="300" t="s">
        <v>401</v>
      </c>
      <c r="AH452" s="230"/>
    </row>
    <row r="453" spans="1:34" s="300" customFormat="1" hidden="1">
      <c r="A453" s="229"/>
      <c r="AH453" s="230"/>
    </row>
    <row r="454" spans="1:34" s="300" customFormat="1" hidden="1">
      <c r="A454" s="229"/>
      <c r="B454" s="300" t="s">
        <v>402</v>
      </c>
      <c r="AH454" s="230"/>
    </row>
    <row r="455" spans="1:34" s="300" customFormat="1" hidden="1">
      <c r="A455" s="229"/>
      <c r="B455" s="300" t="s">
        <v>403</v>
      </c>
      <c r="AH455" s="230"/>
    </row>
    <row r="456" spans="1:34" s="300" customFormat="1" hidden="1">
      <c r="A456" s="229"/>
      <c r="B456" s="300" t="s">
        <v>404</v>
      </c>
      <c r="AH456" s="230"/>
    </row>
    <row r="457" spans="1:34" s="300" customFormat="1" hidden="1">
      <c r="A457" s="229"/>
      <c r="B457" s="300" t="s">
        <v>405</v>
      </c>
      <c r="AH457" s="230"/>
    </row>
    <row r="458" spans="1:34" s="300" customFormat="1" hidden="1">
      <c r="A458" s="229"/>
      <c r="B458" s="300" t="s">
        <v>406</v>
      </c>
      <c r="AH458" s="230"/>
    </row>
    <row r="459" spans="1:34" s="300" customFormat="1" hidden="1">
      <c r="A459" s="229"/>
      <c r="B459" s="300" t="s">
        <v>407</v>
      </c>
      <c r="AH459" s="230"/>
    </row>
    <row r="460" spans="1:34" s="300" customFormat="1" hidden="1">
      <c r="A460" s="229"/>
      <c r="B460" s="300" t="s">
        <v>408</v>
      </c>
      <c r="AH460" s="230"/>
    </row>
    <row r="461" spans="1:34" s="300" customFormat="1" hidden="1">
      <c r="A461" s="229"/>
      <c r="B461" s="300" t="s">
        <v>409</v>
      </c>
      <c r="AH461" s="230"/>
    </row>
    <row r="462" spans="1:34" s="300" customFormat="1" hidden="1">
      <c r="A462" s="229"/>
      <c r="B462" s="300" t="s">
        <v>410</v>
      </c>
      <c r="AH462" s="230"/>
    </row>
    <row r="463" spans="1:34" s="300" customFormat="1" hidden="1">
      <c r="A463" s="229"/>
      <c r="B463" s="300" t="s">
        <v>411</v>
      </c>
      <c r="AH463" s="230"/>
    </row>
    <row r="464" spans="1:34" s="300" customFormat="1" hidden="1">
      <c r="A464" s="229"/>
      <c r="AH464" s="230"/>
    </row>
    <row r="465" spans="1:34" s="300" customFormat="1" hidden="1">
      <c r="A465" s="229"/>
      <c r="B465" s="300" t="s">
        <v>412</v>
      </c>
      <c r="AH465" s="230"/>
    </row>
    <row r="466" spans="1:34" s="300" customFormat="1" hidden="1">
      <c r="A466" s="229"/>
      <c r="B466" s="300" t="s">
        <v>413</v>
      </c>
      <c r="AH466" s="230"/>
    </row>
    <row r="467" spans="1:34" s="300" customFormat="1" hidden="1">
      <c r="A467" s="229"/>
      <c r="B467" s="300" t="s">
        <v>414</v>
      </c>
      <c r="AH467" s="230"/>
    </row>
    <row r="468" spans="1:34" s="300" customFormat="1" hidden="1">
      <c r="A468" s="229"/>
      <c r="B468" s="300" t="s">
        <v>415</v>
      </c>
      <c r="AH468" s="230"/>
    </row>
    <row r="469" spans="1:34" s="300" customFormat="1" hidden="1">
      <c r="A469" s="229"/>
      <c r="B469" s="300" t="s">
        <v>416</v>
      </c>
      <c r="AH469" s="230"/>
    </row>
    <row r="470" spans="1:34" s="300" customFormat="1" hidden="1">
      <c r="A470" s="229"/>
      <c r="B470" s="300" t="s">
        <v>417</v>
      </c>
      <c r="AH470" s="230"/>
    </row>
    <row r="471" spans="1:34" s="300" customFormat="1" hidden="1">
      <c r="A471" s="229"/>
      <c r="B471" s="300" t="s">
        <v>418</v>
      </c>
      <c r="AH471" s="230"/>
    </row>
    <row r="472" spans="1:34" s="300" customFormat="1" hidden="1">
      <c r="A472" s="229"/>
      <c r="B472" s="300" t="s">
        <v>419</v>
      </c>
      <c r="AH472" s="230"/>
    </row>
    <row r="473" spans="1:34" s="300" customFormat="1" hidden="1">
      <c r="A473" s="229"/>
      <c r="B473" s="300" t="s">
        <v>420</v>
      </c>
      <c r="AH473" s="230"/>
    </row>
    <row r="474" spans="1:34" s="300" customFormat="1" hidden="1">
      <c r="A474" s="229"/>
      <c r="B474" s="300" t="s">
        <v>421</v>
      </c>
      <c r="AH474" s="230"/>
    </row>
    <row r="475" spans="1:34" s="300" customFormat="1" hidden="1">
      <c r="A475" s="229"/>
      <c r="AH475" s="230"/>
    </row>
    <row r="476" spans="1:34" s="300" customFormat="1" hidden="1">
      <c r="A476" s="229"/>
      <c r="B476" s="300" t="s">
        <v>422</v>
      </c>
      <c r="AH476" s="230"/>
    </row>
    <row r="477" spans="1:34" s="300" customFormat="1" hidden="1">
      <c r="A477" s="229"/>
      <c r="B477" s="300" t="s">
        <v>423</v>
      </c>
      <c r="AH477" s="230"/>
    </row>
    <row r="478" spans="1:34" s="300" customFormat="1" hidden="1">
      <c r="A478" s="229"/>
      <c r="B478" s="300" t="s">
        <v>424</v>
      </c>
      <c r="AH478" s="230"/>
    </row>
    <row r="479" spans="1:34" s="300" customFormat="1" hidden="1">
      <c r="A479" s="229"/>
      <c r="B479" s="300" t="s">
        <v>425</v>
      </c>
      <c r="AH479" s="230"/>
    </row>
    <row r="480" spans="1:34" s="300" customFormat="1" hidden="1">
      <c r="A480" s="229"/>
      <c r="B480" s="300" t="s">
        <v>426</v>
      </c>
      <c r="AH480" s="230"/>
    </row>
    <row r="481" spans="1:34" s="300" customFormat="1" hidden="1">
      <c r="A481" s="229"/>
      <c r="B481" s="300" t="s">
        <v>427</v>
      </c>
      <c r="AH481" s="230"/>
    </row>
    <row r="482" spans="1:34" s="300" customFormat="1" hidden="1">
      <c r="A482" s="229"/>
      <c r="B482" s="300" t="s">
        <v>428</v>
      </c>
      <c r="AH482" s="230"/>
    </row>
    <row r="483" spans="1:34" s="300" customFormat="1" hidden="1">
      <c r="A483" s="229"/>
      <c r="B483" s="300" t="s">
        <v>429</v>
      </c>
      <c r="AH483" s="230"/>
    </row>
    <row r="484" spans="1:34" s="300" customFormat="1" hidden="1">
      <c r="A484" s="229"/>
      <c r="B484" s="300" t="s">
        <v>430</v>
      </c>
      <c r="AH484" s="230"/>
    </row>
    <row r="485" spans="1:34" s="300" customFormat="1" hidden="1">
      <c r="A485" s="229"/>
      <c r="B485" s="300" t="s">
        <v>431</v>
      </c>
      <c r="AH485" s="230"/>
    </row>
    <row r="486" spans="1:34" s="300" customFormat="1" hidden="1">
      <c r="A486" s="229"/>
      <c r="AH486" s="230"/>
    </row>
    <row r="487" spans="1:34" s="300" customFormat="1" hidden="1">
      <c r="A487" s="229"/>
      <c r="B487" s="300" t="s">
        <v>432</v>
      </c>
      <c r="AH487" s="230"/>
    </row>
    <row r="488" spans="1:34" s="300" customFormat="1" hidden="1">
      <c r="A488" s="229"/>
      <c r="B488" s="300" t="s">
        <v>433</v>
      </c>
      <c r="AH488" s="230"/>
    </row>
    <row r="489" spans="1:34" s="300" customFormat="1" hidden="1">
      <c r="A489" s="229"/>
      <c r="B489" s="300" t="s">
        <v>434</v>
      </c>
      <c r="AH489" s="230"/>
    </row>
    <row r="490" spans="1:34" s="300" customFormat="1" hidden="1">
      <c r="A490" s="229"/>
      <c r="B490" s="300" t="s">
        <v>435</v>
      </c>
      <c r="AH490" s="230"/>
    </row>
    <row r="491" spans="1:34" s="300" customFormat="1" hidden="1">
      <c r="A491" s="229"/>
      <c r="B491" s="300" t="s">
        <v>436</v>
      </c>
      <c r="AH491" s="230"/>
    </row>
    <row r="492" spans="1:34" s="300" customFormat="1" hidden="1">
      <c r="A492" s="229"/>
      <c r="B492" s="300" t="s">
        <v>437</v>
      </c>
      <c r="AH492" s="230"/>
    </row>
    <row r="493" spans="1:34" s="300" customFormat="1" hidden="1">
      <c r="A493" s="229"/>
      <c r="B493" s="300" t="s">
        <v>438</v>
      </c>
      <c r="AH493" s="230"/>
    </row>
    <row r="494" spans="1:34" s="300" customFormat="1" hidden="1">
      <c r="A494" s="229"/>
      <c r="B494" s="300" t="s">
        <v>439</v>
      </c>
      <c r="AH494" s="230"/>
    </row>
    <row r="495" spans="1:34" s="300" customFormat="1" hidden="1">
      <c r="A495" s="229"/>
      <c r="B495" s="300" t="s">
        <v>440</v>
      </c>
      <c r="AH495" s="230"/>
    </row>
    <row r="496" spans="1:34" s="300" customFormat="1" hidden="1">
      <c r="A496" s="229"/>
      <c r="B496" s="300" t="s">
        <v>441</v>
      </c>
      <c r="AH496" s="230"/>
    </row>
    <row r="497" spans="1:34" s="300" customFormat="1" hidden="1">
      <c r="A497" s="229"/>
      <c r="AH497" s="230"/>
    </row>
    <row r="498" spans="1:34" s="300" customFormat="1" hidden="1">
      <c r="A498" s="229"/>
      <c r="B498" s="300" t="s">
        <v>442</v>
      </c>
      <c r="AH498" s="230"/>
    </row>
    <row r="499" spans="1:34" s="300" customFormat="1" hidden="1">
      <c r="A499" s="229"/>
      <c r="B499" s="300" t="s">
        <v>443</v>
      </c>
      <c r="AH499" s="230"/>
    </row>
    <row r="500" spans="1:34" s="300" customFormat="1" hidden="1">
      <c r="A500" s="229"/>
      <c r="B500" s="300" t="s">
        <v>444</v>
      </c>
      <c r="AH500" s="230"/>
    </row>
    <row r="501" spans="1:34" s="300" customFormat="1" hidden="1">
      <c r="A501" s="229"/>
      <c r="B501" s="300" t="s">
        <v>445</v>
      </c>
      <c r="AH501" s="230"/>
    </row>
    <row r="502" spans="1:34" s="300" customFormat="1" hidden="1">
      <c r="A502" s="229"/>
      <c r="B502" s="300" t="s">
        <v>446</v>
      </c>
      <c r="AH502" s="230"/>
    </row>
    <row r="503" spans="1:34" s="300" customFormat="1" hidden="1">
      <c r="A503" s="229"/>
      <c r="B503" s="300" t="s">
        <v>447</v>
      </c>
      <c r="AH503" s="230"/>
    </row>
    <row r="504" spans="1:34" s="300" customFormat="1" hidden="1">
      <c r="A504" s="229"/>
      <c r="B504" s="300" t="s">
        <v>448</v>
      </c>
      <c r="AH504" s="230"/>
    </row>
    <row r="505" spans="1:34" s="300" customFormat="1" hidden="1">
      <c r="A505" s="229"/>
      <c r="B505" s="300" t="s">
        <v>449</v>
      </c>
      <c r="AH505" s="230"/>
    </row>
    <row r="506" spans="1:34" s="300" customFormat="1" hidden="1">
      <c r="A506" s="229"/>
      <c r="B506" s="300" t="s">
        <v>450</v>
      </c>
      <c r="AH506" s="230"/>
    </row>
    <row r="507" spans="1:34" s="300" customFormat="1" hidden="1">
      <c r="A507" s="229"/>
      <c r="B507" s="300" t="s">
        <v>451</v>
      </c>
      <c r="AH507" s="230"/>
    </row>
    <row r="508" spans="1:34" s="300" customFormat="1" hidden="1">
      <c r="A508" s="229"/>
      <c r="AH508" s="230"/>
    </row>
    <row r="509" spans="1:34" s="300" customFormat="1" hidden="1">
      <c r="A509" s="229"/>
      <c r="B509" s="300" t="s">
        <v>452</v>
      </c>
      <c r="AH509" s="230"/>
    </row>
    <row r="510" spans="1:34" s="300" customFormat="1" hidden="1">
      <c r="A510" s="229"/>
      <c r="B510" s="300" t="s">
        <v>453</v>
      </c>
      <c r="AH510" s="230"/>
    </row>
    <row r="511" spans="1:34" s="300" customFormat="1" hidden="1">
      <c r="A511" s="229"/>
      <c r="B511" s="300" t="s">
        <v>454</v>
      </c>
      <c r="AH511" s="230"/>
    </row>
    <row r="512" spans="1:34" s="300" customFormat="1" hidden="1">
      <c r="A512" s="229"/>
      <c r="B512" s="300" t="s">
        <v>455</v>
      </c>
      <c r="AH512" s="230"/>
    </row>
    <row r="513" spans="1:34" s="300" customFormat="1" hidden="1">
      <c r="A513" s="229"/>
      <c r="B513" s="300" t="s">
        <v>456</v>
      </c>
      <c r="AH513" s="230"/>
    </row>
    <row r="514" spans="1:34" s="300" customFormat="1" hidden="1">
      <c r="A514" s="229"/>
      <c r="B514" s="300" t="s">
        <v>457</v>
      </c>
      <c r="AH514" s="230"/>
    </row>
    <row r="515" spans="1:34" s="300" customFormat="1" hidden="1">
      <c r="A515" s="229"/>
      <c r="B515" s="300" t="s">
        <v>458</v>
      </c>
      <c r="AH515" s="230"/>
    </row>
    <row r="516" spans="1:34" s="300" customFormat="1" hidden="1">
      <c r="A516" s="229"/>
      <c r="B516" s="300" t="s">
        <v>459</v>
      </c>
      <c r="AH516" s="230"/>
    </row>
    <row r="517" spans="1:34" s="300" customFormat="1" hidden="1">
      <c r="A517" s="229"/>
      <c r="B517" s="300" t="s">
        <v>460</v>
      </c>
      <c r="AH517" s="230"/>
    </row>
    <row r="518" spans="1:34" s="300" customFormat="1" hidden="1">
      <c r="A518" s="229"/>
      <c r="B518" s="300" t="s">
        <v>461</v>
      </c>
      <c r="AH518" s="230"/>
    </row>
    <row r="519" spans="1:34" s="300" customFormat="1" hidden="1">
      <c r="A519" s="229"/>
      <c r="B519" s="300" t="s">
        <v>462</v>
      </c>
      <c r="AH519" s="230"/>
    </row>
    <row r="520" spans="1:34" s="300" customFormat="1" hidden="1">
      <c r="A520" s="229"/>
      <c r="B520" s="300" t="s">
        <v>463</v>
      </c>
      <c r="AH520" s="230"/>
    </row>
    <row r="521" spans="1:34" s="300" customFormat="1" hidden="1">
      <c r="A521" s="229"/>
      <c r="B521" s="300" t="s">
        <v>464</v>
      </c>
      <c r="AH521" s="230"/>
    </row>
    <row r="522" spans="1:34" s="300" customFormat="1" hidden="1">
      <c r="A522" s="229"/>
      <c r="B522" s="300" t="s">
        <v>465</v>
      </c>
      <c r="AH522" s="230"/>
    </row>
    <row r="523" spans="1:34" s="300" customFormat="1" hidden="1">
      <c r="A523" s="229"/>
      <c r="B523" s="300" t="s">
        <v>466</v>
      </c>
      <c r="AH523" s="230"/>
    </row>
    <row r="524" spans="1:34" s="300" customFormat="1" hidden="1">
      <c r="A524" s="229"/>
      <c r="B524" s="300" t="s">
        <v>467</v>
      </c>
      <c r="AH524" s="230"/>
    </row>
    <row r="525" spans="1:34" s="300" customFormat="1" hidden="1">
      <c r="A525" s="229"/>
      <c r="AH525" s="230"/>
    </row>
    <row r="526" spans="1:34" s="300" customFormat="1">
      <c r="A526" s="229"/>
      <c r="AH526" s="230"/>
    </row>
    <row r="527" spans="1:34" s="300" customFormat="1">
      <c r="A527" s="229"/>
      <c r="B527" s="300" t="s">
        <v>639</v>
      </c>
      <c r="AH527" s="230"/>
    </row>
    <row r="528" spans="1:34" s="300" customFormat="1">
      <c r="A528" s="229"/>
      <c r="AH528" s="230"/>
    </row>
    <row r="529" spans="1:34" s="300" customFormat="1">
      <c r="A529" s="229"/>
      <c r="B529" s="300" t="s">
        <v>684</v>
      </c>
      <c r="AH529" s="230"/>
    </row>
    <row r="530" spans="1:34">
      <c r="A530" s="12"/>
      <c r="AH530" s="13"/>
    </row>
    <row r="531" spans="1:34">
      <c r="A531" s="12"/>
      <c r="C531" s="1" t="s">
        <v>607</v>
      </c>
      <c r="AH531" s="13"/>
    </row>
    <row r="532" spans="1:34">
      <c r="A532" s="12"/>
      <c r="C532" s="1" t="s">
        <v>608</v>
      </c>
      <c r="AH532" s="13"/>
    </row>
    <row r="533" spans="1:34">
      <c r="A533" s="12"/>
      <c r="C533" s="1" t="s">
        <v>609</v>
      </c>
      <c r="AH533" s="13"/>
    </row>
    <row r="534" spans="1:34">
      <c r="A534" s="12"/>
      <c r="D534" s="1" t="s">
        <v>610</v>
      </c>
      <c r="AH534" s="13"/>
    </row>
    <row r="535" spans="1:34">
      <c r="A535" s="12"/>
      <c r="E535" s="1" t="s">
        <v>611</v>
      </c>
      <c r="AH535" s="13"/>
    </row>
    <row r="536" spans="1:34">
      <c r="A536" s="12"/>
      <c r="C536" s="1" t="s">
        <v>612</v>
      </c>
      <c r="AH536" s="13"/>
    </row>
    <row r="537" spans="1:34">
      <c r="A537" s="12"/>
      <c r="D537" s="1" t="s">
        <v>613</v>
      </c>
      <c r="AH537" s="13"/>
    </row>
    <row r="538" spans="1:34">
      <c r="A538" s="12"/>
      <c r="E538" s="1" t="s">
        <v>614</v>
      </c>
      <c r="AH538" s="13"/>
    </row>
    <row r="539" spans="1:34">
      <c r="A539" s="12"/>
      <c r="D539" s="1" t="s">
        <v>610</v>
      </c>
      <c r="AH539" s="13"/>
    </row>
    <row r="540" spans="1:34">
      <c r="A540" s="12"/>
      <c r="E540" s="1" t="s">
        <v>615</v>
      </c>
      <c r="AH540" s="13"/>
    </row>
    <row r="541" spans="1:34">
      <c r="A541" s="12"/>
      <c r="C541" s="1" t="s">
        <v>616</v>
      </c>
      <c r="AH541" s="13"/>
    </row>
    <row r="542" spans="1:34">
      <c r="A542" s="12"/>
      <c r="C542" s="1" t="s">
        <v>632</v>
      </c>
      <c r="AH542" s="13"/>
    </row>
    <row r="543" spans="1:34">
      <c r="A543" s="12"/>
      <c r="C543" s="1" t="s">
        <v>633</v>
      </c>
      <c r="AH543" s="13"/>
    </row>
    <row r="544" spans="1:34">
      <c r="A544" s="12"/>
      <c r="C544" s="1" t="s">
        <v>634</v>
      </c>
      <c r="AH544" s="13"/>
    </row>
    <row r="545" spans="1:34">
      <c r="A545" s="12"/>
      <c r="C545" s="1" t="s">
        <v>635</v>
      </c>
      <c r="AH545" s="13"/>
    </row>
    <row r="546" spans="1:34">
      <c r="A546" s="12"/>
      <c r="C546" s="1" t="s">
        <v>636</v>
      </c>
      <c r="AH546" s="13"/>
    </row>
    <row r="547" spans="1:34">
      <c r="A547" s="12"/>
      <c r="C547" s="1" t="s">
        <v>637</v>
      </c>
      <c r="AH547" s="13"/>
    </row>
    <row r="548" spans="1:34">
      <c r="A548" s="12"/>
      <c r="C548" s="1" t="s">
        <v>638</v>
      </c>
      <c r="AH548" s="13"/>
    </row>
    <row r="549" spans="1:34">
      <c r="A549" s="12"/>
      <c r="C549" s="1" t="s">
        <v>617</v>
      </c>
      <c r="AH549" s="13"/>
    </row>
    <row r="550" spans="1:34">
      <c r="A550" s="12"/>
      <c r="C550" s="1" t="s">
        <v>618</v>
      </c>
      <c r="AH550" s="13"/>
    </row>
    <row r="551" spans="1:34">
      <c r="A551" s="12"/>
      <c r="AH551" s="13"/>
    </row>
    <row r="552" spans="1:34">
      <c r="A552" s="12"/>
      <c r="C552" s="1" t="s">
        <v>619</v>
      </c>
      <c r="AH552" s="13"/>
    </row>
    <row r="553" spans="1:34">
      <c r="A553" s="12"/>
      <c r="D553" s="1" t="s">
        <v>620</v>
      </c>
      <c r="AH553" s="13"/>
    </row>
    <row r="554" spans="1:34">
      <c r="A554" s="12"/>
      <c r="D554" s="1" t="s">
        <v>621</v>
      </c>
      <c r="AH554" s="13"/>
    </row>
    <row r="555" spans="1:34">
      <c r="A555" s="12"/>
      <c r="C555" s="1" t="s">
        <v>622</v>
      </c>
      <c r="AH555" s="13"/>
    </row>
    <row r="556" spans="1:34">
      <c r="A556" s="12"/>
      <c r="D556" s="1" t="s">
        <v>623</v>
      </c>
      <c r="AH556" s="13"/>
    </row>
    <row r="557" spans="1:34">
      <c r="A557" s="12"/>
      <c r="D557" s="1" t="s">
        <v>624</v>
      </c>
      <c r="AH557" s="13"/>
    </row>
    <row r="558" spans="1:34">
      <c r="A558" s="12"/>
      <c r="C558" s="1" t="s">
        <v>625</v>
      </c>
      <c r="AH558" s="13"/>
    </row>
    <row r="559" spans="1:34">
      <c r="A559" s="12"/>
      <c r="D559" s="1" t="s">
        <v>626</v>
      </c>
      <c r="AH559" s="13"/>
    </row>
    <row r="560" spans="1:34">
      <c r="A560" s="12"/>
      <c r="AH560" s="13"/>
    </row>
    <row r="561" spans="1:34">
      <c r="A561" s="12"/>
      <c r="C561" s="1" t="s">
        <v>627</v>
      </c>
      <c r="AH561" s="13"/>
    </row>
    <row r="562" spans="1:34">
      <c r="A562" s="12"/>
      <c r="C562" s="1" t="s">
        <v>628</v>
      </c>
      <c r="AH562" s="13"/>
    </row>
    <row r="563" spans="1:34">
      <c r="A563" s="12"/>
      <c r="C563" s="1" t="s">
        <v>629</v>
      </c>
      <c r="AH563" s="13"/>
    </row>
    <row r="564" spans="1:34">
      <c r="A564" s="12"/>
      <c r="C564" s="1" t="s">
        <v>630</v>
      </c>
      <c r="AH564" s="13"/>
    </row>
    <row r="565" spans="1:34">
      <c r="A565" s="12"/>
      <c r="AH565" s="13"/>
    </row>
    <row r="566" spans="1:34">
      <c r="A566" s="12"/>
      <c r="C566" s="1" t="s">
        <v>631</v>
      </c>
      <c r="AH566" s="13"/>
    </row>
    <row r="567" spans="1:34">
      <c r="A567" s="12"/>
      <c r="D567" s="1" t="s">
        <v>685</v>
      </c>
      <c r="AH567" s="13"/>
    </row>
    <row r="568" spans="1:34">
      <c r="A568" s="12"/>
      <c r="AH568" s="13"/>
    </row>
    <row r="569" spans="1:34">
      <c r="A569" s="12"/>
      <c r="AH569" s="13"/>
    </row>
    <row r="570" spans="1:34">
      <c r="A570" s="499" t="s">
        <v>43</v>
      </c>
      <c r="B570" s="500"/>
      <c r="C570" s="500"/>
      <c r="D570" s="500"/>
      <c r="E570" s="500"/>
      <c r="F570" s="500"/>
      <c r="G570" s="500"/>
      <c r="H570" s="500"/>
      <c r="I570" s="500"/>
      <c r="J570" s="500"/>
      <c r="K570" s="500"/>
      <c r="L570" s="500"/>
      <c r="M570" s="500"/>
      <c r="N570" s="500"/>
      <c r="O570" s="500"/>
      <c r="P570" s="500"/>
      <c r="Q570" s="500"/>
      <c r="R570" s="500"/>
      <c r="S570" s="500"/>
      <c r="T570" s="500"/>
      <c r="U570" s="500"/>
      <c r="V570" s="500"/>
      <c r="W570" s="500"/>
      <c r="X570" s="500"/>
      <c r="Y570" s="500"/>
      <c r="Z570" s="500"/>
      <c r="AA570" s="500"/>
      <c r="AB570" s="500"/>
      <c r="AC570" s="500"/>
      <c r="AD570" s="500"/>
      <c r="AE570" s="500"/>
      <c r="AF570" s="500"/>
      <c r="AG570" s="500"/>
      <c r="AH570" s="501"/>
    </row>
    <row r="571" spans="1:34">
      <c r="A571" s="12"/>
      <c r="M571" s="506"/>
      <c r="N571" s="506"/>
      <c r="O571" s="506"/>
      <c r="AH571" s="13"/>
    </row>
    <row r="572" spans="1:34">
      <c r="A572" s="12"/>
      <c r="B572" s="1" t="s">
        <v>44</v>
      </c>
      <c r="AH572" s="13"/>
    </row>
    <row r="573" spans="1:34">
      <c r="A573" s="12"/>
      <c r="M573" s="506"/>
      <c r="N573" s="506"/>
      <c r="O573" s="506"/>
      <c r="AH573" s="13"/>
    </row>
    <row r="574" spans="1:34">
      <c r="A574" s="12"/>
      <c r="AH574" s="13"/>
    </row>
    <row r="575" spans="1:34">
      <c r="A575" s="14"/>
      <c r="B575" s="15"/>
      <c r="C575" s="15"/>
      <c r="D575" s="15"/>
      <c r="E575" s="15"/>
      <c r="F575" s="15"/>
      <c r="G575" s="15"/>
      <c r="H575" s="15"/>
      <c r="I575" s="15"/>
      <c r="J575" s="15"/>
      <c r="K575" s="15"/>
      <c r="L575" s="15"/>
      <c r="M575" s="508"/>
      <c r="N575" s="508"/>
      <c r="O575" s="508"/>
      <c r="P575" s="15"/>
      <c r="Q575" s="15"/>
      <c r="R575" s="15"/>
      <c r="S575" s="15"/>
      <c r="T575" s="15"/>
      <c r="U575" s="15"/>
      <c r="V575" s="15"/>
      <c r="W575" s="15"/>
      <c r="X575" s="15"/>
      <c r="Y575" s="15"/>
      <c r="Z575" s="15"/>
      <c r="AA575" s="15"/>
      <c r="AB575" s="15"/>
      <c r="AC575" s="15"/>
      <c r="AD575" s="15"/>
      <c r="AE575" s="15"/>
      <c r="AF575" s="15"/>
      <c r="AG575" s="15"/>
      <c r="AH575" s="16"/>
    </row>
    <row r="576" spans="1:34" s="308" customFormat="1">
      <c r="A576" s="515" t="s">
        <v>678</v>
      </c>
      <c r="B576" s="516"/>
      <c r="C576" s="516"/>
      <c r="D576" s="516"/>
      <c r="E576" s="516"/>
      <c r="F576" s="516"/>
      <c r="G576" s="516"/>
      <c r="H576" s="516"/>
      <c r="I576" s="516"/>
      <c r="J576" s="516"/>
      <c r="K576" s="516"/>
      <c r="L576" s="516"/>
      <c r="M576" s="516"/>
      <c r="N576" s="516"/>
      <c r="O576" s="516"/>
      <c r="P576" s="516"/>
      <c r="Q576" s="516"/>
      <c r="R576" s="516"/>
      <c r="S576" s="516"/>
      <c r="T576" s="516"/>
      <c r="U576" s="516"/>
      <c r="V576" s="516"/>
      <c r="W576" s="516"/>
      <c r="X576" s="516"/>
      <c r="Y576" s="516"/>
      <c r="Z576" s="516"/>
      <c r="AA576" s="516"/>
      <c r="AB576" s="516"/>
      <c r="AC576" s="516"/>
      <c r="AD576" s="516"/>
      <c r="AE576" s="516"/>
      <c r="AF576" s="516"/>
      <c r="AG576" s="516"/>
      <c r="AH576" s="517"/>
    </row>
    <row r="577" spans="1:34" s="308" customFormat="1">
      <c r="A577" s="150"/>
      <c r="B577" s="307"/>
      <c r="C577" s="307"/>
      <c r="D577" s="152"/>
      <c r="E577" s="307"/>
      <c r="F577" s="307"/>
      <c r="G577" s="307"/>
      <c r="H577" s="307"/>
      <c r="I577" s="307"/>
      <c r="J577" s="307"/>
      <c r="K577" s="307"/>
      <c r="L577" s="307"/>
      <c r="M577" s="518"/>
      <c r="N577" s="518"/>
      <c r="O577" s="518"/>
      <c r="P577" s="307"/>
      <c r="Q577" s="307"/>
      <c r="R577" s="307"/>
      <c r="S577" s="307"/>
      <c r="T577" s="307"/>
      <c r="U577" s="307"/>
      <c r="V577" s="307"/>
      <c r="W577" s="307"/>
      <c r="X577" s="307"/>
      <c r="Y577" s="307"/>
      <c r="Z577" s="307"/>
      <c r="AA577" s="307"/>
      <c r="AB577" s="307"/>
      <c r="AC577" s="307"/>
      <c r="AD577" s="307"/>
      <c r="AE577" s="307"/>
      <c r="AF577" s="307"/>
      <c r="AG577" s="307"/>
      <c r="AH577" s="153"/>
    </row>
    <row r="578" spans="1:34" s="308" customFormat="1">
      <c r="A578" s="356"/>
      <c r="B578" s="356"/>
      <c r="C578" s="356"/>
      <c r="D578" s="357"/>
      <c r="E578" s="356"/>
      <c r="F578" s="356"/>
      <c r="G578" s="356"/>
      <c r="H578" s="356"/>
      <c r="I578" s="356"/>
      <c r="J578" s="356"/>
      <c r="K578" s="356"/>
      <c r="L578" s="356"/>
      <c r="M578" s="356"/>
      <c r="N578" s="356"/>
      <c r="O578" s="356"/>
      <c r="P578" s="356"/>
      <c r="Q578" s="356"/>
      <c r="R578" s="356"/>
      <c r="S578" s="356"/>
      <c r="T578" s="356"/>
      <c r="U578" s="356"/>
      <c r="V578" s="356"/>
      <c r="W578" s="356"/>
      <c r="X578" s="356"/>
      <c r="Y578" s="356"/>
      <c r="Z578" s="356"/>
      <c r="AA578" s="356"/>
      <c r="AB578" s="356"/>
      <c r="AC578" s="356"/>
      <c r="AD578" s="356"/>
      <c r="AE578" s="356"/>
      <c r="AF578" s="356"/>
      <c r="AG578" s="356"/>
      <c r="AH578" s="356"/>
    </row>
    <row r="579" spans="1:34" s="308" customFormat="1">
      <c r="A579" s="356"/>
      <c r="B579" s="356"/>
      <c r="C579" s="356"/>
      <c r="D579" s="357"/>
      <c r="E579" s="356"/>
      <c r="F579" s="356"/>
      <c r="G579" s="356"/>
      <c r="H579" s="356"/>
      <c r="I579" s="356"/>
      <c r="J579" s="356"/>
      <c r="K579" s="356"/>
      <c r="L579" s="356"/>
      <c r="M579" s="356"/>
      <c r="N579" s="356"/>
      <c r="O579" s="356"/>
      <c r="P579" s="356"/>
      <c r="Q579" s="356"/>
      <c r="R579" s="356"/>
      <c r="S579" s="356"/>
      <c r="T579" s="356"/>
      <c r="U579" s="356"/>
      <c r="V579" s="356"/>
      <c r="W579" s="356"/>
      <c r="X579" s="356"/>
      <c r="Y579" s="356"/>
      <c r="Z579" s="356"/>
      <c r="AA579" s="356"/>
      <c r="AB579" s="356"/>
      <c r="AC579" s="356"/>
      <c r="AD579" s="356"/>
      <c r="AE579" s="356"/>
      <c r="AF579" s="356"/>
      <c r="AG579" s="356"/>
      <c r="AH579" s="356"/>
    </row>
    <row r="580" spans="1:34">
      <c r="A580" s="355"/>
      <c r="B580" s="355"/>
      <c r="C580" s="355"/>
      <c r="D580" s="355"/>
      <c r="E580" s="355"/>
      <c r="F580" s="355"/>
      <c r="G580" s="355"/>
      <c r="H580" s="355"/>
      <c r="I580" s="355"/>
      <c r="J580" s="355"/>
      <c r="K580" s="355"/>
      <c r="L580" s="355"/>
      <c r="M580" s="355"/>
      <c r="N580" s="355"/>
      <c r="O580" s="355"/>
      <c r="P580" s="355"/>
      <c r="Q580" s="355"/>
      <c r="R580" s="355"/>
      <c r="S580" s="355"/>
      <c r="T580" s="355"/>
      <c r="U580" s="355"/>
      <c r="V580" s="355"/>
      <c r="W580" s="355"/>
      <c r="X580" s="355"/>
      <c r="Y580" s="355"/>
      <c r="Z580" s="355"/>
      <c r="AA580" s="355"/>
      <c r="AB580" s="355"/>
      <c r="AC580" s="355"/>
      <c r="AD580" s="355"/>
      <c r="AE580" s="355"/>
      <c r="AF580" s="355"/>
      <c r="AG580" s="355"/>
      <c r="AH580" s="355"/>
    </row>
    <row r="581" spans="1:34">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row>
  </sheetData>
  <autoFilter ref="A9:AH569"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77">
    <mergeCell ref="P27:AA27"/>
    <mergeCell ref="P31:AA31"/>
    <mergeCell ref="A576:AH576"/>
    <mergeCell ref="M577:O577"/>
    <mergeCell ref="P18:AA18"/>
    <mergeCell ref="P19:AA19"/>
    <mergeCell ref="P20:AA20"/>
    <mergeCell ref="P21:AA21"/>
    <mergeCell ref="P26:AA26"/>
    <mergeCell ref="M18:O18"/>
    <mergeCell ref="M178:O178"/>
    <mergeCell ref="M176:O176"/>
    <mergeCell ref="M191:O191"/>
    <mergeCell ref="M188:O188"/>
    <mergeCell ref="M185:O185"/>
    <mergeCell ref="M182:O182"/>
    <mergeCell ref="M180:O180"/>
    <mergeCell ref="M25:O25"/>
    <mergeCell ref="M26:O26"/>
    <mergeCell ref="M27:O27"/>
    <mergeCell ref="M28:O28"/>
    <mergeCell ref="M29:O29"/>
    <mergeCell ref="M34:O34"/>
    <mergeCell ref="M35:O35"/>
    <mergeCell ref="M52:O52"/>
    <mergeCell ref="M114:O114"/>
    <mergeCell ref="M30:O30"/>
    <mergeCell ref="M31:O31"/>
    <mergeCell ref="M20:O20"/>
    <mergeCell ref="M21:O21"/>
    <mergeCell ref="M22:O22"/>
    <mergeCell ref="M23:O23"/>
    <mergeCell ref="M24:O24"/>
    <mergeCell ref="M571:O571"/>
    <mergeCell ref="M573:O573"/>
    <mergeCell ref="M200:O200"/>
    <mergeCell ref="M575:O575"/>
    <mergeCell ref="M195:O195"/>
    <mergeCell ref="A196:AH196"/>
    <mergeCell ref="M197:O197"/>
    <mergeCell ref="A570:AH570"/>
    <mergeCell ref="P8:AA9"/>
    <mergeCell ref="AB8:AH9"/>
    <mergeCell ref="M9:O9"/>
    <mergeCell ref="A32:AH32"/>
    <mergeCell ref="M33:O33"/>
    <mergeCell ref="M17:O17"/>
    <mergeCell ref="M10:O10"/>
    <mergeCell ref="J8:J9"/>
    <mergeCell ref="K8:O8"/>
    <mergeCell ref="M19:O19"/>
    <mergeCell ref="M14:O14"/>
    <mergeCell ref="M15:O15"/>
    <mergeCell ref="M16:O16"/>
    <mergeCell ref="M11:O11"/>
    <mergeCell ref="M12:O12"/>
    <mergeCell ref="M13:O13"/>
    <mergeCell ref="A6:B6"/>
    <mergeCell ref="C6:D6"/>
    <mergeCell ref="E6:F6"/>
    <mergeCell ref="A8:A9"/>
    <mergeCell ref="B8:C9"/>
    <mergeCell ref="D8:D9"/>
    <mergeCell ref="E8:E9"/>
    <mergeCell ref="F8:H8"/>
    <mergeCell ref="AC1:AH1"/>
    <mergeCell ref="A4:B4"/>
    <mergeCell ref="M4:Q4"/>
    <mergeCell ref="R4:W4"/>
    <mergeCell ref="X4:AB4"/>
    <mergeCell ref="AC4:AH4"/>
    <mergeCell ref="A1:B1"/>
    <mergeCell ref="C1:D1"/>
    <mergeCell ref="E1:L4"/>
    <mergeCell ref="M1:Q1"/>
    <mergeCell ref="R1:W1"/>
    <mergeCell ref="X1:AB1"/>
  </mergeCells>
  <phoneticPr fontId="15"/>
  <dataValidations count="1">
    <dataValidation imeMode="on" allowBlank="1" showInputMessage="1" showErrorMessage="1" sqref="C10:C31 C571:C575 C114:C195 C33:C52 C197:C569 C577:C579" xr:uid="{13D188B1-56CF-465D-AD7E-BD6E43FBA7FC}"/>
  </dataValidations>
  <pageMargins left="0.19685039370078741" right="0.19685039370078741" top="0.39370078740157483" bottom="0.39370078740157483" header="0" footer="0.19685039370078741"/>
  <pageSetup paperSize="9" scale="58"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65AC-03B1-49DA-B5B0-29E6D8E9C91D}">
  <sheetPr>
    <tabColor rgb="FFFFFF00"/>
    <pageSetUpPr fitToPage="1"/>
  </sheetPr>
  <dimension ref="A1:AL235"/>
  <sheetViews>
    <sheetView showGridLines="0" view="pageBreakPreview" topLeftCell="D1" zoomScale="85" zoomScaleNormal="70" zoomScaleSheetLayoutView="85" workbookViewId="0">
      <pane ySplit="6" topLeftCell="A34" activePane="bottomLeft" state="frozen"/>
      <selection activeCell="A7" sqref="A7"/>
      <selection pane="bottomLeft" activeCell="AL48" sqref="AL48"/>
    </sheetView>
  </sheetViews>
  <sheetFormatPr defaultColWidth="9" defaultRowHeight="15.75"/>
  <cols>
    <col min="1" max="1" width="4.375" style="308" customWidth="1"/>
    <col min="2" max="2" width="29.75" style="308" customWidth="1"/>
    <col min="3" max="3" width="19.375" style="308" customWidth="1"/>
    <col min="4" max="5" width="9" style="308" customWidth="1"/>
    <col min="6" max="6" width="5.875" style="308" customWidth="1"/>
    <col min="7" max="7" width="3.875" style="308" customWidth="1"/>
    <col min="8" max="8" width="9" style="308" customWidth="1"/>
    <col min="9" max="9" width="1.125" style="308" customWidth="1"/>
    <col min="10" max="10" width="9" style="308" customWidth="1"/>
    <col min="11" max="11" width="11.75" style="308" customWidth="1"/>
    <col min="12" max="12" width="9" style="308" customWidth="1"/>
    <col min="13" max="34" width="3.125" style="308" customWidth="1"/>
    <col min="35" max="35" width="9" style="308"/>
    <col min="36" max="36" width="35.125" style="308" customWidth="1"/>
    <col min="37" max="37" width="27" style="308" customWidth="1"/>
    <col min="38" max="38" width="64.875" style="308" customWidth="1"/>
    <col min="39" max="16384" width="9" style="308"/>
  </cols>
  <sheetData>
    <row r="1" spans="1:38" ht="15.75" customHeight="1">
      <c r="A1" s="520"/>
      <c r="B1" s="520"/>
      <c r="C1" s="522"/>
      <c r="D1" s="522"/>
      <c r="E1" s="523"/>
      <c r="F1" s="523"/>
      <c r="G1" s="523"/>
      <c r="H1" s="523"/>
      <c r="I1" s="523"/>
      <c r="J1" s="523"/>
      <c r="K1" s="523"/>
      <c r="L1" s="523"/>
      <c r="M1" s="520"/>
      <c r="N1" s="520"/>
      <c r="O1" s="520"/>
      <c r="P1" s="520"/>
      <c r="Q1" s="520"/>
      <c r="R1" s="524"/>
      <c r="S1" s="519"/>
      <c r="T1" s="519"/>
      <c r="U1" s="519"/>
      <c r="V1" s="519"/>
      <c r="W1" s="519"/>
      <c r="X1" s="520"/>
      <c r="Y1" s="520"/>
      <c r="Z1" s="520"/>
      <c r="AA1" s="520"/>
      <c r="AB1" s="520"/>
      <c r="AC1" s="519"/>
      <c r="AD1" s="519"/>
      <c r="AE1" s="519"/>
      <c r="AF1" s="519"/>
      <c r="AG1" s="519"/>
      <c r="AH1" s="519"/>
    </row>
    <row r="2" spans="1:38" ht="15.75" customHeight="1">
      <c r="A2" s="303"/>
      <c r="B2" s="303"/>
      <c r="C2" s="304"/>
      <c r="D2" s="304"/>
      <c r="E2" s="523"/>
      <c r="F2" s="523"/>
      <c r="G2" s="523"/>
      <c r="H2" s="523"/>
      <c r="I2" s="523"/>
      <c r="J2" s="523"/>
      <c r="K2" s="523"/>
      <c r="L2" s="523"/>
      <c r="M2" s="303"/>
      <c r="N2" s="303"/>
      <c r="O2" s="303"/>
      <c r="P2" s="303"/>
      <c r="Q2" s="303"/>
      <c r="R2" s="305"/>
      <c r="S2" s="302"/>
      <c r="T2" s="302"/>
      <c r="U2" s="302"/>
      <c r="V2" s="302"/>
      <c r="W2" s="302"/>
      <c r="X2" s="303"/>
      <c r="Y2" s="303"/>
      <c r="Z2" s="303"/>
      <c r="AA2" s="303"/>
      <c r="AB2" s="303"/>
      <c r="AC2" s="302"/>
      <c r="AD2" s="302"/>
      <c r="AE2" s="302"/>
      <c r="AF2" s="302"/>
      <c r="AG2" s="302"/>
      <c r="AH2" s="302"/>
    </row>
    <row r="3" spans="1:38" ht="15.75" customHeight="1">
      <c r="A3" s="303"/>
      <c r="B3" s="303"/>
      <c r="C3" s="304"/>
      <c r="D3" s="304"/>
      <c r="E3" s="523"/>
      <c r="F3" s="523"/>
      <c r="G3" s="523"/>
      <c r="H3" s="523"/>
      <c r="I3" s="523"/>
      <c r="J3" s="523"/>
      <c r="K3" s="523"/>
      <c r="L3" s="523"/>
      <c r="M3" s="303"/>
      <c r="N3" s="303"/>
      <c r="O3" s="303"/>
      <c r="P3" s="303"/>
      <c r="Q3" s="303"/>
      <c r="R3" s="305"/>
      <c r="S3" s="302"/>
      <c r="T3" s="302"/>
      <c r="U3" s="302"/>
      <c r="V3" s="302"/>
      <c r="W3" s="302"/>
      <c r="X3" s="303"/>
      <c r="Y3" s="303"/>
      <c r="Z3" s="303"/>
      <c r="AA3" s="303"/>
      <c r="AB3" s="303"/>
      <c r="AC3" s="302"/>
      <c r="AD3" s="302"/>
      <c r="AE3" s="302"/>
      <c r="AF3" s="302"/>
      <c r="AG3" s="302"/>
      <c r="AH3" s="302"/>
    </row>
    <row r="4" spans="1:38" ht="15.75" customHeight="1">
      <c r="A4" s="520"/>
      <c r="B4" s="520"/>
      <c r="C4" s="302"/>
      <c r="E4" s="523"/>
      <c r="F4" s="523"/>
      <c r="G4" s="523"/>
      <c r="H4" s="523"/>
      <c r="I4" s="523"/>
      <c r="J4" s="523"/>
      <c r="K4" s="523"/>
      <c r="L4" s="523"/>
      <c r="M4" s="520"/>
      <c r="N4" s="520"/>
      <c r="O4" s="520"/>
      <c r="P4" s="520"/>
      <c r="Q4" s="520"/>
      <c r="R4" s="521"/>
      <c r="S4" s="519"/>
      <c r="T4" s="519"/>
      <c r="U4" s="519"/>
      <c r="V4" s="519"/>
      <c r="W4" s="519"/>
      <c r="X4" s="520"/>
      <c r="Y4" s="520"/>
      <c r="Z4" s="520"/>
      <c r="AA4" s="520"/>
      <c r="AB4" s="520"/>
      <c r="AC4" s="519"/>
      <c r="AD4" s="519"/>
      <c r="AE4" s="519"/>
      <c r="AF4" s="519"/>
      <c r="AG4" s="519"/>
      <c r="AH4" s="519"/>
    </row>
    <row r="5" spans="1:38" ht="5.25" customHeight="1"/>
    <row r="6" spans="1:38">
      <c r="A6" s="525" t="s">
        <v>20</v>
      </c>
      <c r="B6" s="526"/>
      <c r="C6" s="527" t="s">
        <v>721</v>
      </c>
      <c r="D6" s="528"/>
      <c r="E6" s="529" t="s">
        <v>21</v>
      </c>
      <c r="F6" s="529"/>
      <c r="G6" s="530" t="s">
        <v>720</v>
      </c>
      <c r="H6" s="531"/>
      <c r="I6" s="531"/>
      <c r="J6" s="531"/>
      <c r="K6" s="531"/>
      <c r="L6" s="531"/>
      <c r="M6" s="531"/>
      <c r="N6" s="531"/>
      <c r="O6" s="531"/>
      <c r="P6" s="531"/>
      <c r="Q6" s="531"/>
      <c r="R6" s="531"/>
      <c r="S6" s="531"/>
      <c r="T6" s="531"/>
      <c r="U6" s="531"/>
      <c r="V6" s="531"/>
      <c r="W6" s="531"/>
      <c r="X6" s="531"/>
      <c r="Y6" s="531"/>
      <c r="Z6" s="531"/>
      <c r="AA6" s="531"/>
      <c r="AB6" s="531"/>
      <c r="AC6" s="531"/>
      <c r="AD6" s="531"/>
      <c r="AE6" s="531"/>
      <c r="AF6" s="531"/>
      <c r="AG6" s="531"/>
      <c r="AH6" s="532"/>
    </row>
    <row r="7" spans="1:38" ht="5.25" customHeight="1"/>
    <row r="8" spans="1:38">
      <c r="A8" s="533" t="s">
        <v>22</v>
      </c>
      <c r="B8" s="533" t="s">
        <v>23</v>
      </c>
      <c r="C8" s="533"/>
      <c r="D8" s="533" t="s">
        <v>24</v>
      </c>
      <c r="E8" s="535" t="s">
        <v>25</v>
      </c>
      <c r="F8" s="533" t="s">
        <v>26</v>
      </c>
      <c r="G8" s="533"/>
      <c r="H8" s="533"/>
      <c r="I8" s="130"/>
      <c r="J8" s="537" t="s">
        <v>27</v>
      </c>
      <c r="K8" s="533" t="s">
        <v>28</v>
      </c>
      <c r="L8" s="533"/>
      <c r="M8" s="533"/>
      <c r="N8" s="533"/>
      <c r="O8" s="533"/>
      <c r="P8" s="540" t="s">
        <v>29</v>
      </c>
      <c r="Q8" s="540"/>
      <c r="R8" s="540"/>
      <c r="S8" s="540"/>
      <c r="T8" s="540"/>
      <c r="U8" s="540"/>
      <c r="V8" s="540"/>
      <c r="W8" s="540"/>
      <c r="X8" s="540"/>
      <c r="Y8" s="540"/>
      <c r="Z8" s="540"/>
      <c r="AA8" s="540"/>
      <c r="AB8" s="540" t="s">
        <v>30</v>
      </c>
      <c r="AC8" s="540"/>
      <c r="AD8" s="540"/>
      <c r="AE8" s="540"/>
      <c r="AF8" s="540"/>
      <c r="AG8" s="540"/>
      <c r="AH8" s="540"/>
    </row>
    <row r="9" spans="1:38" ht="16.5" thickBot="1">
      <c r="A9" s="534"/>
      <c r="B9" s="534"/>
      <c r="C9" s="534"/>
      <c r="D9" s="534"/>
      <c r="E9" s="536"/>
      <c r="F9" s="131" t="s">
        <v>31</v>
      </c>
      <c r="G9" s="132" t="s">
        <v>32</v>
      </c>
      <c r="H9" s="133" t="s">
        <v>33</v>
      </c>
      <c r="I9" s="134"/>
      <c r="J9" s="538"/>
      <c r="K9" s="131" t="s">
        <v>34</v>
      </c>
      <c r="L9" s="132" t="s">
        <v>35</v>
      </c>
      <c r="M9" s="542" t="s">
        <v>36</v>
      </c>
      <c r="N9" s="542"/>
      <c r="O9" s="543"/>
      <c r="P9" s="541"/>
      <c r="Q9" s="541"/>
      <c r="R9" s="541"/>
      <c r="S9" s="541"/>
      <c r="T9" s="541"/>
      <c r="U9" s="541"/>
      <c r="V9" s="541"/>
      <c r="W9" s="541"/>
      <c r="X9" s="541"/>
      <c r="Y9" s="541"/>
      <c r="Z9" s="541"/>
      <c r="AA9" s="541"/>
      <c r="AB9" s="541"/>
      <c r="AC9" s="541"/>
      <c r="AD9" s="541"/>
      <c r="AE9" s="541"/>
      <c r="AF9" s="541"/>
      <c r="AG9" s="541"/>
      <c r="AH9" s="541"/>
    </row>
    <row r="10" spans="1:38" ht="16.5" thickTop="1">
      <c r="A10" s="188">
        <f t="shared" ref="A10:A73" si="0">+IF(C10&lt;&gt;"",ROW()-9,"")</f>
        <v>1</v>
      </c>
      <c r="B10" s="185" t="s">
        <v>227</v>
      </c>
      <c r="C10" s="185" t="s">
        <v>719</v>
      </c>
      <c r="D10" s="186" t="b">
        <v>0</v>
      </c>
      <c r="E10" s="187">
        <v>1</v>
      </c>
      <c r="F10" s="187">
        <v>7</v>
      </c>
      <c r="G10" s="187">
        <v>0</v>
      </c>
      <c r="H10" s="187">
        <v>0</v>
      </c>
      <c r="I10" s="188"/>
      <c r="J10" s="189" t="s">
        <v>129</v>
      </c>
      <c r="K10" s="306"/>
      <c r="L10" s="306"/>
      <c r="M10" s="539"/>
      <c r="N10" s="539"/>
      <c r="O10" s="539"/>
      <c r="P10" s="138"/>
      <c r="Q10" s="138"/>
      <c r="R10" s="138"/>
      <c r="S10" s="138"/>
      <c r="T10" s="138"/>
      <c r="U10" s="138"/>
      <c r="V10" s="138"/>
      <c r="W10" s="138"/>
      <c r="X10" s="138"/>
      <c r="Y10" s="138"/>
      <c r="Z10" s="138"/>
      <c r="AA10" s="138"/>
      <c r="AB10" s="139"/>
      <c r="AC10" s="138"/>
      <c r="AD10" s="138"/>
      <c r="AE10" s="138"/>
      <c r="AF10" s="138"/>
      <c r="AG10" s="138"/>
      <c r="AH10" s="140"/>
      <c r="AJ10" s="308" t="s">
        <v>761</v>
      </c>
      <c r="AK10" s="308" t="s">
        <v>719</v>
      </c>
    </row>
    <row r="11" spans="1:38">
      <c r="A11" s="187">
        <f t="shared" si="0"/>
        <v>2</v>
      </c>
      <c r="B11" s="187" t="s">
        <v>228</v>
      </c>
      <c r="C11" s="187" t="s">
        <v>762</v>
      </c>
      <c r="D11" s="186" t="b">
        <v>0</v>
      </c>
      <c r="E11" s="187">
        <v>0</v>
      </c>
      <c r="F11" s="187">
        <v>7</v>
      </c>
      <c r="G11" s="187">
        <v>0</v>
      </c>
      <c r="H11" s="187">
        <v>0</v>
      </c>
      <c r="I11" s="188"/>
      <c r="J11" s="189" t="s">
        <v>129</v>
      </c>
      <c r="K11" s="306"/>
      <c r="L11" s="306"/>
      <c r="M11" s="539"/>
      <c r="N11" s="539"/>
      <c r="O11" s="539"/>
      <c r="P11" s="135"/>
      <c r="Q11" s="138"/>
      <c r="R11" s="138"/>
      <c r="S11" s="138"/>
      <c r="T11" s="138"/>
      <c r="U11" s="138"/>
      <c r="V11" s="138"/>
      <c r="W11" s="138"/>
      <c r="X11" s="138"/>
      <c r="Y11" s="138"/>
      <c r="Z11" s="138"/>
      <c r="AA11" s="138"/>
      <c r="AB11" s="135"/>
      <c r="AC11" s="138"/>
      <c r="AD11" s="138"/>
      <c r="AE11" s="138"/>
      <c r="AF11" s="138"/>
      <c r="AG11" s="138"/>
      <c r="AH11" s="140"/>
      <c r="AJ11" s="308" t="s">
        <v>761</v>
      </c>
      <c r="AK11" s="308" t="s">
        <v>762</v>
      </c>
    </row>
    <row r="12" spans="1:38">
      <c r="A12" s="187">
        <f t="shared" si="0"/>
        <v>3</v>
      </c>
      <c r="B12" s="187" t="s">
        <v>1011</v>
      </c>
      <c r="C12" s="187" t="s">
        <v>763</v>
      </c>
      <c r="D12" s="186" t="b">
        <v>0</v>
      </c>
      <c r="E12" s="187">
        <v>0</v>
      </c>
      <c r="F12" s="187">
        <v>7</v>
      </c>
      <c r="G12" s="187">
        <v>0</v>
      </c>
      <c r="H12" s="187">
        <v>0</v>
      </c>
      <c r="I12" s="188"/>
      <c r="J12" s="189" t="s">
        <v>129</v>
      </c>
      <c r="K12" s="306"/>
      <c r="L12" s="306"/>
      <c r="M12" s="539"/>
      <c r="N12" s="539"/>
      <c r="O12" s="539"/>
      <c r="P12" s="135"/>
      <c r="Q12" s="138"/>
      <c r="R12" s="138"/>
      <c r="S12" s="138"/>
      <c r="T12" s="138"/>
      <c r="U12" s="138"/>
      <c r="V12" s="138"/>
      <c r="W12" s="138"/>
      <c r="X12" s="138"/>
      <c r="Y12" s="138"/>
      <c r="Z12" s="138"/>
      <c r="AA12" s="138"/>
      <c r="AB12" s="135"/>
      <c r="AC12" s="138"/>
      <c r="AD12" s="138"/>
      <c r="AE12" s="138"/>
      <c r="AF12" s="138"/>
      <c r="AG12" s="138"/>
      <c r="AH12" s="140"/>
      <c r="AJ12" s="308" t="s">
        <v>764</v>
      </c>
      <c r="AK12" s="308" t="s">
        <v>763</v>
      </c>
    </row>
    <row r="13" spans="1:38" ht="47.25">
      <c r="A13" s="187">
        <f t="shared" si="0"/>
        <v>4</v>
      </c>
      <c r="B13" s="187" t="s">
        <v>1018</v>
      </c>
      <c r="C13" s="187" t="s">
        <v>765</v>
      </c>
      <c r="D13" s="186" t="b">
        <v>0</v>
      </c>
      <c r="E13" s="187">
        <v>0</v>
      </c>
      <c r="F13" s="187">
        <v>2</v>
      </c>
      <c r="G13" s="187">
        <v>0</v>
      </c>
      <c r="H13" s="187">
        <v>0</v>
      </c>
      <c r="I13" s="188"/>
      <c r="J13" s="189" t="s">
        <v>1017</v>
      </c>
      <c r="K13" s="306"/>
      <c r="L13" s="306"/>
      <c r="M13" s="539"/>
      <c r="N13" s="539"/>
      <c r="O13" s="539"/>
      <c r="P13" s="135" t="s">
        <v>1331</v>
      </c>
      <c r="Q13" s="138"/>
      <c r="R13" s="138"/>
      <c r="S13" s="138"/>
      <c r="T13" s="138"/>
      <c r="U13" s="138"/>
      <c r="V13" s="138"/>
      <c r="W13" s="138"/>
      <c r="X13" s="138"/>
      <c r="Y13" s="138"/>
      <c r="Z13" s="138"/>
      <c r="AA13" s="138"/>
      <c r="AB13" s="135"/>
      <c r="AC13" s="138"/>
      <c r="AD13" s="138"/>
      <c r="AE13" s="138"/>
      <c r="AF13" s="138"/>
      <c r="AG13" s="138"/>
      <c r="AH13" s="140"/>
      <c r="AJ13" s="141" t="s">
        <v>766</v>
      </c>
      <c r="AK13" s="141" t="s">
        <v>767</v>
      </c>
      <c r="AL13" s="141" t="s">
        <v>1449</v>
      </c>
    </row>
    <row r="14" spans="1:38">
      <c r="A14" s="187">
        <f t="shared" si="0"/>
        <v>5</v>
      </c>
      <c r="B14" s="187" t="s">
        <v>1063</v>
      </c>
      <c r="C14" s="187" t="s">
        <v>769</v>
      </c>
      <c r="D14" s="186" t="b">
        <v>1</v>
      </c>
      <c r="E14" s="187">
        <v>0</v>
      </c>
      <c r="F14" s="187">
        <v>100</v>
      </c>
      <c r="G14" s="187">
        <v>0</v>
      </c>
      <c r="H14" s="187">
        <v>0</v>
      </c>
      <c r="I14" s="188"/>
      <c r="J14" s="189" t="s">
        <v>131</v>
      </c>
      <c r="K14" s="306"/>
      <c r="L14" s="306"/>
      <c r="M14" s="539"/>
      <c r="N14" s="539"/>
      <c r="O14" s="539"/>
      <c r="P14" s="135"/>
      <c r="Q14" s="138"/>
      <c r="R14" s="138"/>
      <c r="S14" s="138"/>
      <c r="T14" s="138"/>
      <c r="U14" s="138"/>
      <c r="V14" s="138"/>
      <c r="W14" s="138"/>
      <c r="X14" s="138"/>
      <c r="Y14" s="138"/>
      <c r="Z14" s="138"/>
      <c r="AA14" s="138"/>
      <c r="AB14" s="135"/>
      <c r="AC14" s="138"/>
      <c r="AD14" s="138"/>
      <c r="AE14" s="138"/>
      <c r="AF14" s="138"/>
      <c r="AG14" s="138"/>
      <c r="AH14" s="140"/>
      <c r="AJ14" s="308" t="s">
        <v>770</v>
      </c>
      <c r="AK14" s="308" t="s">
        <v>771</v>
      </c>
    </row>
    <row r="15" spans="1:38" ht="47.25">
      <c r="A15" s="187">
        <f t="shared" si="0"/>
        <v>6</v>
      </c>
      <c r="B15" s="187" t="s">
        <v>1019</v>
      </c>
      <c r="C15" s="187" t="s">
        <v>772</v>
      </c>
      <c r="D15" s="186" t="b">
        <v>1</v>
      </c>
      <c r="E15" s="187">
        <v>0</v>
      </c>
      <c r="F15" s="187">
        <v>2</v>
      </c>
      <c r="G15" s="187">
        <v>0</v>
      </c>
      <c r="H15" s="187">
        <v>0</v>
      </c>
      <c r="I15" s="188"/>
      <c r="J15" s="189" t="s">
        <v>1017</v>
      </c>
      <c r="K15" s="306"/>
      <c r="L15" s="306"/>
      <c r="M15" s="539"/>
      <c r="N15" s="539"/>
      <c r="O15" s="539"/>
      <c r="P15" s="135" t="s">
        <v>1331</v>
      </c>
      <c r="Q15" s="138"/>
      <c r="R15" s="138"/>
      <c r="S15" s="138"/>
      <c r="T15" s="138"/>
      <c r="U15" s="138"/>
      <c r="V15" s="138"/>
      <c r="W15" s="138"/>
      <c r="X15" s="138"/>
      <c r="Y15" s="138"/>
      <c r="Z15" s="138"/>
      <c r="AA15" s="138"/>
      <c r="AB15" s="135"/>
      <c r="AC15" s="138"/>
      <c r="AD15" s="138"/>
      <c r="AE15" s="138"/>
      <c r="AF15" s="138"/>
      <c r="AG15" s="138"/>
      <c r="AH15" s="140"/>
      <c r="AJ15" s="141" t="s">
        <v>766</v>
      </c>
      <c r="AK15" s="141" t="s">
        <v>773</v>
      </c>
      <c r="AL15" s="141" t="s">
        <v>1449</v>
      </c>
    </row>
    <row r="16" spans="1:38">
      <c r="A16" s="187">
        <f t="shared" si="0"/>
        <v>7</v>
      </c>
      <c r="B16" s="187" t="s">
        <v>1064</v>
      </c>
      <c r="C16" s="187" t="s">
        <v>775</v>
      </c>
      <c r="D16" s="186" t="b">
        <v>1</v>
      </c>
      <c r="E16" s="187">
        <v>0</v>
      </c>
      <c r="F16" s="187">
        <v>100</v>
      </c>
      <c r="G16" s="187">
        <v>0</v>
      </c>
      <c r="H16" s="187">
        <v>0</v>
      </c>
      <c r="I16" s="188"/>
      <c r="J16" s="189" t="s">
        <v>131</v>
      </c>
      <c r="K16" s="306"/>
      <c r="L16" s="306"/>
      <c r="M16" s="539"/>
      <c r="N16" s="539"/>
      <c r="O16" s="539"/>
      <c r="P16" s="135"/>
      <c r="Q16" s="138"/>
      <c r="R16" s="138"/>
      <c r="S16" s="138"/>
      <c r="T16" s="138"/>
      <c r="U16" s="138"/>
      <c r="V16" s="138"/>
      <c r="W16" s="138"/>
      <c r="X16" s="138"/>
      <c r="Y16" s="138"/>
      <c r="Z16" s="138"/>
      <c r="AA16" s="138"/>
      <c r="AB16" s="135"/>
      <c r="AC16" s="138"/>
      <c r="AD16" s="138"/>
      <c r="AE16" s="138"/>
      <c r="AF16" s="138"/>
      <c r="AG16" s="138"/>
      <c r="AH16" s="140"/>
      <c r="AJ16" s="308" t="s">
        <v>776</v>
      </c>
      <c r="AK16" s="308" t="s">
        <v>771</v>
      </c>
    </row>
    <row r="17" spans="1:37">
      <c r="A17" s="187">
        <f t="shared" si="0"/>
        <v>8</v>
      </c>
      <c r="B17" s="198" t="s">
        <v>1082</v>
      </c>
      <c r="C17" s="187" t="s">
        <v>777</v>
      </c>
      <c r="D17" s="186" t="b">
        <v>1</v>
      </c>
      <c r="E17" s="187">
        <v>0</v>
      </c>
      <c r="F17" s="187">
        <v>1</v>
      </c>
      <c r="G17" s="187">
        <v>0</v>
      </c>
      <c r="H17" s="187">
        <v>0</v>
      </c>
      <c r="I17" s="188"/>
      <c r="J17" s="189" t="s">
        <v>1017</v>
      </c>
      <c r="K17" s="306"/>
      <c r="L17" s="306"/>
      <c r="M17" s="539"/>
      <c r="N17" s="539"/>
      <c r="O17" s="539"/>
      <c r="P17" s="135"/>
      <c r="Q17" s="138"/>
      <c r="R17" s="138"/>
      <c r="S17" s="138"/>
      <c r="T17" s="138"/>
      <c r="U17" s="138"/>
      <c r="V17" s="138"/>
      <c r="W17" s="138"/>
      <c r="X17" s="138"/>
      <c r="Y17" s="138"/>
      <c r="Z17" s="138"/>
      <c r="AA17" s="138"/>
      <c r="AB17" s="135"/>
      <c r="AC17" s="138"/>
      <c r="AD17" s="138"/>
      <c r="AE17" s="138"/>
      <c r="AF17" s="138"/>
      <c r="AG17" s="138"/>
      <c r="AH17" s="140"/>
      <c r="AJ17" s="142" t="s">
        <v>778</v>
      </c>
      <c r="AK17" s="142" t="s">
        <v>779</v>
      </c>
    </row>
    <row r="18" spans="1:37">
      <c r="A18" s="187">
        <f t="shared" si="0"/>
        <v>9</v>
      </c>
      <c r="B18" s="198" t="s">
        <v>475</v>
      </c>
      <c r="C18" s="187" t="s">
        <v>780</v>
      </c>
      <c r="D18" s="186" t="b">
        <v>1</v>
      </c>
      <c r="E18" s="187">
        <v>0</v>
      </c>
      <c r="F18" s="187">
        <v>100</v>
      </c>
      <c r="G18" s="187">
        <v>0</v>
      </c>
      <c r="H18" s="187">
        <v>0</v>
      </c>
      <c r="I18" s="188"/>
      <c r="J18" s="189" t="s">
        <v>131</v>
      </c>
      <c r="K18" s="306"/>
      <c r="L18" s="306"/>
      <c r="M18" s="539"/>
      <c r="N18" s="539"/>
      <c r="O18" s="539"/>
      <c r="P18" s="135"/>
      <c r="Q18" s="138"/>
      <c r="R18" s="138"/>
      <c r="S18" s="138"/>
      <c r="T18" s="138"/>
      <c r="U18" s="138"/>
      <c r="V18" s="138"/>
      <c r="W18" s="138"/>
      <c r="X18" s="138"/>
      <c r="Y18" s="138"/>
      <c r="Z18" s="138"/>
      <c r="AA18" s="138"/>
      <c r="AB18" s="135"/>
      <c r="AC18" s="138"/>
      <c r="AD18" s="138"/>
      <c r="AE18" s="138"/>
      <c r="AF18" s="138"/>
      <c r="AG18" s="138"/>
      <c r="AH18" s="140"/>
      <c r="AJ18" s="308" t="s">
        <v>781</v>
      </c>
      <c r="AK18" s="308" t="s">
        <v>771</v>
      </c>
    </row>
    <row r="19" spans="1:37">
      <c r="A19" s="187">
        <f t="shared" si="0"/>
        <v>10</v>
      </c>
      <c r="B19" s="198" t="s">
        <v>1083</v>
      </c>
      <c r="C19" s="187" t="s">
        <v>782</v>
      </c>
      <c r="D19" s="186" t="b">
        <v>1</v>
      </c>
      <c r="E19" s="187">
        <v>0</v>
      </c>
      <c r="F19" s="187">
        <v>1</v>
      </c>
      <c r="G19" s="187">
        <v>0</v>
      </c>
      <c r="H19" s="187">
        <v>0</v>
      </c>
      <c r="I19" s="188"/>
      <c r="J19" s="189" t="s">
        <v>1017</v>
      </c>
      <c r="K19" s="306"/>
      <c r="L19" s="306"/>
      <c r="M19" s="539"/>
      <c r="N19" s="539"/>
      <c r="O19" s="539"/>
      <c r="P19" s="135"/>
      <c r="Q19" s="138"/>
      <c r="R19" s="138"/>
      <c r="S19" s="138"/>
      <c r="T19" s="138"/>
      <c r="U19" s="138"/>
      <c r="V19" s="138"/>
      <c r="W19" s="138"/>
      <c r="X19" s="138"/>
      <c r="Y19" s="138"/>
      <c r="Z19" s="138"/>
      <c r="AA19" s="138"/>
      <c r="AB19" s="135"/>
      <c r="AC19" s="138"/>
      <c r="AD19" s="138"/>
      <c r="AE19" s="138"/>
      <c r="AF19" s="138"/>
      <c r="AG19" s="138"/>
      <c r="AH19" s="140"/>
      <c r="AJ19" s="142" t="s">
        <v>778</v>
      </c>
      <c r="AK19" s="142" t="s">
        <v>783</v>
      </c>
    </row>
    <row r="20" spans="1:37">
      <c r="A20" s="187">
        <f t="shared" si="0"/>
        <v>11</v>
      </c>
      <c r="B20" s="198" t="s">
        <v>477</v>
      </c>
      <c r="C20" s="187" t="s">
        <v>784</v>
      </c>
      <c r="D20" s="186" t="b">
        <v>1</v>
      </c>
      <c r="E20" s="187">
        <v>0</v>
      </c>
      <c r="F20" s="187">
        <v>100</v>
      </c>
      <c r="G20" s="187">
        <v>0</v>
      </c>
      <c r="H20" s="187">
        <v>0</v>
      </c>
      <c r="I20" s="188"/>
      <c r="J20" s="189" t="s">
        <v>131</v>
      </c>
      <c r="K20" s="306"/>
      <c r="L20" s="306"/>
      <c r="M20" s="539"/>
      <c r="N20" s="539"/>
      <c r="O20" s="539"/>
      <c r="P20" s="135"/>
      <c r="Q20" s="138"/>
      <c r="R20" s="138"/>
      <c r="S20" s="138"/>
      <c r="T20" s="138"/>
      <c r="U20" s="138"/>
      <c r="V20" s="138"/>
      <c r="W20" s="138"/>
      <c r="X20" s="138"/>
      <c r="Y20" s="138"/>
      <c r="Z20" s="138"/>
      <c r="AA20" s="138"/>
      <c r="AB20" s="135"/>
      <c r="AC20" s="138"/>
      <c r="AD20" s="138"/>
      <c r="AE20" s="138"/>
      <c r="AF20" s="138"/>
      <c r="AG20" s="138"/>
      <c r="AH20" s="140"/>
      <c r="AJ20" s="308" t="s">
        <v>785</v>
      </c>
      <c r="AK20" s="308" t="s">
        <v>771</v>
      </c>
    </row>
    <row r="21" spans="1:37">
      <c r="A21" s="187">
        <f t="shared" si="0"/>
        <v>12</v>
      </c>
      <c r="B21" s="187" t="s">
        <v>230</v>
      </c>
      <c r="C21" s="187" t="s">
        <v>572</v>
      </c>
      <c r="D21" s="186" t="b">
        <v>1</v>
      </c>
      <c r="E21" s="187">
        <v>0</v>
      </c>
      <c r="F21" s="187">
        <v>8</v>
      </c>
      <c r="G21" s="187">
        <v>0</v>
      </c>
      <c r="H21" s="187">
        <v>0</v>
      </c>
      <c r="I21" s="188"/>
      <c r="J21" s="189" t="s">
        <v>129</v>
      </c>
      <c r="K21" s="306"/>
      <c r="L21" s="306"/>
      <c r="M21" s="539"/>
      <c r="N21" s="539"/>
      <c r="O21" s="539"/>
      <c r="P21" s="135"/>
      <c r="Q21" s="138"/>
      <c r="R21" s="138"/>
      <c r="S21" s="138"/>
      <c r="T21" s="138"/>
      <c r="U21" s="138"/>
      <c r="V21" s="138"/>
      <c r="W21" s="138"/>
      <c r="X21" s="138"/>
      <c r="Y21" s="138"/>
      <c r="Z21" s="138"/>
      <c r="AA21" s="138"/>
      <c r="AB21" s="135"/>
      <c r="AC21" s="138"/>
      <c r="AD21" s="138"/>
      <c r="AE21" s="138"/>
      <c r="AF21" s="138"/>
      <c r="AG21" s="138"/>
      <c r="AH21" s="140"/>
      <c r="AJ21" s="308" t="s">
        <v>761</v>
      </c>
      <c r="AK21" s="308" t="s">
        <v>572</v>
      </c>
    </row>
    <row r="22" spans="1:37">
      <c r="A22" s="187">
        <f t="shared" si="0"/>
        <v>13</v>
      </c>
      <c r="B22" s="187" t="s">
        <v>1061</v>
      </c>
      <c r="C22" s="187" t="s">
        <v>718</v>
      </c>
      <c r="D22" s="186" t="b">
        <v>0</v>
      </c>
      <c r="E22" s="187">
        <v>0</v>
      </c>
      <c r="F22" s="187">
        <v>0</v>
      </c>
      <c r="G22" s="187">
        <v>0</v>
      </c>
      <c r="H22" s="187">
        <v>0</v>
      </c>
      <c r="I22" s="188"/>
      <c r="J22" s="189" t="s">
        <v>1020</v>
      </c>
      <c r="K22" s="306"/>
      <c r="L22" s="306"/>
      <c r="M22" s="539"/>
      <c r="N22" s="539"/>
      <c r="O22" s="539"/>
      <c r="P22" s="135"/>
      <c r="Q22" s="138"/>
      <c r="R22" s="138"/>
      <c r="S22" s="138"/>
      <c r="T22" s="138"/>
      <c r="U22" s="138"/>
      <c r="V22" s="138"/>
      <c r="W22" s="138"/>
      <c r="X22" s="138"/>
      <c r="Y22" s="138"/>
      <c r="Z22" s="138"/>
      <c r="AA22" s="138"/>
      <c r="AB22" s="135"/>
      <c r="AC22" s="138"/>
      <c r="AD22" s="138"/>
      <c r="AE22" s="138"/>
      <c r="AF22" s="138"/>
      <c r="AG22" s="138"/>
      <c r="AH22" s="140"/>
      <c r="AJ22" s="308" t="s">
        <v>807</v>
      </c>
      <c r="AK22" s="308" t="s">
        <v>718</v>
      </c>
    </row>
    <row r="23" spans="1:37">
      <c r="A23" s="187">
        <f t="shared" si="0"/>
        <v>14</v>
      </c>
      <c r="B23" s="187" t="s">
        <v>1062</v>
      </c>
      <c r="C23" s="187" t="s">
        <v>717</v>
      </c>
      <c r="D23" s="186" t="b">
        <v>1</v>
      </c>
      <c r="E23" s="187">
        <v>0</v>
      </c>
      <c r="F23" s="187">
        <v>0</v>
      </c>
      <c r="G23" s="187">
        <v>0</v>
      </c>
      <c r="H23" s="187">
        <v>0</v>
      </c>
      <c r="I23" s="188"/>
      <c r="J23" s="189" t="s">
        <v>133</v>
      </c>
      <c r="K23" s="306"/>
      <c r="L23" s="306"/>
      <c r="M23" s="539"/>
      <c r="N23" s="539"/>
      <c r="O23" s="539"/>
      <c r="P23" s="135"/>
      <c r="Q23" s="138"/>
      <c r="R23" s="138"/>
      <c r="S23" s="138"/>
      <c r="T23" s="138"/>
      <c r="U23" s="138"/>
      <c r="V23" s="138"/>
      <c r="W23" s="138"/>
      <c r="X23" s="138"/>
      <c r="Y23" s="138"/>
      <c r="Z23" s="138"/>
      <c r="AA23" s="138"/>
      <c r="AB23" s="135"/>
      <c r="AC23" s="138"/>
      <c r="AD23" s="138"/>
      <c r="AE23" s="138"/>
      <c r="AF23" s="138"/>
      <c r="AG23" s="138"/>
      <c r="AH23" s="140"/>
      <c r="AJ23" s="308" t="s">
        <v>1002</v>
      </c>
      <c r="AK23" s="308" t="s">
        <v>717</v>
      </c>
    </row>
    <row r="24" spans="1:37">
      <c r="A24" s="187">
        <f t="shared" si="0"/>
        <v>15</v>
      </c>
      <c r="B24" s="187" t="s">
        <v>1021</v>
      </c>
      <c r="C24" s="187" t="s">
        <v>786</v>
      </c>
      <c r="D24" s="186" t="b">
        <v>1</v>
      </c>
      <c r="E24" s="187">
        <v>0</v>
      </c>
      <c r="F24" s="187">
        <v>0</v>
      </c>
      <c r="G24" s="187">
        <v>0</v>
      </c>
      <c r="H24" s="187">
        <v>0</v>
      </c>
      <c r="I24" s="188"/>
      <c r="J24" s="189" t="s">
        <v>133</v>
      </c>
      <c r="K24" s="306"/>
      <c r="L24" s="306"/>
      <c r="M24" s="539"/>
      <c r="N24" s="539"/>
      <c r="O24" s="539"/>
      <c r="P24" s="135" t="s">
        <v>120</v>
      </c>
      <c r="Q24" s="138"/>
      <c r="R24" s="138"/>
      <c r="S24" s="138"/>
      <c r="T24" s="138"/>
      <c r="U24" s="138"/>
      <c r="V24" s="138"/>
      <c r="W24" s="138"/>
      <c r="X24" s="138"/>
      <c r="Y24" s="138"/>
      <c r="Z24" s="138"/>
      <c r="AA24" s="138"/>
      <c r="AB24" s="135"/>
      <c r="AC24" s="138"/>
      <c r="AD24" s="138"/>
      <c r="AE24" s="138"/>
      <c r="AF24" s="138"/>
      <c r="AG24" s="138"/>
      <c r="AH24" s="140"/>
      <c r="AJ24" s="308" t="s">
        <v>761</v>
      </c>
      <c r="AK24" s="308" t="s">
        <v>786</v>
      </c>
    </row>
    <row r="25" spans="1:37">
      <c r="A25" s="187">
        <f t="shared" si="0"/>
        <v>16</v>
      </c>
      <c r="B25" s="187" t="s">
        <v>1022</v>
      </c>
      <c r="C25" s="187" t="s">
        <v>716</v>
      </c>
      <c r="D25" s="186" t="b">
        <v>1</v>
      </c>
      <c r="E25" s="187">
        <v>0</v>
      </c>
      <c r="F25" s="187">
        <v>0</v>
      </c>
      <c r="G25" s="187">
        <v>0</v>
      </c>
      <c r="H25" s="187">
        <v>0</v>
      </c>
      <c r="I25" s="188"/>
      <c r="J25" s="189" t="s">
        <v>133</v>
      </c>
      <c r="K25" s="306"/>
      <c r="L25" s="306"/>
      <c r="M25" s="539"/>
      <c r="N25" s="539"/>
      <c r="O25" s="539"/>
      <c r="P25" s="135" t="s">
        <v>121</v>
      </c>
      <c r="Q25" s="138"/>
      <c r="R25" s="138"/>
      <c r="S25" s="138"/>
      <c r="T25" s="138"/>
      <c r="U25" s="138"/>
      <c r="V25" s="138"/>
      <c r="W25" s="138"/>
      <c r="X25" s="138"/>
      <c r="Y25" s="138"/>
      <c r="Z25" s="138"/>
      <c r="AA25" s="138"/>
      <c r="AB25" s="135"/>
      <c r="AC25" s="138"/>
      <c r="AD25" s="138"/>
      <c r="AE25" s="138"/>
      <c r="AF25" s="138"/>
      <c r="AG25" s="138"/>
      <c r="AH25" s="140"/>
      <c r="AJ25" s="308" t="s">
        <v>761</v>
      </c>
      <c r="AK25" s="308" t="s">
        <v>716</v>
      </c>
    </row>
    <row r="26" spans="1:37">
      <c r="A26" s="187">
        <f t="shared" si="0"/>
        <v>17</v>
      </c>
      <c r="B26" s="187" t="s">
        <v>239</v>
      </c>
      <c r="C26" s="187" t="s">
        <v>787</v>
      </c>
      <c r="D26" s="186" t="b">
        <v>1</v>
      </c>
      <c r="E26" s="187">
        <v>0</v>
      </c>
      <c r="F26" s="187">
        <v>0</v>
      </c>
      <c r="G26" s="187">
        <v>0</v>
      </c>
      <c r="H26" s="187">
        <v>0</v>
      </c>
      <c r="I26" s="188"/>
      <c r="J26" s="189" t="s">
        <v>133</v>
      </c>
      <c r="K26" s="306"/>
      <c r="L26" s="306"/>
      <c r="M26" s="539"/>
      <c r="N26" s="539"/>
      <c r="O26" s="539"/>
      <c r="P26" s="135" t="s">
        <v>788</v>
      </c>
      <c r="Q26" s="138"/>
      <c r="R26" s="138"/>
      <c r="S26" s="138"/>
      <c r="T26" s="138"/>
      <c r="U26" s="138"/>
      <c r="V26" s="138"/>
      <c r="W26" s="138"/>
      <c r="X26" s="138"/>
      <c r="Y26" s="138"/>
      <c r="Z26" s="138"/>
      <c r="AA26" s="138"/>
      <c r="AB26" s="135"/>
      <c r="AC26" s="138"/>
      <c r="AD26" s="138"/>
      <c r="AE26" s="138"/>
      <c r="AF26" s="138"/>
      <c r="AG26" s="138"/>
      <c r="AH26" s="140"/>
      <c r="AJ26" s="308" t="s">
        <v>761</v>
      </c>
      <c r="AK26" s="308" t="s">
        <v>787</v>
      </c>
    </row>
    <row r="27" spans="1:37">
      <c r="A27" s="187">
        <f t="shared" si="0"/>
        <v>18</v>
      </c>
      <c r="B27" s="187" t="s">
        <v>1023</v>
      </c>
      <c r="C27" s="187" t="s">
        <v>715</v>
      </c>
      <c r="D27" s="186" t="b">
        <v>1</v>
      </c>
      <c r="E27" s="187">
        <v>0</v>
      </c>
      <c r="F27" s="187">
        <v>0</v>
      </c>
      <c r="G27" s="187">
        <v>0</v>
      </c>
      <c r="H27" s="187">
        <v>0</v>
      </c>
      <c r="I27" s="188"/>
      <c r="J27" s="189" t="s">
        <v>133</v>
      </c>
      <c r="K27" s="306"/>
      <c r="L27" s="306"/>
      <c r="M27" s="539"/>
      <c r="N27" s="539"/>
      <c r="O27" s="539"/>
      <c r="P27" s="135"/>
      <c r="Q27" s="138"/>
      <c r="R27" s="138"/>
      <c r="S27" s="138"/>
      <c r="T27" s="138"/>
      <c r="U27" s="138"/>
      <c r="V27" s="138"/>
      <c r="W27" s="138"/>
      <c r="X27" s="138"/>
      <c r="Y27" s="138"/>
      <c r="Z27" s="138"/>
      <c r="AA27" s="138"/>
      <c r="AB27" s="135"/>
      <c r="AC27" s="138"/>
      <c r="AD27" s="138"/>
      <c r="AE27" s="138"/>
      <c r="AF27" s="138"/>
      <c r="AG27" s="138"/>
      <c r="AH27" s="140"/>
      <c r="AJ27" s="308" t="s">
        <v>761</v>
      </c>
      <c r="AK27" s="308" t="s">
        <v>715</v>
      </c>
    </row>
    <row r="28" spans="1:37">
      <c r="A28" s="187">
        <f t="shared" si="0"/>
        <v>19</v>
      </c>
      <c r="B28" s="187" t="s">
        <v>1024</v>
      </c>
      <c r="C28" s="187" t="s">
        <v>789</v>
      </c>
      <c r="D28" s="186" t="b">
        <v>1</v>
      </c>
      <c r="E28" s="187">
        <v>0</v>
      </c>
      <c r="F28" s="187">
        <v>0</v>
      </c>
      <c r="G28" s="187">
        <v>0</v>
      </c>
      <c r="H28" s="187">
        <v>0</v>
      </c>
      <c r="I28" s="188"/>
      <c r="J28" s="189" t="s">
        <v>133</v>
      </c>
      <c r="K28" s="306"/>
      <c r="L28" s="306"/>
      <c r="M28" s="539"/>
      <c r="N28" s="539"/>
      <c r="O28" s="539"/>
      <c r="P28" s="135"/>
      <c r="Q28" s="138"/>
      <c r="R28" s="138"/>
      <c r="S28" s="138"/>
      <c r="T28" s="138"/>
      <c r="U28" s="138"/>
      <c r="V28" s="138"/>
      <c r="W28" s="138"/>
      <c r="X28" s="138"/>
      <c r="Y28" s="138"/>
      <c r="Z28" s="138"/>
      <c r="AA28" s="138"/>
      <c r="AB28" s="135"/>
      <c r="AC28" s="138"/>
      <c r="AD28" s="138"/>
      <c r="AE28" s="138"/>
      <c r="AF28" s="138"/>
      <c r="AG28" s="138"/>
      <c r="AH28" s="140"/>
      <c r="AJ28" s="308" t="s">
        <v>761</v>
      </c>
      <c r="AK28" s="308" t="s">
        <v>789</v>
      </c>
    </row>
    <row r="29" spans="1:37">
      <c r="A29" s="187">
        <f t="shared" si="0"/>
        <v>20</v>
      </c>
      <c r="B29" s="187" t="s">
        <v>1067</v>
      </c>
      <c r="C29" s="187" t="s">
        <v>790</v>
      </c>
      <c r="D29" s="186" t="b">
        <v>0</v>
      </c>
      <c r="E29" s="187">
        <v>0</v>
      </c>
      <c r="F29" s="187">
        <v>0</v>
      </c>
      <c r="G29" s="187">
        <v>0</v>
      </c>
      <c r="H29" s="187">
        <v>0</v>
      </c>
      <c r="I29" s="188"/>
      <c r="J29" s="189" t="s">
        <v>1020</v>
      </c>
      <c r="K29" s="306"/>
      <c r="L29" s="306"/>
      <c r="M29" s="539"/>
      <c r="N29" s="539"/>
      <c r="O29" s="539"/>
      <c r="P29" s="135"/>
      <c r="Q29" s="138"/>
      <c r="R29" s="138"/>
      <c r="S29" s="138"/>
      <c r="T29" s="138"/>
      <c r="U29" s="138"/>
      <c r="V29" s="138"/>
      <c r="W29" s="138"/>
      <c r="X29" s="138"/>
      <c r="Y29" s="138"/>
      <c r="Z29" s="138"/>
      <c r="AA29" s="138"/>
      <c r="AB29" s="135"/>
      <c r="AC29" s="138"/>
      <c r="AD29" s="138"/>
      <c r="AE29" s="138"/>
      <c r="AF29" s="138"/>
      <c r="AG29" s="138"/>
      <c r="AH29" s="140"/>
      <c r="AJ29" s="308" t="s">
        <v>761</v>
      </c>
      <c r="AK29" s="308" t="s">
        <v>790</v>
      </c>
    </row>
    <row r="30" spans="1:37">
      <c r="A30" s="187">
        <f t="shared" si="0"/>
        <v>21</v>
      </c>
      <c r="B30" s="187" t="s">
        <v>1065</v>
      </c>
      <c r="C30" s="187" t="s">
        <v>1080</v>
      </c>
      <c r="D30" s="186" t="b">
        <v>1</v>
      </c>
      <c r="E30" s="187">
        <v>0</v>
      </c>
      <c r="F30" s="187">
        <v>100</v>
      </c>
      <c r="G30" s="187">
        <v>0</v>
      </c>
      <c r="H30" s="187">
        <v>0</v>
      </c>
      <c r="I30" s="188"/>
      <c r="J30" s="189" t="s">
        <v>131</v>
      </c>
      <c r="K30" s="306"/>
      <c r="L30" s="306"/>
      <c r="M30" s="539"/>
      <c r="N30" s="539"/>
      <c r="O30" s="539"/>
      <c r="P30" s="135"/>
      <c r="Q30" s="138"/>
      <c r="R30" s="138"/>
      <c r="S30" s="138"/>
      <c r="T30" s="138"/>
      <c r="U30" s="138"/>
      <c r="V30" s="138"/>
      <c r="W30" s="138"/>
      <c r="X30" s="138"/>
      <c r="Y30" s="138"/>
      <c r="Z30" s="138"/>
      <c r="AA30" s="138"/>
      <c r="AB30" s="135"/>
      <c r="AC30" s="138"/>
      <c r="AD30" s="138"/>
      <c r="AE30" s="138"/>
      <c r="AF30" s="138"/>
      <c r="AG30" s="138"/>
      <c r="AH30" s="140"/>
      <c r="AJ30" s="308" t="s">
        <v>792</v>
      </c>
      <c r="AK30" s="308" t="s">
        <v>791</v>
      </c>
    </row>
    <row r="31" spans="1:37">
      <c r="A31" s="187">
        <f t="shared" si="0"/>
        <v>22</v>
      </c>
      <c r="B31" s="187" t="s">
        <v>1025</v>
      </c>
      <c r="C31" s="187" t="s">
        <v>793</v>
      </c>
      <c r="D31" s="186" t="b">
        <v>1</v>
      </c>
      <c r="E31" s="187">
        <v>0</v>
      </c>
      <c r="F31" s="187">
        <v>1</v>
      </c>
      <c r="G31" s="187">
        <v>0</v>
      </c>
      <c r="H31" s="187">
        <v>0</v>
      </c>
      <c r="I31" s="188"/>
      <c r="J31" s="189" t="s">
        <v>1017</v>
      </c>
      <c r="K31" s="306"/>
      <c r="L31" s="306"/>
      <c r="M31" s="539"/>
      <c r="N31" s="539"/>
      <c r="O31" s="539"/>
      <c r="P31" s="135"/>
      <c r="Q31" s="138"/>
      <c r="R31" s="138"/>
      <c r="S31" s="138"/>
      <c r="T31" s="138"/>
      <c r="U31" s="138"/>
      <c r="V31" s="138"/>
      <c r="W31" s="138"/>
      <c r="X31" s="138"/>
      <c r="Y31" s="138"/>
      <c r="Z31" s="138"/>
      <c r="AA31" s="138"/>
      <c r="AB31" s="135"/>
      <c r="AC31" s="138"/>
      <c r="AD31" s="138"/>
      <c r="AE31" s="138"/>
      <c r="AF31" s="138"/>
      <c r="AG31" s="138"/>
      <c r="AH31" s="140"/>
      <c r="AJ31" s="308" t="s">
        <v>764</v>
      </c>
      <c r="AK31" s="308" t="s">
        <v>793</v>
      </c>
    </row>
    <row r="32" spans="1:37">
      <c r="A32" s="187">
        <f t="shared" si="0"/>
        <v>23</v>
      </c>
      <c r="B32" s="187" t="s">
        <v>471</v>
      </c>
      <c r="C32" s="187" t="s">
        <v>1079</v>
      </c>
      <c r="D32" s="186" t="b">
        <v>1</v>
      </c>
      <c r="E32" s="187">
        <v>0</v>
      </c>
      <c r="F32" s="187">
        <v>100</v>
      </c>
      <c r="G32" s="187">
        <v>0</v>
      </c>
      <c r="H32" s="187">
        <v>0</v>
      </c>
      <c r="I32" s="188"/>
      <c r="J32" s="189" t="s">
        <v>131</v>
      </c>
      <c r="K32" s="306"/>
      <c r="L32" s="306"/>
      <c r="M32" s="539"/>
      <c r="N32" s="539"/>
      <c r="O32" s="539"/>
      <c r="P32" s="135"/>
      <c r="Q32" s="138"/>
      <c r="R32" s="138"/>
      <c r="S32" s="138"/>
      <c r="T32" s="138"/>
      <c r="U32" s="138"/>
      <c r="V32" s="138"/>
      <c r="W32" s="138"/>
      <c r="X32" s="138"/>
      <c r="Y32" s="138"/>
      <c r="Z32" s="138"/>
      <c r="AA32" s="138"/>
      <c r="AB32" s="135"/>
      <c r="AC32" s="138"/>
      <c r="AD32" s="138"/>
      <c r="AE32" s="138"/>
      <c r="AF32" s="138"/>
      <c r="AG32" s="138"/>
      <c r="AH32" s="140"/>
      <c r="AJ32" s="308" t="s">
        <v>794</v>
      </c>
      <c r="AK32" s="308" t="s">
        <v>791</v>
      </c>
    </row>
    <row r="33" spans="1:38">
      <c r="A33" s="187">
        <f t="shared" si="0"/>
        <v>24</v>
      </c>
      <c r="B33" s="187" t="s">
        <v>1026</v>
      </c>
      <c r="C33" s="187" t="s">
        <v>795</v>
      </c>
      <c r="D33" s="186" t="b">
        <v>1</v>
      </c>
      <c r="E33" s="187">
        <v>0</v>
      </c>
      <c r="F33" s="187">
        <v>1</v>
      </c>
      <c r="G33" s="187">
        <v>0</v>
      </c>
      <c r="H33" s="187">
        <v>0</v>
      </c>
      <c r="I33" s="188"/>
      <c r="J33" s="189" t="s">
        <v>1017</v>
      </c>
      <c r="K33" s="306"/>
      <c r="L33" s="306"/>
      <c r="M33" s="539"/>
      <c r="N33" s="539"/>
      <c r="O33" s="539"/>
      <c r="P33" s="135"/>
      <c r="Q33" s="138"/>
      <c r="R33" s="138"/>
      <c r="S33" s="138"/>
      <c r="T33" s="138"/>
      <c r="U33" s="138"/>
      <c r="V33" s="138"/>
      <c r="W33" s="138"/>
      <c r="X33" s="138"/>
      <c r="Y33" s="138"/>
      <c r="Z33" s="138"/>
      <c r="AA33" s="138"/>
      <c r="AB33" s="135"/>
      <c r="AC33" s="138"/>
      <c r="AD33" s="138"/>
      <c r="AE33" s="138"/>
      <c r="AF33" s="138"/>
      <c r="AG33" s="138"/>
      <c r="AH33" s="140"/>
      <c r="AJ33" s="308" t="s">
        <v>764</v>
      </c>
      <c r="AK33" s="308" t="s">
        <v>795</v>
      </c>
    </row>
    <row r="34" spans="1:38">
      <c r="A34" s="187">
        <f t="shared" si="0"/>
        <v>25</v>
      </c>
      <c r="B34" s="187" t="s">
        <v>1068</v>
      </c>
      <c r="C34" s="187" t="s">
        <v>1078</v>
      </c>
      <c r="D34" s="186" t="b">
        <v>1</v>
      </c>
      <c r="E34" s="187">
        <v>0</v>
      </c>
      <c r="F34" s="187">
        <v>100</v>
      </c>
      <c r="G34" s="187">
        <v>0</v>
      </c>
      <c r="H34" s="187">
        <v>0</v>
      </c>
      <c r="I34" s="188"/>
      <c r="J34" s="189" t="s">
        <v>131</v>
      </c>
      <c r="K34" s="306"/>
      <c r="L34" s="306"/>
      <c r="M34" s="539"/>
      <c r="N34" s="539"/>
      <c r="O34" s="539"/>
      <c r="P34" s="135"/>
      <c r="Q34" s="138"/>
      <c r="R34" s="138"/>
      <c r="S34" s="138"/>
      <c r="T34" s="138"/>
      <c r="U34" s="138"/>
      <c r="V34" s="138"/>
      <c r="W34" s="138"/>
      <c r="X34" s="138"/>
      <c r="Y34" s="138"/>
      <c r="Z34" s="138"/>
      <c r="AA34" s="138"/>
      <c r="AB34" s="135"/>
      <c r="AC34" s="138"/>
      <c r="AD34" s="138"/>
      <c r="AE34" s="138"/>
      <c r="AF34" s="138"/>
      <c r="AG34" s="138"/>
      <c r="AH34" s="140"/>
      <c r="AJ34" s="308" t="s">
        <v>796</v>
      </c>
      <c r="AK34" s="308" t="s">
        <v>791</v>
      </c>
    </row>
    <row r="35" spans="1:38">
      <c r="A35" s="187">
        <f t="shared" si="0"/>
        <v>26</v>
      </c>
      <c r="B35" s="187" t="s">
        <v>1027</v>
      </c>
      <c r="C35" s="187" t="s">
        <v>797</v>
      </c>
      <c r="D35" s="186" t="b">
        <v>1</v>
      </c>
      <c r="E35" s="187">
        <v>0</v>
      </c>
      <c r="F35" s="187">
        <v>2</v>
      </c>
      <c r="G35" s="187">
        <v>0</v>
      </c>
      <c r="H35" s="187">
        <v>0</v>
      </c>
      <c r="I35" s="188"/>
      <c r="J35" s="189" t="s">
        <v>1017</v>
      </c>
      <c r="K35" s="306"/>
      <c r="L35" s="306"/>
      <c r="M35" s="539"/>
      <c r="N35" s="539"/>
      <c r="O35" s="539"/>
      <c r="P35" s="135"/>
      <c r="Q35" s="138"/>
      <c r="R35" s="138"/>
      <c r="S35" s="138"/>
      <c r="T35" s="138"/>
      <c r="U35" s="138"/>
      <c r="V35" s="138"/>
      <c r="W35" s="138"/>
      <c r="X35" s="138"/>
      <c r="Y35" s="138"/>
      <c r="Z35" s="138"/>
      <c r="AA35" s="138"/>
      <c r="AB35" s="135"/>
      <c r="AC35" s="138"/>
      <c r="AD35" s="138"/>
      <c r="AE35" s="138"/>
      <c r="AF35" s="138"/>
      <c r="AG35" s="138"/>
      <c r="AH35" s="140"/>
      <c r="AJ35" s="308" t="s">
        <v>764</v>
      </c>
      <c r="AK35" s="308" t="s">
        <v>797</v>
      </c>
    </row>
    <row r="36" spans="1:38">
      <c r="A36" s="187">
        <f t="shared" si="0"/>
        <v>27</v>
      </c>
      <c r="B36" s="187" t="s">
        <v>1069</v>
      </c>
      <c r="C36" s="187" t="s">
        <v>1077</v>
      </c>
      <c r="D36" s="186" t="b">
        <v>1</v>
      </c>
      <c r="E36" s="187">
        <v>0</v>
      </c>
      <c r="F36" s="187">
        <v>100</v>
      </c>
      <c r="G36" s="187">
        <v>0</v>
      </c>
      <c r="H36" s="187">
        <v>0</v>
      </c>
      <c r="I36" s="188"/>
      <c r="J36" s="189" t="s">
        <v>131</v>
      </c>
      <c r="K36" s="306"/>
      <c r="L36" s="306"/>
      <c r="M36" s="539"/>
      <c r="N36" s="539"/>
      <c r="O36" s="539"/>
      <c r="P36" s="135"/>
      <c r="Q36" s="138"/>
      <c r="R36" s="138"/>
      <c r="S36" s="138"/>
      <c r="T36" s="138"/>
      <c r="U36" s="138"/>
      <c r="V36" s="138"/>
      <c r="W36" s="138"/>
      <c r="X36" s="138"/>
      <c r="Y36" s="138"/>
      <c r="Z36" s="138"/>
      <c r="AA36" s="138"/>
      <c r="AB36" s="135"/>
      <c r="AC36" s="138"/>
      <c r="AD36" s="138"/>
      <c r="AE36" s="138"/>
      <c r="AF36" s="138"/>
      <c r="AG36" s="138"/>
      <c r="AH36" s="140"/>
      <c r="AJ36" s="308" t="s">
        <v>798</v>
      </c>
      <c r="AK36" s="308" t="s">
        <v>791</v>
      </c>
    </row>
    <row r="37" spans="1:38">
      <c r="A37" s="187">
        <f t="shared" si="0"/>
        <v>28</v>
      </c>
      <c r="B37" s="187" t="s">
        <v>1028</v>
      </c>
      <c r="C37" s="187" t="s">
        <v>799</v>
      </c>
      <c r="D37" s="186" t="b">
        <v>1</v>
      </c>
      <c r="E37" s="187">
        <v>0</v>
      </c>
      <c r="F37" s="187">
        <v>2</v>
      </c>
      <c r="G37" s="187">
        <v>0</v>
      </c>
      <c r="H37" s="187">
        <v>0</v>
      </c>
      <c r="I37" s="188"/>
      <c r="J37" s="189" t="s">
        <v>1017</v>
      </c>
      <c r="K37" s="306"/>
      <c r="L37" s="306"/>
      <c r="M37" s="539"/>
      <c r="N37" s="539"/>
      <c r="O37" s="539"/>
      <c r="P37" s="135"/>
      <c r="Q37" s="138"/>
      <c r="R37" s="138"/>
      <c r="S37" s="138"/>
      <c r="T37" s="138"/>
      <c r="U37" s="138"/>
      <c r="V37" s="138"/>
      <c r="W37" s="138"/>
      <c r="X37" s="138"/>
      <c r="Y37" s="138"/>
      <c r="Z37" s="138"/>
      <c r="AA37" s="138"/>
      <c r="AB37" s="135"/>
      <c r="AC37" s="138"/>
      <c r="AD37" s="138"/>
      <c r="AE37" s="138"/>
      <c r="AF37" s="138"/>
      <c r="AG37" s="138"/>
      <c r="AH37" s="140"/>
      <c r="AJ37" s="308" t="s">
        <v>764</v>
      </c>
      <c r="AK37" s="308" t="s">
        <v>799</v>
      </c>
    </row>
    <row r="38" spans="1:38">
      <c r="A38" s="187">
        <f t="shared" si="0"/>
        <v>29</v>
      </c>
      <c r="B38" s="187" t="s">
        <v>1070</v>
      </c>
      <c r="C38" s="187" t="s">
        <v>1076</v>
      </c>
      <c r="D38" s="186" t="b">
        <v>1</v>
      </c>
      <c r="E38" s="187">
        <v>0</v>
      </c>
      <c r="F38" s="187">
        <v>100</v>
      </c>
      <c r="G38" s="187">
        <v>0</v>
      </c>
      <c r="H38" s="187">
        <v>0</v>
      </c>
      <c r="I38" s="188"/>
      <c r="J38" s="189" t="s">
        <v>131</v>
      </c>
      <c r="K38" s="306"/>
      <c r="L38" s="306"/>
      <c r="M38" s="539"/>
      <c r="N38" s="539"/>
      <c r="O38" s="539"/>
      <c r="P38" s="135"/>
      <c r="Q38" s="138"/>
      <c r="R38" s="138"/>
      <c r="S38" s="138"/>
      <c r="T38" s="138"/>
      <c r="U38" s="138"/>
      <c r="V38" s="138"/>
      <c r="W38" s="138"/>
      <c r="X38" s="138"/>
      <c r="Y38" s="138"/>
      <c r="Z38" s="138"/>
      <c r="AA38" s="138"/>
      <c r="AB38" s="135"/>
      <c r="AC38" s="138"/>
      <c r="AD38" s="138"/>
      <c r="AE38" s="138"/>
      <c r="AF38" s="138"/>
      <c r="AG38" s="138"/>
      <c r="AH38" s="140"/>
      <c r="AJ38" s="308" t="s">
        <v>800</v>
      </c>
      <c r="AK38" s="308" t="s">
        <v>791</v>
      </c>
    </row>
    <row r="39" spans="1:38">
      <c r="A39" s="187">
        <f t="shared" si="0"/>
        <v>30</v>
      </c>
      <c r="B39" s="187" t="s">
        <v>1029</v>
      </c>
      <c r="C39" s="187" t="s">
        <v>801</v>
      </c>
      <c r="D39" s="186" t="b">
        <v>1</v>
      </c>
      <c r="E39" s="187">
        <v>0</v>
      </c>
      <c r="F39" s="187">
        <v>8</v>
      </c>
      <c r="G39" s="187">
        <v>0</v>
      </c>
      <c r="H39" s="187">
        <v>0</v>
      </c>
      <c r="I39" s="188"/>
      <c r="J39" s="189" t="s">
        <v>129</v>
      </c>
      <c r="K39" s="306"/>
      <c r="L39" s="306"/>
      <c r="M39" s="539"/>
      <c r="N39" s="539"/>
      <c r="O39" s="539"/>
      <c r="P39" s="135"/>
      <c r="Q39" s="138"/>
      <c r="R39" s="138"/>
      <c r="S39" s="138"/>
      <c r="T39" s="138"/>
      <c r="U39" s="138"/>
      <c r="V39" s="138"/>
      <c r="W39" s="138"/>
      <c r="X39" s="138"/>
      <c r="Y39" s="138"/>
      <c r="Z39" s="138"/>
      <c r="AA39" s="138"/>
      <c r="AB39" s="135"/>
      <c r="AC39" s="138"/>
      <c r="AD39" s="138"/>
      <c r="AE39" s="138"/>
      <c r="AF39" s="138"/>
      <c r="AG39" s="138"/>
      <c r="AH39" s="140"/>
      <c r="AJ39" s="308" t="s">
        <v>802</v>
      </c>
      <c r="AK39" s="308" t="s">
        <v>801</v>
      </c>
    </row>
    <row r="40" spans="1:38">
      <c r="A40" s="187">
        <f t="shared" si="0"/>
        <v>31</v>
      </c>
      <c r="B40" s="187" t="s">
        <v>1030</v>
      </c>
      <c r="C40" s="187" t="s">
        <v>1057</v>
      </c>
      <c r="D40" s="186" t="b">
        <v>1</v>
      </c>
      <c r="E40" s="187">
        <v>0</v>
      </c>
      <c r="F40" s="187">
        <v>1</v>
      </c>
      <c r="G40" s="187">
        <v>0</v>
      </c>
      <c r="H40" s="187">
        <v>0</v>
      </c>
      <c r="I40" s="188"/>
      <c r="J40" s="189" t="s">
        <v>1017</v>
      </c>
      <c r="K40" s="306"/>
      <c r="L40" s="306"/>
      <c r="M40" s="539"/>
      <c r="N40" s="539"/>
      <c r="O40" s="539"/>
      <c r="P40" s="135"/>
      <c r="Q40" s="138"/>
      <c r="R40" s="138"/>
      <c r="S40" s="138"/>
      <c r="T40" s="138"/>
      <c r="U40" s="138"/>
      <c r="V40" s="138"/>
      <c r="W40" s="138"/>
      <c r="X40" s="138"/>
      <c r="Y40" s="138"/>
      <c r="Z40" s="138"/>
      <c r="AA40" s="138"/>
      <c r="AB40" s="135"/>
      <c r="AC40" s="138"/>
      <c r="AD40" s="138"/>
      <c r="AE40" s="138"/>
      <c r="AF40" s="138"/>
      <c r="AG40" s="138"/>
      <c r="AH40" s="140"/>
      <c r="AJ40" s="308" t="s">
        <v>764</v>
      </c>
      <c r="AK40" s="308" t="s">
        <v>1057</v>
      </c>
    </row>
    <row r="41" spans="1:38" ht="157.5">
      <c r="A41" s="187">
        <f t="shared" si="0"/>
        <v>32</v>
      </c>
      <c r="B41" s="187" t="s">
        <v>1071</v>
      </c>
      <c r="C41" s="187" t="s">
        <v>803</v>
      </c>
      <c r="D41" s="186" t="b">
        <v>1</v>
      </c>
      <c r="E41" s="187">
        <v>0</v>
      </c>
      <c r="F41" s="187">
        <v>100</v>
      </c>
      <c r="G41" s="187">
        <v>0</v>
      </c>
      <c r="H41" s="187">
        <v>0</v>
      </c>
      <c r="I41" s="188"/>
      <c r="J41" s="189" t="s">
        <v>131</v>
      </c>
      <c r="K41" s="306"/>
      <c r="L41" s="306"/>
      <c r="M41" s="539"/>
      <c r="N41" s="539"/>
      <c r="O41" s="539"/>
      <c r="P41" s="135" t="s">
        <v>1331</v>
      </c>
      <c r="Q41" s="138"/>
      <c r="R41" s="138"/>
      <c r="S41" s="138"/>
      <c r="T41" s="138"/>
      <c r="U41" s="138"/>
      <c r="V41" s="138"/>
      <c r="W41" s="138"/>
      <c r="X41" s="138"/>
      <c r="Y41" s="138"/>
      <c r="Z41" s="138"/>
      <c r="AA41" s="138"/>
      <c r="AB41" s="135"/>
      <c r="AC41" s="138"/>
      <c r="AD41" s="138"/>
      <c r="AE41" s="138"/>
      <c r="AF41" s="138"/>
      <c r="AG41" s="138"/>
      <c r="AH41" s="140"/>
      <c r="AJ41" s="141" t="s">
        <v>804</v>
      </c>
      <c r="AK41" s="308" t="s">
        <v>791</v>
      </c>
      <c r="AL41" s="414" t="s">
        <v>1448</v>
      </c>
    </row>
    <row r="42" spans="1:38">
      <c r="A42" s="187">
        <f t="shared" si="0"/>
        <v>33</v>
      </c>
      <c r="B42" s="187" t="s">
        <v>1031</v>
      </c>
      <c r="C42" s="187" t="s">
        <v>713</v>
      </c>
      <c r="D42" s="186" t="b">
        <v>1</v>
      </c>
      <c r="E42" s="187">
        <v>0</v>
      </c>
      <c r="F42" s="187">
        <v>0</v>
      </c>
      <c r="G42" s="187">
        <v>0</v>
      </c>
      <c r="H42" s="187">
        <v>0</v>
      </c>
      <c r="I42" s="188"/>
      <c r="J42" s="189" t="s">
        <v>133</v>
      </c>
      <c r="K42" s="306"/>
      <c r="L42" s="306"/>
      <c r="M42" s="539"/>
      <c r="N42" s="539"/>
      <c r="O42" s="539"/>
      <c r="P42" s="135"/>
      <c r="Q42" s="138"/>
      <c r="R42" s="138"/>
      <c r="S42" s="138"/>
      <c r="T42" s="138"/>
      <c r="U42" s="138"/>
      <c r="V42" s="138"/>
      <c r="W42" s="138"/>
      <c r="X42" s="138"/>
      <c r="Y42" s="138"/>
      <c r="Z42" s="138"/>
      <c r="AA42" s="138"/>
      <c r="AB42" s="135"/>
      <c r="AC42" s="138"/>
      <c r="AD42" s="138"/>
      <c r="AE42" s="138"/>
      <c r="AF42" s="138"/>
      <c r="AG42" s="138"/>
      <c r="AH42" s="140"/>
      <c r="AJ42" s="308" t="s">
        <v>761</v>
      </c>
      <c r="AK42" s="308" t="s">
        <v>713</v>
      </c>
    </row>
    <row r="43" spans="1:38">
      <c r="A43" s="187">
        <f t="shared" si="0"/>
        <v>34</v>
      </c>
      <c r="B43" s="187" t="s">
        <v>1032</v>
      </c>
      <c r="C43" s="187" t="s">
        <v>712</v>
      </c>
      <c r="D43" s="186" t="b">
        <v>1</v>
      </c>
      <c r="E43" s="187">
        <v>0</v>
      </c>
      <c r="F43" s="187">
        <v>0</v>
      </c>
      <c r="G43" s="187">
        <v>0</v>
      </c>
      <c r="H43" s="187">
        <v>0</v>
      </c>
      <c r="I43" s="188"/>
      <c r="J43" s="189" t="s">
        <v>133</v>
      </c>
      <c r="K43" s="306"/>
      <c r="L43" s="306"/>
      <c r="M43" s="539"/>
      <c r="N43" s="539"/>
      <c r="O43" s="539"/>
      <c r="P43" s="135"/>
      <c r="Q43" s="138"/>
      <c r="R43" s="138"/>
      <c r="S43" s="138"/>
      <c r="T43" s="138"/>
      <c r="U43" s="138"/>
      <c r="V43" s="138"/>
      <c r="W43" s="138"/>
      <c r="X43" s="138"/>
      <c r="Y43" s="138"/>
      <c r="Z43" s="138"/>
      <c r="AA43" s="138"/>
      <c r="AB43" s="135"/>
      <c r="AC43" s="138"/>
      <c r="AD43" s="138"/>
      <c r="AE43" s="138"/>
      <c r="AF43" s="138"/>
      <c r="AG43" s="138"/>
      <c r="AH43" s="140"/>
      <c r="AJ43" s="308" t="s">
        <v>586</v>
      </c>
      <c r="AK43" s="308" t="s">
        <v>712</v>
      </c>
    </row>
    <row r="44" spans="1:38">
      <c r="A44" s="187">
        <f t="shared" si="0"/>
        <v>35</v>
      </c>
      <c r="B44" s="187" t="s">
        <v>1055</v>
      </c>
      <c r="C44" s="187" t="s">
        <v>1054</v>
      </c>
      <c r="D44" s="186" t="b">
        <v>1</v>
      </c>
      <c r="E44" s="187">
        <v>0</v>
      </c>
      <c r="F44" s="187">
        <v>1</v>
      </c>
      <c r="G44" s="187">
        <v>0</v>
      </c>
      <c r="H44" s="187">
        <v>0</v>
      </c>
      <c r="I44" s="188"/>
      <c r="J44" s="189" t="s">
        <v>1017</v>
      </c>
      <c r="K44" s="306"/>
      <c r="L44" s="306"/>
      <c r="M44" s="539"/>
      <c r="N44" s="539"/>
      <c r="O44" s="539"/>
      <c r="P44" s="135"/>
      <c r="Q44" s="138"/>
      <c r="R44" s="138"/>
      <c r="S44" s="138"/>
      <c r="T44" s="138"/>
      <c r="U44" s="138"/>
      <c r="V44" s="138"/>
      <c r="W44" s="138"/>
      <c r="X44" s="138"/>
      <c r="Y44" s="138"/>
      <c r="Z44" s="138"/>
      <c r="AA44" s="138"/>
      <c r="AB44" s="135"/>
      <c r="AC44" s="138"/>
      <c r="AD44" s="138"/>
      <c r="AE44" s="138"/>
      <c r="AF44" s="138"/>
      <c r="AG44" s="138"/>
      <c r="AH44" s="140"/>
      <c r="AJ44" s="308" t="s">
        <v>761</v>
      </c>
      <c r="AK44" s="308" t="s">
        <v>1056</v>
      </c>
    </row>
    <row r="45" spans="1:38">
      <c r="A45" s="187">
        <f t="shared" si="0"/>
        <v>36</v>
      </c>
      <c r="B45" s="187" t="s">
        <v>1033</v>
      </c>
      <c r="C45" s="187" t="s">
        <v>805</v>
      </c>
      <c r="D45" s="186" t="b">
        <v>1</v>
      </c>
      <c r="E45" s="187">
        <v>0</v>
      </c>
      <c r="F45" s="187">
        <v>42</v>
      </c>
      <c r="G45" s="187">
        <v>0</v>
      </c>
      <c r="H45" s="187">
        <v>0</v>
      </c>
      <c r="I45" s="188"/>
      <c r="J45" s="189" t="s">
        <v>131</v>
      </c>
      <c r="K45" s="306"/>
      <c r="L45" s="306"/>
      <c r="M45" s="539"/>
      <c r="N45" s="539"/>
      <c r="O45" s="539"/>
      <c r="P45" s="135"/>
      <c r="Q45" s="138"/>
      <c r="R45" s="138"/>
      <c r="S45" s="138"/>
      <c r="T45" s="138"/>
      <c r="U45" s="138"/>
      <c r="V45" s="138"/>
      <c r="W45" s="138"/>
      <c r="X45" s="138"/>
      <c r="Y45" s="138"/>
      <c r="Z45" s="138"/>
      <c r="AA45" s="138"/>
      <c r="AB45" s="135"/>
      <c r="AC45" s="138"/>
      <c r="AD45" s="138"/>
      <c r="AE45" s="138"/>
      <c r="AF45" s="138"/>
      <c r="AG45" s="138"/>
      <c r="AH45" s="140"/>
      <c r="AJ45" s="308" t="s">
        <v>761</v>
      </c>
      <c r="AK45" s="308" t="s">
        <v>805</v>
      </c>
    </row>
    <row r="46" spans="1:38">
      <c r="A46" s="187">
        <f t="shared" si="0"/>
        <v>37</v>
      </c>
      <c r="B46" s="187" t="s">
        <v>1060</v>
      </c>
      <c r="C46" s="187" t="s">
        <v>806</v>
      </c>
      <c r="D46" s="186" t="b">
        <v>1</v>
      </c>
      <c r="E46" s="187">
        <v>0</v>
      </c>
      <c r="F46" s="187">
        <v>80</v>
      </c>
      <c r="G46" s="187">
        <v>0</v>
      </c>
      <c r="H46" s="187">
        <v>0</v>
      </c>
      <c r="I46" s="188"/>
      <c r="J46" s="189" t="s">
        <v>131</v>
      </c>
      <c r="K46" s="306"/>
      <c r="L46" s="306"/>
      <c r="M46" s="539"/>
      <c r="N46" s="539"/>
      <c r="O46" s="539"/>
      <c r="P46" s="135"/>
      <c r="Q46" s="138"/>
      <c r="R46" s="138"/>
      <c r="S46" s="138"/>
      <c r="T46" s="138"/>
      <c r="U46" s="138"/>
      <c r="V46" s="138"/>
      <c r="W46" s="138"/>
      <c r="X46" s="138"/>
      <c r="Y46" s="138"/>
      <c r="Z46" s="138"/>
      <c r="AA46" s="138"/>
      <c r="AB46" s="135"/>
      <c r="AC46" s="138"/>
      <c r="AD46" s="138"/>
      <c r="AE46" s="138"/>
      <c r="AF46" s="138"/>
      <c r="AG46" s="138"/>
      <c r="AH46" s="140"/>
      <c r="AJ46" s="308" t="s">
        <v>807</v>
      </c>
      <c r="AK46" s="308" t="s">
        <v>806</v>
      </c>
    </row>
    <row r="47" spans="1:38">
      <c r="A47" s="187">
        <f t="shared" si="0"/>
        <v>38</v>
      </c>
      <c r="B47" s="187" t="s">
        <v>1299</v>
      </c>
      <c r="C47" s="187" t="s">
        <v>711</v>
      </c>
      <c r="D47" s="186" t="b">
        <v>1</v>
      </c>
      <c r="E47" s="187">
        <v>0</v>
      </c>
      <c r="F47" s="187">
        <v>3</v>
      </c>
      <c r="G47" s="187">
        <v>0</v>
      </c>
      <c r="H47" s="187">
        <v>0</v>
      </c>
      <c r="I47" s="188"/>
      <c r="J47" s="189" t="s">
        <v>1017</v>
      </c>
      <c r="K47" s="306"/>
      <c r="L47" s="306"/>
      <c r="M47" s="539"/>
      <c r="N47" s="539"/>
      <c r="O47" s="539"/>
      <c r="P47" s="135"/>
      <c r="Q47" s="138"/>
      <c r="R47" s="138"/>
      <c r="S47" s="138"/>
      <c r="T47" s="138"/>
      <c r="U47" s="138"/>
      <c r="V47" s="138"/>
      <c r="W47" s="138"/>
      <c r="X47" s="138"/>
      <c r="Y47" s="138"/>
      <c r="Z47" s="138"/>
      <c r="AA47" s="138"/>
      <c r="AB47" s="135"/>
      <c r="AC47" s="138"/>
      <c r="AD47" s="138"/>
      <c r="AE47" s="138"/>
      <c r="AF47" s="138"/>
      <c r="AG47" s="138"/>
      <c r="AH47" s="140"/>
      <c r="AJ47" s="308" t="s">
        <v>808</v>
      </c>
      <c r="AK47" s="308" t="s">
        <v>809</v>
      </c>
    </row>
    <row r="48" spans="1:38">
      <c r="A48" s="187">
        <f t="shared" si="0"/>
        <v>39</v>
      </c>
      <c r="B48" s="187" t="s">
        <v>1300</v>
      </c>
      <c r="C48" s="187" t="s">
        <v>710</v>
      </c>
      <c r="D48" s="186" t="b">
        <v>1</v>
      </c>
      <c r="E48" s="187">
        <v>0</v>
      </c>
      <c r="F48" s="187">
        <v>4</v>
      </c>
      <c r="G48" s="187">
        <v>0</v>
      </c>
      <c r="H48" s="187">
        <v>0</v>
      </c>
      <c r="I48" s="188"/>
      <c r="J48" s="189" t="s">
        <v>1017</v>
      </c>
      <c r="K48" s="306"/>
      <c r="L48" s="306"/>
      <c r="M48" s="539"/>
      <c r="N48" s="539"/>
      <c r="O48" s="539"/>
      <c r="P48" s="135"/>
      <c r="Q48" s="138"/>
      <c r="R48" s="138"/>
      <c r="S48" s="138"/>
      <c r="T48" s="138"/>
      <c r="U48" s="138"/>
      <c r="V48" s="138"/>
      <c r="W48" s="138"/>
      <c r="X48" s="138"/>
      <c r="Y48" s="138"/>
      <c r="Z48" s="138"/>
      <c r="AA48" s="138"/>
      <c r="AB48" s="135"/>
      <c r="AC48" s="138"/>
      <c r="AD48" s="138"/>
      <c r="AE48" s="138"/>
      <c r="AF48" s="138"/>
      <c r="AG48" s="138"/>
      <c r="AH48" s="140"/>
      <c r="AJ48" s="308" t="s">
        <v>808</v>
      </c>
      <c r="AK48" s="308" t="s">
        <v>810</v>
      </c>
    </row>
    <row r="49" spans="1:37">
      <c r="A49" s="187">
        <f t="shared" si="0"/>
        <v>40</v>
      </c>
      <c r="B49" s="187" t="s">
        <v>1301</v>
      </c>
      <c r="C49" s="187" t="s">
        <v>811</v>
      </c>
      <c r="D49" s="186" t="b">
        <v>1</v>
      </c>
      <c r="E49" s="187">
        <v>0</v>
      </c>
      <c r="F49" s="187">
        <v>64</v>
      </c>
      <c r="G49" s="187">
        <v>0</v>
      </c>
      <c r="H49" s="187">
        <v>0</v>
      </c>
      <c r="I49" s="188"/>
      <c r="J49" s="189" t="s">
        <v>131</v>
      </c>
      <c r="K49" s="306"/>
      <c r="L49" s="306"/>
      <c r="M49" s="539"/>
      <c r="N49" s="539"/>
      <c r="O49" s="539"/>
      <c r="P49" s="135"/>
      <c r="Q49" s="138"/>
      <c r="R49" s="138"/>
      <c r="S49" s="138"/>
      <c r="T49" s="138"/>
      <c r="U49" s="138"/>
      <c r="V49" s="138"/>
      <c r="W49" s="138"/>
      <c r="X49" s="138"/>
      <c r="Y49" s="138"/>
      <c r="Z49" s="138"/>
      <c r="AA49" s="138"/>
      <c r="AB49" s="135"/>
      <c r="AC49" s="138"/>
      <c r="AD49" s="138"/>
      <c r="AE49" s="138"/>
      <c r="AF49" s="138"/>
      <c r="AG49" s="138"/>
      <c r="AH49" s="140"/>
      <c r="AJ49" s="308" t="s">
        <v>808</v>
      </c>
      <c r="AK49" s="308" t="s">
        <v>812</v>
      </c>
    </row>
    <row r="50" spans="1:37">
      <c r="A50" s="187">
        <f t="shared" si="0"/>
        <v>41</v>
      </c>
      <c r="B50" s="187" t="s">
        <v>1302</v>
      </c>
      <c r="C50" s="187" t="s">
        <v>813</v>
      </c>
      <c r="D50" s="186" t="b">
        <v>1</v>
      </c>
      <c r="E50" s="187">
        <v>0</v>
      </c>
      <c r="F50" s="187">
        <v>64</v>
      </c>
      <c r="G50" s="187">
        <v>0</v>
      </c>
      <c r="H50" s="187">
        <v>0</v>
      </c>
      <c r="I50" s="188"/>
      <c r="J50" s="189" t="s">
        <v>131</v>
      </c>
      <c r="K50" s="306"/>
      <c r="L50" s="306"/>
      <c r="M50" s="539"/>
      <c r="N50" s="539"/>
      <c r="O50" s="539"/>
      <c r="P50" s="135"/>
      <c r="Q50" s="138"/>
      <c r="R50" s="138"/>
      <c r="S50" s="138"/>
      <c r="T50" s="138"/>
      <c r="U50" s="138"/>
      <c r="V50" s="138"/>
      <c r="W50" s="138"/>
      <c r="X50" s="138"/>
      <c r="Y50" s="138"/>
      <c r="Z50" s="138"/>
      <c r="AA50" s="138"/>
      <c r="AB50" s="135"/>
      <c r="AC50" s="138"/>
      <c r="AD50" s="138"/>
      <c r="AE50" s="138"/>
      <c r="AF50" s="138"/>
      <c r="AG50" s="138"/>
      <c r="AH50" s="140"/>
      <c r="AJ50" s="308" t="s">
        <v>808</v>
      </c>
      <c r="AK50" s="308" t="s">
        <v>814</v>
      </c>
    </row>
    <row r="51" spans="1:37">
      <c r="A51" s="187">
        <f t="shared" si="0"/>
        <v>42</v>
      </c>
      <c r="B51" s="187" t="s">
        <v>1303</v>
      </c>
      <c r="C51" s="187" t="s">
        <v>815</v>
      </c>
      <c r="D51" s="186" t="b">
        <v>1</v>
      </c>
      <c r="E51" s="187">
        <v>0</v>
      </c>
      <c r="F51" s="187">
        <v>64</v>
      </c>
      <c r="G51" s="187">
        <v>0</v>
      </c>
      <c r="H51" s="187">
        <v>0</v>
      </c>
      <c r="I51" s="188"/>
      <c r="J51" s="189" t="s">
        <v>131</v>
      </c>
      <c r="K51" s="306"/>
      <c r="L51" s="306"/>
      <c r="M51" s="539"/>
      <c r="N51" s="539"/>
      <c r="O51" s="539"/>
      <c r="P51" s="135"/>
      <c r="Q51" s="138"/>
      <c r="R51" s="138"/>
      <c r="S51" s="138"/>
      <c r="T51" s="138"/>
      <c r="U51" s="138"/>
      <c r="V51" s="138"/>
      <c r="W51" s="138"/>
      <c r="X51" s="138"/>
      <c r="Y51" s="138"/>
      <c r="Z51" s="138"/>
      <c r="AA51" s="138"/>
      <c r="AB51" s="135"/>
      <c r="AC51" s="138"/>
      <c r="AD51" s="138"/>
      <c r="AE51" s="138"/>
      <c r="AF51" s="138"/>
      <c r="AG51" s="138"/>
      <c r="AH51" s="140"/>
      <c r="AJ51" s="308" t="s">
        <v>808</v>
      </c>
      <c r="AK51" s="308" t="s">
        <v>816</v>
      </c>
    </row>
    <row r="52" spans="1:37">
      <c r="A52" s="187">
        <f t="shared" si="0"/>
        <v>43</v>
      </c>
      <c r="B52" s="187" t="s">
        <v>1304</v>
      </c>
      <c r="C52" s="187" t="s">
        <v>709</v>
      </c>
      <c r="D52" s="186" t="b">
        <v>1</v>
      </c>
      <c r="E52" s="187">
        <v>0</v>
      </c>
      <c r="F52" s="187">
        <v>6</v>
      </c>
      <c r="G52" s="187">
        <v>0</v>
      </c>
      <c r="H52" s="187">
        <v>0</v>
      </c>
      <c r="I52" s="188"/>
      <c r="J52" s="189" t="s">
        <v>131</v>
      </c>
      <c r="K52" s="306"/>
      <c r="L52" s="306"/>
      <c r="M52" s="539"/>
      <c r="N52" s="539"/>
      <c r="O52" s="539"/>
      <c r="P52" s="135"/>
      <c r="Q52" s="138"/>
      <c r="R52" s="138"/>
      <c r="S52" s="138"/>
      <c r="T52" s="138"/>
      <c r="U52" s="138"/>
      <c r="V52" s="138"/>
      <c r="W52" s="138"/>
      <c r="X52" s="138"/>
      <c r="Y52" s="138"/>
      <c r="Z52" s="138"/>
      <c r="AA52" s="138"/>
      <c r="AB52" s="135"/>
      <c r="AC52" s="138"/>
      <c r="AD52" s="138"/>
      <c r="AE52" s="138"/>
      <c r="AF52" s="138"/>
      <c r="AG52" s="138"/>
      <c r="AH52" s="140"/>
      <c r="AJ52" s="308" t="s">
        <v>808</v>
      </c>
      <c r="AK52" s="308" t="s">
        <v>817</v>
      </c>
    </row>
    <row r="53" spans="1:37">
      <c r="A53" s="187">
        <f t="shared" si="0"/>
        <v>44</v>
      </c>
      <c r="B53" s="187" t="s">
        <v>1305</v>
      </c>
      <c r="C53" s="187" t="s">
        <v>708</v>
      </c>
      <c r="D53" s="186" t="b">
        <v>1</v>
      </c>
      <c r="E53" s="187">
        <v>0</v>
      </c>
      <c r="F53" s="187">
        <v>6</v>
      </c>
      <c r="G53" s="187">
        <v>0</v>
      </c>
      <c r="H53" s="187">
        <v>0</v>
      </c>
      <c r="I53" s="188"/>
      <c r="J53" s="189" t="s">
        <v>131</v>
      </c>
      <c r="K53" s="306"/>
      <c r="L53" s="306"/>
      <c r="M53" s="539"/>
      <c r="N53" s="539"/>
      <c r="O53" s="539"/>
      <c r="P53" s="135"/>
      <c r="Q53" s="138"/>
      <c r="R53" s="138"/>
      <c r="S53" s="138"/>
      <c r="T53" s="138"/>
      <c r="U53" s="138"/>
      <c r="V53" s="138"/>
      <c r="W53" s="138"/>
      <c r="X53" s="138"/>
      <c r="Y53" s="138"/>
      <c r="Z53" s="138"/>
      <c r="AA53" s="138"/>
      <c r="AB53" s="135"/>
      <c r="AC53" s="138"/>
      <c r="AD53" s="138"/>
      <c r="AE53" s="138"/>
      <c r="AF53" s="138"/>
      <c r="AG53" s="138"/>
      <c r="AH53" s="140"/>
      <c r="AJ53" s="308" t="s">
        <v>808</v>
      </c>
      <c r="AK53" s="308" t="s">
        <v>818</v>
      </c>
    </row>
    <row r="54" spans="1:37">
      <c r="A54" s="187">
        <f t="shared" si="0"/>
        <v>45</v>
      </c>
      <c r="B54" s="187" t="s">
        <v>1306</v>
      </c>
      <c r="C54" s="187" t="s">
        <v>707</v>
      </c>
      <c r="D54" s="186" t="b">
        <v>1</v>
      </c>
      <c r="E54" s="187">
        <v>0</v>
      </c>
      <c r="F54" s="187">
        <v>6</v>
      </c>
      <c r="G54" s="187">
        <v>0</v>
      </c>
      <c r="H54" s="187">
        <v>0</v>
      </c>
      <c r="I54" s="188"/>
      <c r="J54" s="189" t="s">
        <v>131</v>
      </c>
      <c r="K54" s="306"/>
      <c r="L54" s="306"/>
      <c r="M54" s="539"/>
      <c r="N54" s="539"/>
      <c r="O54" s="539"/>
      <c r="P54" s="135"/>
      <c r="Q54" s="138"/>
      <c r="R54" s="138"/>
      <c r="S54" s="138"/>
      <c r="T54" s="138"/>
      <c r="U54" s="138"/>
      <c r="V54" s="138"/>
      <c r="W54" s="138"/>
      <c r="X54" s="138"/>
      <c r="Y54" s="138"/>
      <c r="Z54" s="138"/>
      <c r="AA54" s="138"/>
      <c r="AB54" s="135"/>
      <c r="AC54" s="138"/>
      <c r="AD54" s="138"/>
      <c r="AE54" s="138"/>
      <c r="AF54" s="138"/>
      <c r="AG54" s="138"/>
      <c r="AH54" s="140"/>
      <c r="AJ54" s="308" t="s">
        <v>808</v>
      </c>
      <c r="AK54" s="308" t="s">
        <v>819</v>
      </c>
    </row>
    <row r="55" spans="1:37">
      <c r="A55" s="187">
        <f t="shared" si="0"/>
        <v>46</v>
      </c>
      <c r="B55" s="187" t="s">
        <v>1307</v>
      </c>
      <c r="C55" s="187" t="s">
        <v>706</v>
      </c>
      <c r="D55" s="186" t="b">
        <v>1</v>
      </c>
      <c r="E55" s="187">
        <v>0</v>
      </c>
      <c r="F55" s="187">
        <v>6</v>
      </c>
      <c r="G55" s="187">
        <v>0</v>
      </c>
      <c r="H55" s="187">
        <v>0</v>
      </c>
      <c r="I55" s="188"/>
      <c r="J55" s="189" t="s">
        <v>131</v>
      </c>
      <c r="K55" s="306"/>
      <c r="L55" s="306"/>
      <c r="M55" s="539"/>
      <c r="N55" s="539"/>
      <c r="O55" s="539"/>
      <c r="P55" s="135"/>
      <c r="Q55" s="138"/>
      <c r="R55" s="138"/>
      <c r="S55" s="138"/>
      <c r="T55" s="138"/>
      <c r="U55" s="138"/>
      <c r="V55" s="138"/>
      <c r="W55" s="138"/>
      <c r="X55" s="138"/>
      <c r="Y55" s="138"/>
      <c r="Z55" s="138"/>
      <c r="AA55" s="138"/>
      <c r="AB55" s="135"/>
      <c r="AC55" s="138"/>
      <c r="AD55" s="138"/>
      <c r="AE55" s="138"/>
      <c r="AF55" s="138"/>
      <c r="AG55" s="138"/>
      <c r="AH55" s="140"/>
      <c r="AJ55" s="308" t="s">
        <v>808</v>
      </c>
      <c r="AK55" s="308" t="s">
        <v>820</v>
      </c>
    </row>
    <row r="56" spans="1:37">
      <c r="A56" s="187">
        <f t="shared" si="0"/>
        <v>47</v>
      </c>
      <c r="B56" s="187" t="s">
        <v>1308</v>
      </c>
      <c r="C56" s="187" t="s">
        <v>705</v>
      </c>
      <c r="D56" s="186" t="b">
        <v>1</v>
      </c>
      <c r="E56" s="187">
        <v>0</v>
      </c>
      <c r="F56" s="187">
        <v>6</v>
      </c>
      <c r="G56" s="187">
        <v>0</v>
      </c>
      <c r="H56" s="187">
        <v>0</v>
      </c>
      <c r="I56" s="188"/>
      <c r="J56" s="189" t="s">
        <v>131</v>
      </c>
      <c r="K56" s="306"/>
      <c r="L56" s="306"/>
      <c r="M56" s="539"/>
      <c r="N56" s="539"/>
      <c r="O56" s="539"/>
      <c r="P56" s="135"/>
      <c r="Q56" s="138"/>
      <c r="R56" s="138"/>
      <c r="S56" s="138"/>
      <c r="T56" s="138"/>
      <c r="U56" s="138"/>
      <c r="V56" s="138"/>
      <c r="W56" s="138"/>
      <c r="X56" s="138"/>
      <c r="Y56" s="138"/>
      <c r="Z56" s="138"/>
      <c r="AA56" s="138"/>
      <c r="AB56" s="135"/>
      <c r="AC56" s="138"/>
      <c r="AD56" s="138"/>
      <c r="AE56" s="138"/>
      <c r="AF56" s="138"/>
      <c r="AG56" s="138"/>
      <c r="AH56" s="140"/>
      <c r="AJ56" s="308" t="s">
        <v>808</v>
      </c>
      <c r="AK56" s="308" t="s">
        <v>821</v>
      </c>
    </row>
    <row r="57" spans="1:37">
      <c r="A57" s="187">
        <f t="shared" si="0"/>
        <v>48</v>
      </c>
      <c r="B57" s="187" t="s">
        <v>1309</v>
      </c>
      <c r="C57" s="187" t="s">
        <v>704</v>
      </c>
      <c r="D57" s="186" t="b">
        <v>1</v>
      </c>
      <c r="E57" s="187">
        <v>0</v>
      </c>
      <c r="F57" s="187">
        <v>6</v>
      </c>
      <c r="G57" s="187">
        <v>0</v>
      </c>
      <c r="H57" s="187">
        <v>0</v>
      </c>
      <c r="I57" s="188"/>
      <c r="J57" s="189" t="s">
        <v>131</v>
      </c>
      <c r="K57" s="306"/>
      <c r="L57" s="306"/>
      <c r="M57" s="539"/>
      <c r="N57" s="539"/>
      <c r="O57" s="539"/>
      <c r="P57" s="135"/>
      <c r="Q57" s="138"/>
      <c r="R57" s="138"/>
      <c r="S57" s="138"/>
      <c r="T57" s="138"/>
      <c r="U57" s="138"/>
      <c r="V57" s="138"/>
      <c r="W57" s="138"/>
      <c r="X57" s="138"/>
      <c r="Y57" s="138"/>
      <c r="Z57" s="138"/>
      <c r="AA57" s="138"/>
      <c r="AB57" s="135"/>
      <c r="AC57" s="138"/>
      <c r="AD57" s="138"/>
      <c r="AE57" s="138"/>
      <c r="AF57" s="138"/>
      <c r="AG57" s="138"/>
      <c r="AH57" s="140"/>
      <c r="AJ57" s="308" t="s">
        <v>808</v>
      </c>
      <c r="AK57" s="308" t="s">
        <v>822</v>
      </c>
    </row>
    <row r="58" spans="1:37">
      <c r="A58" s="187">
        <f t="shared" si="0"/>
        <v>49</v>
      </c>
      <c r="B58" s="187" t="s">
        <v>1034</v>
      </c>
      <c r="C58" s="187" t="s">
        <v>703</v>
      </c>
      <c r="D58" s="186" t="b">
        <v>1</v>
      </c>
      <c r="E58" s="187">
        <v>0</v>
      </c>
      <c r="F58" s="187">
        <v>42</v>
      </c>
      <c r="G58" s="187">
        <v>0</v>
      </c>
      <c r="H58" s="187">
        <v>0</v>
      </c>
      <c r="I58" s="188"/>
      <c r="J58" s="189" t="s">
        <v>131</v>
      </c>
      <c r="K58" s="306"/>
      <c r="L58" s="306"/>
      <c r="M58" s="539"/>
      <c r="N58" s="539"/>
      <c r="O58" s="539"/>
      <c r="P58" s="135"/>
      <c r="Q58" s="138"/>
      <c r="R58" s="138"/>
      <c r="S58" s="138"/>
      <c r="T58" s="138"/>
      <c r="U58" s="138"/>
      <c r="V58" s="138"/>
      <c r="W58" s="138"/>
      <c r="X58" s="138"/>
      <c r="Y58" s="138"/>
      <c r="Z58" s="138"/>
      <c r="AA58" s="138"/>
      <c r="AB58" s="135"/>
      <c r="AC58" s="138"/>
      <c r="AD58" s="138"/>
      <c r="AE58" s="138"/>
      <c r="AF58" s="138"/>
      <c r="AG58" s="138"/>
      <c r="AH58" s="140"/>
      <c r="AJ58" s="308" t="s">
        <v>761</v>
      </c>
      <c r="AK58" s="308" t="s">
        <v>703</v>
      </c>
    </row>
    <row r="59" spans="1:37">
      <c r="A59" s="187">
        <f t="shared" si="0"/>
        <v>50</v>
      </c>
      <c r="B59" s="187" t="s">
        <v>231</v>
      </c>
      <c r="C59" s="187" t="s">
        <v>702</v>
      </c>
      <c r="D59" s="186" t="b">
        <v>1</v>
      </c>
      <c r="E59" s="187">
        <v>0</v>
      </c>
      <c r="F59" s="187">
        <v>60</v>
      </c>
      <c r="G59" s="187">
        <v>0</v>
      </c>
      <c r="H59" s="187">
        <v>0</v>
      </c>
      <c r="I59" s="188"/>
      <c r="J59" s="189" t="s">
        <v>131</v>
      </c>
      <c r="K59" s="306"/>
      <c r="L59" s="306"/>
      <c r="M59" s="539"/>
      <c r="N59" s="539"/>
      <c r="O59" s="539"/>
      <c r="P59" s="135"/>
      <c r="Q59" s="138"/>
      <c r="R59" s="138"/>
      <c r="S59" s="138"/>
      <c r="T59" s="138"/>
      <c r="U59" s="138"/>
      <c r="V59" s="138"/>
      <c r="W59" s="138"/>
      <c r="X59" s="138"/>
      <c r="Y59" s="138"/>
      <c r="Z59" s="138"/>
      <c r="AA59" s="138"/>
      <c r="AB59" s="135"/>
      <c r="AC59" s="138"/>
      <c r="AD59" s="138"/>
      <c r="AE59" s="138"/>
      <c r="AF59" s="138"/>
      <c r="AG59" s="138"/>
      <c r="AH59" s="140"/>
      <c r="AJ59" s="308" t="s">
        <v>586</v>
      </c>
      <c r="AK59" s="308" t="s">
        <v>702</v>
      </c>
    </row>
    <row r="60" spans="1:37">
      <c r="A60" s="187">
        <f t="shared" si="0"/>
        <v>51</v>
      </c>
      <c r="B60" s="187" t="s">
        <v>1312</v>
      </c>
      <c r="C60" s="187" t="s">
        <v>701</v>
      </c>
      <c r="D60" s="186" t="b">
        <v>1</v>
      </c>
      <c r="E60" s="187">
        <v>0</v>
      </c>
      <c r="F60" s="187">
        <v>3</v>
      </c>
      <c r="G60" s="187">
        <v>0</v>
      </c>
      <c r="H60" s="187">
        <v>0</v>
      </c>
      <c r="I60" s="188"/>
      <c r="J60" s="189" t="s">
        <v>1017</v>
      </c>
      <c r="K60" s="306"/>
      <c r="L60" s="306"/>
      <c r="M60" s="539"/>
      <c r="N60" s="539"/>
      <c r="O60" s="539"/>
      <c r="P60" s="135"/>
      <c r="Q60" s="138"/>
      <c r="R60" s="138"/>
      <c r="S60" s="138"/>
      <c r="T60" s="138"/>
      <c r="U60" s="138"/>
      <c r="V60" s="138"/>
      <c r="W60" s="138"/>
      <c r="X60" s="138"/>
      <c r="Y60" s="138"/>
      <c r="Z60" s="138"/>
      <c r="AA60" s="138"/>
      <c r="AB60" s="135"/>
      <c r="AC60" s="138"/>
      <c r="AD60" s="138"/>
      <c r="AE60" s="138"/>
      <c r="AF60" s="138"/>
      <c r="AG60" s="138"/>
      <c r="AH60" s="140"/>
      <c r="AJ60" s="308" t="s">
        <v>823</v>
      </c>
      <c r="AK60" s="308" t="s">
        <v>809</v>
      </c>
    </row>
    <row r="61" spans="1:37">
      <c r="A61" s="187">
        <f t="shared" si="0"/>
        <v>52</v>
      </c>
      <c r="B61" s="187" t="s">
        <v>1313</v>
      </c>
      <c r="C61" s="187" t="s">
        <v>700</v>
      </c>
      <c r="D61" s="186" t="b">
        <v>1</v>
      </c>
      <c r="E61" s="187">
        <v>0</v>
      </c>
      <c r="F61" s="187">
        <v>4</v>
      </c>
      <c r="G61" s="187">
        <v>0</v>
      </c>
      <c r="H61" s="187">
        <v>0</v>
      </c>
      <c r="I61" s="188"/>
      <c r="J61" s="189" t="s">
        <v>1017</v>
      </c>
      <c r="K61" s="306"/>
      <c r="L61" s="306"/>
      <c r="M61" s="539"/>
      <c r="N61" s="539"/>
      <c r="O61" s="539"/>
      <c r="P61" s="135"/>
      <c r="Q61" s="138"/>
      <c r="R61" s="138"/>
      <c r="S61" s="138"/>
      <c r="T61" s="138"/>
      <c r="U61" s="138"/>
      <c r="V61" s="138"/>
      <c r="W61" s="138"/>
      <c r="X61" s="138"/>
      <c r="Y61" s="138"/>
      <c r="Z61" s="138"/>
      <c r="AA61" s="138"/>
      <c r="AB61" s="135"/>
      <c r="AC61" s="138"/>
      <c r="AD61" s="138"/>
      <c r="AE61" s="138"/>
      <c r="AF61" s="138"/>
      <c r="AG61" s="138"/>
      <c r="AH61" s="140"/>
      <c r="AJ61" s="308" t="s">
        <v>823</v>
      </c>
      <c r="AK61" s="308" t="s">
        <v>810</v>
      </c>
    </row>
    <row r="62" spans="1:37">
      <c r="A62" s="187">
        <f t="shared" si="0"/>
        <v>53</v>
      </c>
      <c r="B62" s="187" t="s">
        <v>1314</v>
      </c>
      <c r="C62" s="187" t="s">
        <v>824</v>
      </c>
      <c r="D62" s="186" t="b">
        <v>1</v>
      </c>
      <c r="E62" s="187">
        <v>0</v>
      </c>
      <c r="F62" s="187">
        <v>64</v>
      </c>
      <c r="G62" s="187">
        <v>0</v>
      </c>
      <c r="H62" s="187">
        <v>0</v>
      </c>
      <c r="I62" s="188"/>
      <c r="J62" s="189" t="s">
        <v>131</v>
      </c>
      <c r="K62" s="306"/>
      <c r="L62" s="306"/>
      <c r="M62" s="539"/>
      <c r="N62" s="539"/>
      <c r="O62" s="539"/>
      <c r="P62" s="135"/>
      <c r="Q62" s="138"/>
      <c r="R62" s="138"/>
      <c r="S62" s="138"/>
      <c r="T62" s="138"/>
      <c r="U62" s="138"/>
      <c r="V62" s="138"/>
      <c r="W62" s="138"/>
      <c r="X62" s="138"/>
      <c r="Y62" s="138"/>
      <c r="Z62" s="138"/>
      <c r="AA62" s="138"/>
      <c r="AB62" s="135"/>
      <c r="AC62" s="138"/>
      <c r="AD62" s="138"/>
      <c r="AE62" s="138"/>
      <c r="AF62" s="138"/>
      <c r="AG62" s="138"/>
      <c r="AH62" s="140"/>
      <c r="AJ62" s="308" t="s">
        <v>823</v>
      </c>
      <c r="AK62" s="308" t="s">
        <v>812</v>
      </c>
    </row>
    <row r="63" spans="1:37">
      <c r="A63" s="187">
        <f t="shared" si="0"/>
        <v>54</v>
      </c>
      <c r="B63" s="187" t="s">
        <v>1315</v>
      </c>
      <c r="C63" s="187" t="s">
        <v>825</v>
      </c>
      <c r="D63" s="186" t="b">
        <v>1</v>
      </c>
      <c r="E63" s="187">
        <v>0</v>
      </c>
      <c r="F63" s="187">
        <v>64</v>
      </c>
      <c r="G63" s="187">
        <v>0</v>
      </c>
      <c r="H63" s="187">
        <v>0</v>
      </c>
      <c r="I63" s="188"/>
      <c r="J63" s="189" t="s">
        <v>131</v>
      </c>
      <c r="K63" s="306"/>
      <c r="L63" s="306"/>
      <c r="M63" s="539"/>
      <c r="N63" s="539"/>
      <c r="O63" s="539"/>
      <c r="P63" s="135"/>
      <c r="Q63" s="138"/>
      <c r="R63" s="138"/>
      <c r="S63" s="138"/>
      <c r="T63" s="138"/>
      <c r="U63" s="138"/>
      <c r="V63" s="138"/>
      <c r="W63" s="138"/>
      <c r="X63" s="138"/>
      <c r="Y63" s="138"/>
      <c r="Z63" s="138"/>
      <c r="AA63" s="138"/>
      <c r="AB63" s="135"/>
      <c r="AC63" s="138"/>
      <c r="AD63" s="138"/>
      <c r="AE63" s="138"/>
      <c r="AF63" s="138"/>
      <c r="AG63" s="138"/>
      <c r="AH63" s="140"/>
      <c r="AJ63" s="308" t="s">
        <v>823</v>
      </c>
      <c r="AK63" s="308" t="s">
        <v>814</v>
      </c>
    </row>
    <row r="64" spans="1:37">
      <c r="A64" s="187">
        <f t="shared" si="0"/>
        <v>55</v>
      </c>
      <c r="B64" s="187" t="s">
        <v>1316</v>
      </c>
      <c r="C64" s="187" t="s">
        <v>826</v>
      </c>
      <c r="D64" s="186" t="b">
        <v>1</v>
      </c>
      <c r="E64" s="187">
        <v>0</v>
      </c>
      <c r="F64" s="187">
        <v>64</v>
      </c>
      <c r="G64" s="187">
        <v>0</v>
      </c>
      <c r="H64" s="187">
        <v>0</v>
      </c>
      <c r="I64" s="188"/>
      <c r="J64" s="189" t="s">
        <v>131</v>
      </c>
      <c r="K64" s="306"/>
      <c r="L64" s="306"/>
      <c r="M64" s="539"/>
      <c r="N64" s="539"/>
      <c r="O64" s="539"/>
      <c r="P64" s="135"/>
      <c r="Q64" s="138"/>
      <c r="R64" s="138"/>
      <c r="S64" s="138"/>
      <c r="T64" s="138"/>
      <c r="U64" s="138"/>
      <c r="V64" s="138"/>
      <c r="W64" s="138"/>
      <c r="X64" s="138"/>
      <c r="Y64" s="138"/>
      <c r="Z64" s="138"/>
      <c r="AA64" s="138"/>
      <c r="AB64" s="135"/>
      <c r="AC64" s="138"/>
      <c r="AD64" s="138"/>
      <c r="AE64" s="138"/>
      <c r="AF64" s="138"/>
      <c r="AG64" s="138"/>
      <c r="AH64" s="140"/>
      <c r="AJ64" s="308" t="s">
        <v>823</v>
      </c>
      <c r="AK64" s="308" t="s">
        <v>816</v>
      </c>
    </row>
    <row r="65" spans="1:38">
      <c r="A65" s="187">
        <f t="shared" si="0"/>
        <v>56</v>
      </c>
      <c r="B65" s="187" t="s">
        <v>1317</v>
      </c>
      <c r="C65" s="187" t="s">
        <v>699</v>
      </c>
      <c r="D65" s="186" t="b">
        <v>1</v>
      </c>
      <c r="E65" s="187">
        <v>0</v>
      </c>
      <c r="F65" s="187">
        <v>6</v>
      </c>
      <c r="G65" s="187">
        <v>0</v>
      </c>
      <c r="H65" s="187">
        <v>0</v>
      </c>
      <c r="I65" s="188"/>
      <c r="J65" s="189" t="s">
        <v>131</v>
      </c>
      <c r="K65" s="306"/>
      <c r="L65" s="306"/>
      <c r="M65" s="539"/>
      <c r="N65" s="539"/>
      <c r="O65" s="539"/>
      <c r="P65" s="135"/>
      <c r="Q65" s="138"/>
      <c r="R65" s="138"/>
      <c r="S65" s="138"/>
      <c r="T65" s="138"/>
      <c r="U65" s="138"/>
      <c r="V65" s="138"/>
      <c r="W65" s="138"/>
      <c r="X65" s="138"/>
      <c r="Y65" s="138"/>
      <c r="Z65" s="138"/>
      <c r="AA65" s="138"/>
      <c r="AB65" s="135"/>
      <c r="AC65" s="138"/>
      <c r="AD65" s="138"/>
      <c r="AE65" s="138"/>
      <c r="AF65" s="138"/>
      <c r="AG65" s="138"/>
      <c r="AH65" s="140"/>
      <c r="AJ65" s="308" t="s">
        <v>823</v>
      </c>
      <c r="AK65" s="308" t="s">
        <v>817</v>
      </c>
    </row>
    <row r="66" spans="1:38">
      <c r="A66" s="187">
        <f t="shared" si="0"/>
        <v>57</v>
      </c>
      <c r="B66" s="187" t="s">
        <v>1318</v>
      </c>
      <c r="C66" s="187" t="s">
        <v>698</v>
      </c>
      <c r="D66" s="186" t="b">
        <v>1</v>
      </c>
      <c r="E66" s="187">
        <v>0</v>
      </c>
      <c r="F66" s="187">
        <v>6</v>
      </c>
      <c r="G66" s="187">
        <v>0</v>
      </c>
      <c r="H66" s="187">
        <v>0</v>
      </c>
      <c r="I66" s="188"/>
      <c r="J66" s="189" t="s">
        <v>131</v>
      </c>
      <c r="K66" s="306"/>
      <c r="L66" s="306"/>
      <c r="M66" s="539"/>
      <c r="N66" s="539"/>
      <c r="O66" s="539"/>
      <c r="P66" s="135"/>
      <c r="Q66" s="138"/>
      <c r="R66" s="138"/>
      <c r="S66" s="138"/>
      <c r="T66" s="138"/>
      <c r="U66" s="138"/>
      <c r="V66" s="138"/>
      <c r="W66" s="138"/>
      <c r="X66" s="138"/>
      <c r="Y66" s="138"/>
      <c r="Z66" s="138"/>
      <c r="AA66" s="138"/>
      <c r="AB66" s="135"/>
      <c r="AC66" s="138"/>
      <c r="AD66" s="138"/>
      <c r="AE66" s="138"/>
      <c r="AF66" s="138"/>
      <c r="AG66" s="138"/>
      <c r="AH66" s="140"/>
      <c r="AJ66" s="308" t="s">
        <v>823</v>
      </c>
      <c r="AK66" s="308" t="s">
        <v>818</v>
      </c>
    </row>
    <row r="67" spans="1:38">
      <c r="A67" s="187">
        <f t="shared" si="0"/>
        <v>58</v>
      </c>
      <c r="B67" s="187" t="s">
        <v>1319</v>
      </c>
      <c r="C67" s="187" t="s">
        <v>697</v>
      </c>
      <c r="D67" s="186" t="b">
        <v>1</v>
      </c>
      <c r="E67" s="187">
        <v>0</v>
      </c>
      <c r="F67" s="187">
        <v>6</v>
      </c>
      <c r="G67" s="187">
        <v>0</v>
      </c>
      <c r="H67" s="187">
        <v>0</v>
      </c>
      <c r="I67" s="188"/>
      <c r="J67" s="189" t="s">
        <v>131</v>
      </c>
      <c r="K67" s="306"/>
      <c r="L67" s="306"/>
      <c r="M67" s="539"/>
      <c r="N67" s="539"/>
      <c r="O67" s="539"/>
      <c r="P67" s="135"/>
      <c r="Q67" s="138"/>
      <c r="R67" s="138"/>
      <c r="S67" s="138"/>
      <c r="T67" s="138"/>
      <c r="U67" s="138"/>
      <c r="V67" s="138"/>
      <c r="W67" s="138"/>
      <c r="X67" s="138"/>
      <c r="Y67" s="138"/>
      <c r="Z67" s="138"/>
      <c r="AA67" s="138"/>
      <c r="AB67" s="135"/>
      <c r="AC67" s="138"/>
      <c r="AD67" s="138"/>
      <c r="AE67" s="138"/>
      <c r="AF67" s="138"/>
      <c r="AG67" s="138"/>
      <c r="AH67" s="140"/>
      <c r="AJ67" s="308" t="s">
        <v>823</v>
      </c>
      <c r="AK67" s="308" t="s">
        <v>819</v>
      </c>
    </row>
    <row r="68" spans="1:38">
      <c r="A68" s="187">
        <f t="shared" si="0"/>
        <v>59</v>
      </c>
      <c r="B68" s="187" t="s">
        <v>1320</v>
      </c>
      <c r="C68" s="187" t="s">
        <v>696</v>
      </c>
      <c r="D68" s="186" t="b">
        <v>1</v>
      </c>
      <c r="E68" s="187">
        <v>0</v>
      </c>
      <c r="F68" s="187">
        <v>6</v>
      </c>
      <c r="G68" s="187">
        <v>0</v>
      </c>
      <c r="H68" s="187">
        <v>0</v>
      </c>
      <c r="I68" s="188"/>
      <c r="J68" s="189" t="s">
        <v>131</v>
      </c>
      <c r="K68" s="306"/>
      <c r="L68" s="306"/>
      <c r="M68" s="539"/>
      <c r="N68" s="539"/>
      <c r="O68" s="539"/>
      <c r="P68" s="135"/>
      <c r="Q68" s="138"/>
      <c r="R68" s="138"/>
      <c r="S68" s="138"/>
      <c r="T68" s="138"/>
      <c r="U68" s="138"/>
      <c r="V68" s="138"/>
      <c r="W68" s="138"/>
      <c r="X68" s="138"/>
      <c r="Y68" s="138"/>
      <c r="Z68" s="138"/>
      <c r="AA68" s="138"/>
      <c r="AB68" s="135"/>
      <c r="AC68" s="138"/>
      <c r="AD68" s="138"/>
      <c r="AE68" s="138"/>
      <c r="AF68" s="138"/>
      <c r="AG68" s="138"/>
      <c r="AH68" s="140"/>
      <c r="AJ68" s="308" t="s">
        <v>823</v>
      </c>
      <c r="AK68" s="308" t="s">
        <v>820</v>
      </c>
    </row>
    <row r="69" spans="1:38">
      <c r="A69" s="187">
        <f t="shared" si="0"/>
        <v>60</v>
      </c>
      <c r="B69" s="187" t="s">
        <v>1321</v>
      </c>
      <c r="C69" s="187" t="s">
        <v>695</v>
      </c>
      <c r="D69" s="186" t="b">
        <v>1</v>
      </c>
      <c r="E69" s="187">
        <v>0</v>
      </c>
      <c r="F69" s="187">
        <v>6</v>
      </c>
      <c r="G69" s="187">
        <v>0</v>
      </c>
      <c r="H69" s="187">
        <v>0</v>
      </c>
      <c r="I69" s="188"/>
      <c r="J69" s="189" t="s">
        <v>131</v>
      </c>
      <c r="K69" s="306"/>
      <c r="L69" s="306"/>
      <c r="M69" s="539"/>
      <c r="N69" s="539"/>
      <c r="O69" s="539"/>
      <c r="P69" s="135"/>
      <c r="Q69" s="138"/>
      <c r="R69" s="138"/>
      <c r="S69" s="138"/>
      <c r="T69" s="138"/>
      <c r="U69" s="138"/>
      <c r="V69" s="138"/>
      <c r="W69" s="138"/>
      <c r="X69" s="138"/>
      <c r="Y69" s="138"/>
      <c r="Z69" s="138"/>
      <c r="AA69" s="138"/>
      <c r="AB69" s="135"/>
      <c r="AC69" s="138"/>
      <c r="AD69" s="138"/>
      <c r="AE69" s="138"/>
      <c r="AF69" s="138"/>
      <c r="AG69" s="138"/>
      <c r="AH69" s="140"/>
      <c r="AJ69" s="308" t="s">
        <v>823</v>
      </c>
      <c r="AK69" s="308" t="s">
        <v>821</v>
      </c>
    </row>
    <row r="70" spans="1:38">
      <c r="A70" s="187">
        <f t="shared" si="0"/>
        <v>61</v>
      </c>
      <c r="B70" s="187" t="s">
        <v>1322</v>
      </c>
      <c r="C70" s="187" t="s">
        <v>694</v>
      </c>
      <c r="D70" s="186" t="b">
        <v>1</v>
      </c>
      <c r="E70" s="187">
        <v>0</v>
      </c>
      <c r="F70" s="187">
        <v>6</v>
      </c>
      <c r="G70" s="187">
        <v>0</v>
      </c>
      <c r="H70" s="187">
        <v>0</v>
      </c>
      <c r="I70" s="188"/>
      <c r="J70" s="189" t="s">
        <v>131</v>
      </c>
      <c r="K70" s="306"/>
      <c r="L70" s="306"/>
      <c r="M70" s="539"/>
      <c r="N70" s="539"/>
      <c r="O70" s="539"/>
      <c r="P70" s="135"/>
      <c r="Q70" s="138"/>
      <c r="R70" s="138"/>
      <c r="S70" s="138"/>
      <c r="T70" s="138"/>
      <c r="U70" s="138"/>
      <c r="V70" s="138"/>
      <c r="W70" s="138"/>
      <c r="X70" s="138"/>
      <c r="Y70" s="138"/>
      <c r="Z70" s="138"/>
      <c r="AA70" s="138"/>
      <c r="AB70" s="135"/>
      <c r="AC70" s="138"/>
      <c r="AD70" s="138"/>
      <c r="AE70" s="138"/>
      <c r="AF70" s="138"/>
      <c r="AG70" s="138"/>
      <c r="AH70" s="140"/>
      <c r="AJ70" s="308" t="s">
        <v>823</v>
      </c>
      <c r="AK70" s="308" t="s">
        <v>822</v>
      </c>
    </row>
    <row r="71" spans="1:38" ht="65.25">
      <c r="A71" s="187">
        <f t="shared" si="0"/>
        <v>62</v>
      </c>
      <c r="B71" s="187" t="s">
        <v>1073</v>
      </c>
      <c r="C71" s="187" t="s">
        <v>827</v>
      </c>
      <c r="D71" s="186" t="b">
        <v>1</v>
      </c>
      <c r="E71" s="187">
        <v>0</v>
      </c>
      <c r="F71" s="187">
        <v>8</v>
      </c>
      <c r="G71" s="187">
        <v>0</v>
      </c>
      <c r="H71" s="187">
        <v>0</v>
      </c>
      <c r="I71" s="188"/>
      <c r="J71" s="189" t="s">
        <v>129</v>
      </c>
      <c r="K71" s="306"/>
      <c r="L71" s="306"/>
      <c r="M71" s="539"/>
      <c r="N71" s="539"/>
      <c r="O71" s="539"/>
      <c r="P71" s="135" t="s">
        <v>1331</v>
      </c>
      <c r="Q71" s="138"/>
      <c r="R71" s="138"/>
      <c r="S71" s="138"/>
      <c r="T71" s="138"/>
      <c r="U71" s="138"/>
      <c r="V71" s="138"/>
      <c r="W71" s="138"/>
      <c r="X71" s="138"/>
      <c r="Y71" s="138"/>
      <c r="Z71" s="138"/>
      <c r="AA71" s="138"/>
      <c r="AB71" s="135"/>
      <c r="AC71" s="138"/>
      <c r="AD71" s="138"/>
      <c r="AE71" s="138"/>
      <c r="AF71" s="138"/>
      <c r="AG71" s="138"/>
      <c r="AH71" s="140"/>
      <c r="AJ71" s="308" t="s">
        <v>802</v>
      </c>
      <c r="AK71" s="143" t="s">
        <v>828</v>
      </c>
      <c r="AL71" s="141" t="s">
        <v>1450</v>
      </c>
    </row>
    <row r="72" spans="1:38">
      <c r="A72" s="187">
        <f t="shared" si="0"/>
        <v>63</v>
      </c>
      <c r="B72" s="187" t="s">
        <v>1072</v>
      </c>
      <c r="C72" s="187" t="s">
        <v>693</v>
      </c>
      <c r="D72" s="186" t="b">
        <v>1</v>
      </c>
      <c r="E72" s="187">
        <v>0</v>
      </c>
      <c r="F72" s="187">
        <v>1</v>
      </c>
      <c r="G72" s="187">
        <v>0</v>
      </c>
      <c r="H72" s="187">
        <v>0</v>
      </c>
      <c r="I72" s="188"/>
      <c r="J72" s="189" t="s">
        <v>1017</v>
      </c>
      <c r="K72" s="306"/>
      <c r="L72" s="306"/>
      <c r="M72" s="539"/>
      <c r="N72" s="539"/>
      <c r="O72" s="539"/>
      <c r="P72" s="135"/>
      <c r="Q72" s="138"/>
      <c r="R72" s="138"/>
      <c r="S72" s="138"/>
      <c r="T72" s="138"/>
      <c r="U72" s="138"/>
      <c r="V72" s="138"/>
      <c r="W72" s="138"/>
      <c r="X72" s="138"/>
      <c r="Y72" s="138"/>
      <c r="Z72" s="138"/>
      <c r="AA72" s="138"/>
      <c r="AB72" s="135"/>
      <c r="AC72" s="138"/>
      <c r="AD72" s="138"/>
      <c r="AE72" s="138"/>
      <c r="AF72" s="138"/>
      <c r="AG72" s="138"/>
      <c r="AH72" s="140"/>
      <c r="AJ72" s="308" t="s">
        <v>802</v>
      </c>
      <c r="AK72" s="308" t="s">
        <v>1052</v>
      </c>
    </row>
    <row r="73" spans="1:38">
      <c r="A73" s="187">
        <f t="shared" si="0"/>
        <v>64</v>
      </c>
      <c r="B73" s="187" t="s">
        <v>1035</v>
      </c>
      <c r="C73" s="187" t="s">
        <v>692</v>
      </c>
      <c r="D73" s="186" t="b">
        <v>1</v>
      </c>
      <c r="E73" s="187">
        <v>0</v>
      </c>
      <c r="F73" s="187">
        <v>80</v>
      </c>
      <c r="G73" s="187">
        <v>0</v>
      </c>
      <c r="H73" s="187">
        <v>0</v>
      </c>
      <c r="I73" s="188"/>
      <c r="J73" s="189" t="s">
        <v>131</v>
      </c>
      <c r="K73" s="306"/>
      <c r="L73" s="306"/>
      <c r="M73" s="539"/>
      <c r="N73" s="539"/>
      <c r="O73" s="539"/>
      <c r="P73" s="135"/>
      <c r="Q73" s="138"/>
      <c r="R73" s="138"/>
      <c r="S73" s="138"/>
      <c r="T73" s="138"/>
      <c r="U73" s="138"/>
      <c r="V73" s="138"/>
      <c r="W73" s="138"/>
      <c r="X73" s="138"/>
      <c r="Y73" s="138"/>
      <c r="Z73" s="138"/>
      <c r="AA73" s="138"/>
      <c r="AB73" s="135"/>
      <c r="AC73" s="138"/>
      <c r="AD73" s="138"/>
      <c r="AE73" s="138"/>
      <c r="AF73" s="138"/>
      <c r="AG73" s="138"/>
      <c r="AH73" s="140"/>
      <c r="AJ73" s="308" t="s">
        <v>761</v>
      </c>
      <c r="AK73" s="308" t="s">
        <v>692</v>
      </c>
    </row>
    <row r="74" spans="1:38">
      <c r="A74" s="187">
        <f t="shared" ref="A74:A94" si="1">+IF(C74&lt;&gt;"",ROW()-9,"")</f>
        <v>65</v>
      </c>
      <c r="B74" s="187" t="s">
        <v>1036</v>
      </c>
      <c r="C74" s="187" t="s">
        <v>691</v>
      </c>
      <c r="D74" s="186" t="b">
        <v>1</v>
      </c>
      <c r="E74" s="187">
        <v>0</v>
      </c>
      <c r="F74" s="187">
        <v>30</v>
      </c>
      <c r="G74" s="187">
        <v>0</v>
      </c>
      <c r="H74" s="187">
        <v>0</v>
      </c>
      <c r="I74" s="188"/>
      <c r="J74" s="189" t="s">
        <v>131</v>
      </c>
      <c r="K74" s="306"/>
      <c r="L74" s="306"/>
      <c r="M74" s="539"/>
      <c r="N74" s="539"/>
      <c r="O74" s="539"/>
      <c r="P74" s="135"/>
      <c r="Q74" s="138"/>
      <c r="R74" s="138"/>
      <c r="S74" s="138"/>
      <c r="T74" s="138"/>
      <c r="U74" s="138"/>
      <c r="V74" s="138"/>
      <c r="W74" s="138"/>
      <c r="X74" s="138"/>
      <c r="Y74" s="138"/>
      <c r="Z74" s="138"/>
      <c r="AA74" s="138"/>
      <c r="AB74" s="135"/>
      <c r="AC74" s="138"/>
      <c r="AD74" s="138"/>
      <c r="AE74" s="138"/>
      <c r="AF74" s="138"/>
      <c r="AG74" s="138"/>
      <c r="AH74" s="140"/>
      <c r="AJ74" s="308" t="s">
        <v>761</v>
      </c>
      <c r="AK74" s="308" t="s">
        <v>691</v>
      </c>
    </row>
    <row r="75" spans="1:38">
      <c r="A75" s="187">
        <f t="shared" si="1"/>
        <v>66</v>
      </c>
      <c r="B75" s="187" t="s">
        <v>1037</v>
      </c>
      <c r="C75" s="187" t="s">
        <v>690</v>
      </c>
      <c r="D75" s="186" t="b">
        <v>1</v>
      </c>
      <c r="E75" s="187">
        <v>0</v>
      </c>
      <c r="F75" s="187">
        <v>8</v>
      </c>
      <c r="G75" s="187">
        <v>0</v>
      </c>
      <c r="H75" s="187">
        <v>0</v>
      </c>
      <c r="I75" s="188"/>
      <c r="J75" s="189" t="s">
        <v>131</v>
      </c>
      <c r="K75" s="306"/>
      <c r="L75" s="306"/>
      <c r="M75" s="539"/>
      <c r="N75" s="539"/>
      <c r="O75" s="539"/>
      <c r="P75" s="135"/>
      <c r="Q75" s="138"/>
      <c r="R75" s="138"/>
      <c r="S75" s="138"/>
      <c r="T75" s="138"/>
      <c r="U75" s="138"/>
      <c r="V75" s="138"/>
      <c r="W75" s="138"/>
      <c r="X75" s="138"/>
      <c r="Y75" s="138"/>
      <c r="Z75" s="138"/>
      <c r="AA75" s="138"/>
      <c r="AB75" s="135"/>
      <c r="AC75" s="138"/>
      <c r="AD75" s="138"/>
      <c r="AE75" s="138"/>
      <c r="AF75" s="138"/>
      <c r="AG75" s="138"/>
      <c r="AH75" s="140"/>
      <c r="AJ75" s="308" t="s">
        <v>761</v>
      </c>
      <c r="AK75" s="308" t="s">
        <v>690</v>
      </c>
    </row>
    <row r="76" spans="1:38">
      <c r="A76" s="187">
        <f t="shared" si="1"/>
        <v>67</v>
      </c>
      <c r="B76" s="187" t="s">
        <v>1038</v>
      </c>
      <c r="C76" s="187" t="s">
        <v>829</v>
      </c>
      <c r="D76" s="186" t="b">
        <v>1</v>
      </c>
      <c r="E76" s="187">
        <v>0</v>
      </c>
      <c r="F76" s="187">
        <v>2</v>
      </c>
      <c r="G76" s="187">
        <v>0</v>
      </c>
      <c r="H76" s="187">
        <v>0</v>
      </c>
      <c r="I76" s="188"/>
      <c r="J76" s="189" t="s">
        <v>1017</v>
      </c>
      <c r="K76" s="306"/>
      <c r="L76" s="306"/>
      <c r="M76" s="539"/>
      <c r="N76" s="539"/>
      <c r="O76" s="539"/>
      <c r="P76" s="135"/>
      <c r="Q76" s="138"/>
      <c r="R76" s="138"/>
      <c r="S76" s="138"/>
      <c r="T76" s="138"/>
      <c r="U76" s="138"/>
      <c r="V76" s="138"/>
      <c r="W76" s="138"/>
      <c r="X76" s="138"/>
      <c r="Y76" s="138"/>
      <c r="Z76" s="138"/>
      <c r="AA76" s="138"/>
      <c r="AB76" s="135"/>
      <c r="AC76" s="138"/>
      <c r="AD76" s="138"/>
      <c r="AE76" s="138"/>
      <c r="AF76" s="138"/>
      <c r="AG76" s="138"/>
      <c r="AH76" s="140"/>
      <c r="AJ76" s="308" t="s">
        <v>764</v>
      </c>
      <c r="AK76" s="308" t="s">
        <v>829</v>
      </c>
    </row>
    <row r="77" spans="1:38">
      <c r="A77" s="187">
        <f t="shared" si="1"/>
        <v>68</v>
      </c>
      <c r="B77" s="187" t="s">
        <v>1039</v>
      </c>
      <c r="C77" s="187" t="s">
        <v>689</v>
      </c>
      <c r="D77" s="186" t="b">
        <v>1</v>
      </c>
      <c r="E77" s="187">
        <v>0</v>
      </c>
      <c r="F77" s="187">
        <v>80</v>
      </c>
      <c r="G77" s="187">
        <v>0</v>
      </c>
      <c r="H77" s="187">
        <v>0</v>
      </c>
      <c r="I77" s="188"/>
      <c r="J77" s="189" t="s">
        <v>131</v>
      </c>
      <c r="K77" s="306"/>
      <c r="L77" s="306"/>
      <c r="M77" s="539"/>
      <c r="N77" s="539"/>
      <c r="O77" s="539"/>
      <c r="P77" s="135"/>
      <c r="Q77" s="138"/>
      <c r="R77" s="138"/>
      <c r="S77" s="138"/>
      <c r="T77" s="138"/>
      <c r="U77" s="138"/>
      <c r="V77" s="138"/>
      <c r="W77" s="138"/>
      <c r="X77" s="138"/>
      <c r="Y77" s="138"/>
      <c r="Z77" s="138"/>
      <c r="AA77" s="138"/>
      <c r="AB77" s="135"/>
      <c r="AC77" s="138"/>
      <c r="AD77" s="138"/>
      <c r="AE77" s="138"/>
      <c r="AF77" s="138"/>
      <c r="AG77" s="138"/>
      <c r="AH77" s="140"/>
      <c r="AJ77" s="308" t="s">
        <v>761</v>
      </c>
      <c r="AK77" s="308" t="s">
        <v>689</v>
      </c>
    </row>
    <row r="78" spans="1:38">
      <c r="A78" s="187">
        <f t="shared" si="1"/>
        <v>69</v>
      </c>
      <c r="B78" s="187" t="s">
        <v>1040</v>
      </c>
      <c r="C78" s="187" t="s">
        <v>688</v>
      </c>
      <c r="D78" s="186" t="b">
        <v>1</v>
      </c>
      <c r="E78" s="187">
        <v>0</v>
      </c>
      <c r="F78" s="187">
        <v>6</v>
      </c>
      <c r="G78" s="187">
        <v>0</v>
      </c>
      <c r="H78" s="187">
        <v>0</v>
      </c>
      <c r="I78" s="188"/>
      <c r="J78" s="189" t="s">
        <v>131</v>
      </c>
      <c r="K78" s="306"/>
      <c r="L78" s="306"/>
      <c r="M78" s="539"/>
      <c r="N78" s="539"/>
      <c r="O78" s="539"/>
      <c r="P78" s="135"/>
      <c r="Q78" s="138"/>
      <c r="R78" s="138"/>
      <c r="S78" s="138"/>
      <c r="T78" s="138"/>
      <c r="U78" s="138"/>
      <c r="V78" s="138"/>
      <c r="W78" s="138"/>
      <c r="X78" s="138"/>
      <c r="Y78" s="138"/>
      <c r="Z78" s="138"/>
      <c r="AA78" s="138"/>
      <c r="AB78" s="135"/>
      <c r="AC78" s="138"/>
      <c r="AD78" s="138"/>
      <c r="AE78" s="138"/>
      <c r="AF78" s="138"/>
      <c r="AG78" s="138"/>
      <c r="AH78" s="140"/>
      <c r="AJ78" s="308" t="s">
        <v>761</v>
      </c>
      <c r="AK78" s="308" t="s">
        <v>688</v>
      </c>
    </row>
    <row r="79" spans="1:38">
      <c r="A79" s="187">
        <f t="shared" si="1"/>
        <v>70</v>
      </c>
      <c r="B79" s="187" t="s">
        <v>1041</v>
      </c>
      <c r="C79" s="187" t="s">
        <v>687</v>
      </c>
      <c r="D79" s="186" t="b">
        <v>1</v>
      </c>
      <c r="E79" s="187">
        <v>0</v>
      </c>
      <c r="F79" s="187">
        <v>6</v>
      </c>
      <c r="G79" s="187">
        <v>0</v>
      </c>
      <c r="H79" s="187">
        <v>0</v>
      </c>
      <c r="I79" s="188"/>
      <c r="J79" s="189" t="s">
        <v>131</v>
      </c>
      <c r="K79" s="306"/>
      <c r="L79" s="306"/>
      <c r="M79" s="539"/>
      <c r="N79" s="539"/>
      <c r="O79" s="539"/>
      <c r="P79" s="135"/>
      <c r="Q79" s="138"/>
      <c r="R79" s="138"/>
      <c r="S79" s="138"/>
      <c r="T79" s="138"/>
      <c r="U79" s="138"/>
      <c r="V79" s="138"/>
      <c r="W79" s="138"/>
      <c r="X79" s="138"/>
      <c r="Y79" s="138"/>
      <c r="Z79" s="138"/>
      <c r="AA79" s="138"/>
      <c r="AB79" s="135"/>
      <c r="AC79" s="138"/>
      <c r="AD79" s="138"/>
      <c r="AE79" s="138"/>
      <c r="AF79" s="138"/>
      <c r="AG79" s="138"/>
      <c r="AH79" s="140"/>
      <c r="AJ79" s="308" t="s">
        <v>761</v>
      </c>
      <c r="AK79" s="308" t="s">
        <v>687</v>
      </c>
    </row>
    <row r="80" spans="1:38">
      <c r="A80" s="187">
        <f t="shared" si="1"/>
        <v>71</v>
      </c>
      <c r="B80" s="187" t="s">
        <v>1042</v>
      </c>
      <c r="C80" s="187" t="s">
        <v>686</v>
      </c>
      <c r="D80" s="186" t="b">
        <v>1</v>
      </c>
      <c r="E80" s="187">
        <v>0</v>
      </c>
      <c r="F80" s="187">
        <v>6</v>
      </c>
      <c r="G80" s="187">
        <v>0</v>
      </c>
      <c r="H80" s="187">
        <v>0</v>
      </c>
      <c r="I80" s="188"/>
      <c r="J80" s="189" t="s">
        <v>131</v>
      </c>
      <c r="K80" s="306"/>
      <c r="L80" s="306"/>
      <c r="M80" s="539"/>
      <c r="N80" s="539"/>
      <c r="O80" s="539"/>
      <c r="P80" s="135"/>
      <c r="Q80" s="138"/>
      <c r="R80" s="138"/>
      <c r="S80" s="138"/>
      <c r="T80" s="138"/>
      <c r="U80" s="138"/>
      <c r="V80" s="138"/>
      <c r="W80" s="138"/>
      <c r="X80" s="138"/>
      <c r="Y80" s="138"/>
      <c r="Z80" s="138"/>
      <c r="AA80" s="138"/>
      <c r="AB80" s="135"/>
      <c r="AC80" s="138"/>
      <c r="AD80" s="138"/>
      <c r="AE80" s="138"/>
      <c r="AF80" s="138"/>
      <c r="AG80" s="138"/>
      <c r="AH80" s="140"/>
      <c r="AJ80" s="308" t="s">
        <v>761</v>
      </c>
      <c r="AK80" s="308" t="s">
        <v>686</v>
      </c>
    </row>
    <row r="81" spans="1:37">
      <c r="A81" s="187">
        <f t="shared" si="1"/>
        <v>72</v>
      </c>
      <c r="B81" s="187" t="s">
        <v>1058</v>
      </c>
      <c r="C81" s="187" t="s">
        <v>830</v>
      </c>
      <c r="D81" s="186" t="b">
        <v>1</v>
      </c>
      <c r="E81" s="187">
        <v>0</v>
      </c>
      <c r="F81" s="187">
        <v>30</v>
      </c>
      <c r="G81" s="187">
        <v>0</v>
      </c>
      <c r="H81" s="187">
        <v>0</v>
      </c>
      <c r="I81" s="188"/>
      <c r="J81" s="189" t="s">
        <v>131</v>
      </c>
      <c r="K81" s="306"/>
      <c r="L81" s="306"/>
      <c r="M81" s="539"/>
      <c r="N81" s="539"/>
      <c r="O81" s="539"/>
      <c r="P81" s="135"/>
      <c r="Q81" s="138"/>
      <c r="R81" s="138"/>
      <c r="S81" s="138"/>
      <c r="T81" s="138"/>
      <c r="U81" s="138"/>
      <c r="V81" s="138"/>
      <c r="W81" s="138"/>
      <c r="X81" s="138"/>
      <c r="Y81" s="138"/>
      <c r="Z81" s="138"/>
      <c r="AA81" s="138"/>
      <c r="AB81" s="135"/>
      <c r="AC81" s="138"/>
      <c r="AD81" s="138"/>
      <c r="AE81" s="138"/>
      <c r="AF81" s="138"/>
      <c r="AG81" s="138"/>
      <c r="AH81" s="140"/>
      <c r="AJ81" s="308" t="s">
        <v>831</v>
      </c>
      <c r="AK81" s="308" t="s">
        <v>830</v>
      </c>
    </row>
    <row r="82" spans="1:37">
      <c r="A82" s="187">
        <f t="shared" si="1"/>
        <v>73</v>
      </c>
      <c r="B82" s="187" t="s">
        <v>1059</v>
      </c>
      <c r="C82" s="187" t="s">
        <v>832</v>
      </c>
      <c r="D82" s="186" t="b">
        <v>1</v>
      </c>
      <c r="E82" s="187">
        <v>0</v>
      </c>
      <c r="F82" s="187">
        <v>42</v>
      </c>
      <c r="G82" s="187">
        <v>0</v>
      </c>
      <c r="H82" s="187">
        <v>0</v>
      </c>
      <c r="I82" s="188"/>
      <c r="J82" s="189" t="s">
        <v>131</v>
      </c>
      <c r="K82" s="306"/>
      <c r="L82" s="306"/>
      <c r="M82" s="539"/>
      <c r="N82" s="539"/>
      <c r="O82" s="539"/>
      <c r="P82" s="135"/>
      <c r="Q82" s="138"/>
      <c r="R82" s="138"/>
      <c r="S82" s="138"/>
      <c r="T82" s="138"/>
      <c r="U82" s="138"/>
      <c r="V82" s="138"/>
      <c r="W82" s="138"/>
      <c r="X82" s="138"/>
      <c r="Y82" s="138"/>
      <c r="Z82" s="138"/>
      <c r="AA82" s="138"/>
      <c r="AB82" s="135"/>
      <c r="AC82" s="138"/>
      <c r="AD82" s="138"/>
      <c r="AE82" s="138"/>
      <c r="AF82" s="138"/>
      <c r="AG82" s="138"/>
      <c r="AH82" s="140"/>
      <c r="AJ82" s="308" t="s">
        <v>833</v>
      </c>
      <c r="AK82" s="308" t="s">
        <v>832</v>
      </c>
    </row>
    <row r="83" spans="1:37">
      <c r="A83" s="187">
        <f t="shared" si="1"/>
        <v>74</v>
      </c>
      <c r="B83" s="187" t="s">
        <v>1043</v>
      </c>
      <c r="C83" s="187" t="s">
        <v>834</v>
      </c>
      <c r="D83" s="186" t="b">
        <v>1</v>
      </c>
      <c r="E83" s="187">
        <v>0</v>
      </c>
      <c r="F83" s="187">
        <v>1000</v>
      </c>
      <c r="G83" s="187">
        <v>0</v>
      </c>
      <c r="H83" s="187">
        <v>0</v>
      </c>
      <c r="I83" s="188"/>
      <c r="J83" s="189" t="s">
        <v>131</v>
      </c>
      <c r="K83" s="306"/>
      <c r="L83" s="306"/>
      <c r="M83" s="539"/>
      <c r="N83" s="539"/>
      <c r="O83" s="539"/>
      <c r="P83" s="135"/>
      <c r="Q83" s="138"/>
      <c r="R83" s="138"/>
      <c r="S83" s="138"/>
      <c r="T83" s="138"/>
      <c r="U83" s="138"/>
      <c r="V83" s="138"/>
      <c r="W83" s="138"/>
      <c r="X83" s="138"/>
      <c r="Y83" s="138"/>
      <c r="Z83" s="138"/>
      <c r="AA83" s="138"/>
      <c r="AB83" s="135"/>
      <c r="AC83" s="138"/>
      <c r="AD83" s="138"/>
      <c r="AE83" s="138"/>
      <c r="AF83" s="138"/>
      <c r="AG83" s="138"/>
      <c r="AH83" s="140"/>
      <c r="AJ83" s="308" t="s">
        <v>761</v>
      </c>
      <c r="AK83" s="308" t="s">
        <v>834</v>
      </c>
    </row>
    <row r="84" spans="1:37">
      <c r="A84" s="187">
        <f t="shared" si="1"/>
        <v>75</v>
      </c>
      <c r="B84" s="187" t="s">
        <v>1044</v>
      </c>
      <c r="C84" s="187" t="s">
        <v>835</v>
      </c>
      <c r="D84" s="186" t="b">
        <v>1</v>
      </c>
      <c r="E84" s="187">
        <v>0</v>
      </c>
      <c r="F84" s="187">
        <v>500</v>
      </c>
      <c r="G84" s="187">
        <v>0</v>
      </c>
      <c r="H84" s="187">
        <v>0</v>
      </c>
      <c r="I84" s="188"/>
      <c r="J84" s="189" t="s">
        <v>131</v>
      </c>
      <c r="K84" s="306"/>
      <c r="L84" s="306"/>
      <c r="M84" s="539"/>
      <c r="N84" s="539"/>
      <c r="O84" s="539"/>
      <c r="P84" s="135"/>
      <c r="Q84" s="138"/>
      <c r="R84" s="138"/>
      <c r="S84" s="138"/>
      <c r="T84" s="138"/>
      <c r="U84" s="138"/>
      <c r="V84" s="138"/>
      <c r="W84" s="138"/>
      <c r="X84" s="138"/>
      <c r="Y84" s="138"/>
      <c r="Z84" s="138"/>
      <c r="AA84" s="138"/>
      <c r="AB84" s="135"/>
      <c r="AC84" s="138"/>
      <c r="AD84" s="138"/>
      <c r="AE84" s="138"/>
      <c r="AF84" s="138"/>
      <c r="AG84" s="138"/>
      <c r="AH84" s="140"/>
      <c r="AJ84" s="308" t="s">
        <v>761</v>
      </c>
      <c r="AK84" s="308" t="s">
        <v>835</v>
      </c>
    </row>
    <row r="85" spans="1:37">
      <c r="A85" s="187">
        <f t="shared" si="1"/>
        <v>76</v>
      </c>
      <c r="B85" s="187" t="s">
        <v>1045</v>
      </c>
      <c r="C85" s="187" t="s">
        <v>836</v>
      </c>
      <c r="D85" s="186" t="b">
        <v>1</v>
      </c>
      <c r="E85" s="187">
        <v>0</v>
      </c>
      <c r="F85" s="187">
        <v>500</v>
      </c>
      <c r="G85" s="187">
        <v>0</v>
      </c>
      <c r="H85" s="187">
        <v>0</v>
      </c>
      <c r="I85" s="188"/>
      <c r="J85" s="189" t="s">
        <v>131</v>
      </c>
      <c r="K85" s="306"/>
      <c r="L85" s="306"/>
      <c r="M85" s="539"/>
      <c r="N85" s="539"/>
      <c r="O85" s="539"/>
      <c r="P85" s="135"/>
      <c r="Q85" s="138"/>
      <c r="R85" s="138"/>
      <c r="S85" s="138"/>
      <c r="T85" s="138"/>
      <c r="U85" s="138"/>
      <c r="V85" s="138"/>
      <c r="W85" s="138"/>
      <c r="X85" s="138"/>
      <c r="Y85" s="138"/>
      <c r="Z85" s="138"/>
      <c r="AA85" s="138"/>
      <c r="AB85" s="135"/>
      <c r="AC85" s="138"/>
      <c r="AD85" s="138"/>
      <c r="AE85" s="138"/>
      <c r="AF85" s="138"/>
      <c r="AG85" s="138"/>
      <c r="AH85" s="140"/>
      <c r="AJ85" s="308" t="s">
        <v>761</v>
      </c>
      <c r="AK85" s="308" t="s">
        <v>836</v>
      </c>
    </row>
    <row r="86" spans="1:37">
      <c r="A86" s="187">
        <f t="shared" si="1"/>
        <v>77</v>
      </c>
      <c r="B86" s="187" t="s">
        <v>1046</v>
      </c>
      <c r="C86" s="187" t="s">
        <v>837</v>
      </c>
      <c r="D86" s="186" t="b">
        <v>0</v>
      </c>
      <c r="E86" s="187">
        <v>0</v>
      </c>
      <c r="F86" s="187">
        <v>0</v>
      </c>
      <c r="G86" s="187">
        <v>0</v>
      </c>
      <c r="H86" s="187">
        <v>0</v>
      </c>
      <c r="I86" s="188"/>
      <c r="J86" s="189" t="s">
        <v>1020</v>
      </c>
      <c r="K86" s="306"/>
      <c r="L86" s="306"/>
      <c r="M86" s="539"/>
      <c r="N86" s="539"/>
      <c r="O86" s="539"/>
      <c r="P86" s="135"/>
      <c r="Q86" s="138"/>
      <c r="R86" s="138"/>
      <c r="S86" s="138"/>
      <c r="T86" s="138"/>
      <c r="U86" s="138"/>
      <c r="V86" s="138"/>
      <c r="W86" s="138"/>
      <c r="X86" s="138"/>
      <c r="Y86" s="138"/>
      <c r="Z86" s="138"/>
      <c r="AA86" s="138"/>
      <c r="AB86" s="135"/>
      <c r="AC86" s="138"/>
      <c r="AD86" s="138"/>
      <c r="AE86" s="138"/>
      <c r="AF86" s="138"/>
      <c r="AG86" s="138"/>
      <c r="AH86" s="140"/>
      <c r="AJ86" s="308" t="s">
        <v>761</v>
      </c>
      <c r="AK86" s="308" t="s">
        <v>837</v>
      </c>
    </row>
    <row r="87" spans="1:37">
      <c r="A87" s="187">
        <f t="shared" si="1"/>
        <v>78</v>
      </c>
      <c r="B87" s="187" t="s">
        <v>1074</v>
      </c>
      <c r="C87" s="187" t="s">
        <v>1075</v>
      </c>
      <c r="D87" s="186" t="b">
        <v>1</v>
      </c>
      <c r="E87" s="187">
        <v>0</v>
      </c>
      <c r="F87" s="187">
        <v>100</v>
      </c>
      <c r="G87" s="187">
        <v>0</v>
      </c>
      <c r="H87" s="187">
        <v>0</v>
      </c>
      <c r="I87" s="188"/>
      <c r="J87" s="189" t="s">
        <v>131</v>
      </c>
      <c r="K87" s="306"/>
      <c r="L87" s="306"/>
      <c r="M87" s="539"/>
      <c r="N87" s="539"/>
      <c r="O87" s="539"/>
      <c r="P87" s="135"/>
      <c r="Q87" s="138"/>
      <c r="R87" s="138"/>
      <c r="S87" s="138"/>
      <c r="T87" s="138"/>
      <c r="U87" s="138"/>
      <c r="V87" s="138"/>
      <c r="W87" s="138"/>
      <c r="X87" s="138"/>
      <c r="Y87" s="138"/>
      <c r="Z87" s="138"/>
      <c r="AA87" s="138"/>
      <c r="AB87" s="135"/>
      <c r="AC87" s="138"/>
      <c r="AD87" s="138"/>
      <c r="AE87" s="138"/>
      <c r="AF87" s="138"/>
      <c r="AG87" s="138"/>
      <c r="AH87" s="140"/>
      <c r="AJ87" s="308" t="s">
        <v>838</v>
      </c>
      <c r="AK87" s="308" t="s">
        <v>771</v>
      </c>
    </row>
    <row r="88" spans="1:37">
      <c r="A88" s="187">
        <f t="shared" si="1"/>
        <v>79</v>
      </c>
      <c r="B88" s="187" t="s">
        <v>1047</v>
      </c>
      <c r="C88" s="187" t="s">
        <v>839</v>
      </c>
      <c r="D88" s="186" t="b">
        <v>1</v>
      </c>
      <c r="E88" s="187">
        <v>0</v>
      </c>
      <c r="F88" s="187">
        <v>256</v>
      </c>
      <c r="G88" s="187">
        <v>0</v>
      </c>
      <c r="H88" s="187">
        <v>0</v>
      </c>
      <c r="I88" s="188"/>
      <c r="J88" s="189" t="s">
        <v>131</v>
      </c>
      <c r="K88" s="306"/>
      <c r="L88" s="306"/>
      <c r="M88" s="539"/>
      <c r="N88" s="539"/>
      <c r="O88" s="539"/>
      <c r="P88" s="135"/>
      <c r="Q88" s="138"/>
      <c r="R88" s="138"/>
      <c r="S88" s="138"/>
      <c r="T88" s="138"/>
      <c r="U88" s="138"/>
      <c r="V88" s="138"/>
      <c r="W88" s="138"/>
      <c r="X88" s="138"/>
      <c r="Y88" s="138"/>
      <c r="Z88" s="138"/>
      <c r="AA88" s="138"/>
      <c r="AB88" s="135"/>
      <c r="AC88" s="138"/>
      <c r="AD88" s="138"/>
      <c r="AE88" s="138"/>
      <c r="AF88" s="138"/>
      <c r="AG88" s="138"/>
      <c r="AH88" s="140"/>
      <c r="AJ88" s="308" t="s">
        <v>761</v>
      </c>
      <c r="AK88" s="308" t="s">
        <v>1048</v>
      </c>
    </row>
    <row r="89" spans="1:37">
      <c r="A89" s="187">
        <f t="shared" si="1"/>
        <v>80</v>
      </c>
      <c r="B89" s="187" t="s">
        <v>1049</v>
      </c>
      <c r="C89" s="187" t="s">
        <v>840</v>
      </c>
      <c r="D89" s="186" t="b">
        <v>1</v>
      </c>
      <c r="E89" s="187">
        <v>0</v>
      </c>
      <c r="F89" s="187">
        <v>256</v>
      </c>
      <c r="G89" s="187">
        <v>0</v>
      </c>
      <c r="H89" s="187">
        <v>0</v>
      </c>
      <c r="I89" s="188"/>
      <c r="J89" s="189" t="s">
        <v>131</v>
      </c>
      <c r="K89" s="306"/>
      <c r="L89" s="306"/>
      <c r="M89" s="539"/>
      <c r="N89" s="539"/>
      <c r="O89" s="539"/>
      <c r="P89" s="135"/>
      <c r="Q89" s="138"/>
      <c r="R89" s="138"/>
      <c r="S89" s="138"/>
      <c r="T89" s="138"/>
      <c r="U89" s="138"/>
      <c r="V89" s="138"/>
      <c r="W89" s="138"/>
      <c r="X89" s="138"/>
      <c r="Y89" s="138"/>
      <c r="Z89" s="138"/>
      <c r="AA89" s="138"/>
      <c r="AB89" s="135"/>
      <c r="AC89" s="138"/>
      <c r="AD89" s="138"/>
      <c r="AE89" s="138"/>
      <c r="AF89" s="138"/>
      <c r="AG89" s="138"/>
      <c r="AH89" s="140"/>
      <c r="AJ89" s="308" t="s">
        <v>761</v>
      </c>
      <c r="AK89" s="308" t="s">
        <v>1050</v>
      </c>
    </row>
    <row r="90" spans="1:37">
      <c r="A90" s="187">
        <f t="shared" si="1"/>
        <v>81</v>
      </c>
      <c r="B90" s="187" t="s">
        <v>1081</v>
      </c>
      <c r="C90" s="187" t="s">
        <v>841</v>
      </c>
      <c r="D90" s="186" t="b">
        <v>1</v>
      </c>
      <c r="E90" s="187">
        <v>0</v>
      </c>
      <c r="F90" s="187">
        <v>256</v>
      </c>
      <c r="G90" s="187">
        <v>0</v>
      </c>
      <c r="H90" s="187">
        <v>0</v>
      </c>
      <c r="I90" s="188"/>
      <c r="J90" s="189" t="s">
        <v>131</v>
      </c>
      <c r="K90" s="306"/>
      <c r="L90" s="306"/>
      <c r="M90" s="539"/>
      <c r="N90" s="539"/>
      <c r="O90" s="539"/>
      <c r="P90" s="135"/>
      <c r="Q90" s="138"/>
      <c r="R90" s="138"/>
      <c r="S90" s="138"/>
      <c r="T90" s="138"/>
      <c r="U90" s="138"/>
      <c r="V90" s="138"/>
      <c r="W90" s="138"/>
      <c r="X90" s="138"/>
      <c r="Y90" s="138"/>
      <c r="Z90" s="138"/>
      <c r="AA90" s="138"/>
      <c r="AB90" s="135"/>
      <c r="AC90" s="138"/>
      <c r="AD90" s="138"/>
      <c r="AE90" s="138"/>
      <c r="AF90" s="138"/>
      <c r="AG90" s="138"/>
      <c r="AH90" s="140"/>
      <c r="AJ90" s="308" t="s">
        <v>761</v>
      </c>
      <c r="AK90" s="308" t="s">
        <v>841</v>
      </c>
    </row>
    <row r="91" spans="1:37">
      <c r="A91" s="187">
        <f t="shared" si="1"/>
        <v>82</v>
      </c>
      <c r="B91" s="187" t="s">
        <v>1051</v>
      </c>
      <c r="C91" s="187" t="s">
        <v>842</v>
      </c>
      <c r="D91" s="186" t="b">
        <v>0</v>
      </c>
      <c r="E91" s="187">
        <v>0</v>
      </c>
      <c r="F91" s="187">
        <v>10</v>
      </c>
      <c r="G91" s="187">
        <v>0</v>
      </c>
      <c r="H91" s="187">
        <v>0</v>
      </c>
      <c r="I91" s="188"/>
      <c r="J91" s="189" t="s">
        <v>129</v>
      </c>
      <c r="K91" s="306"/>
      <c r="L91" s="306"/>
      <c r="M91" s="539"/>
      <c r="N91" s="539"/>
      <c r="O91" s="539"/>
      <c r="P91" s="135"/>
      <c r="Q91" s="138"/>
      <c r="R91" s="138"/>
      <c r="S91" s="138"/>
      <c r="T91" s="138"/>
      <c r="U91" s="138"/>
      <c r="V91" s="138"/>
      <c r="W91" s="138"/>
      <c r="X91" s="138"/>
      <c r="Y91" s="138"/>
      <c r="Z91" s="138"/>
      <c r="AA91" s="138"/>
      <c r="AB91" s="135"/>
      <c r="AC91" s="138"/>
      <c r="AD91" s="138"/>
      <c r="AE91" s="138"/>
      <c r="AF91" s="138"/>
      <c r="AG91" s="138"/>
      <c r="AH91" s="140"/>
      <c r="AJ91" s="142" t="s">
        <v>843</v>
      </c>
      <c r="AK91" s="308" t="s">
        <v>842</v>
      </c>
    </row>
    <row r="92" spans="1:37">
      <c r="A92" s="306" t="str">
        <f t="shared" si="1"/>
        <v/>
      </c>
      <c r="B92" s="306"/>
      <c r="C92" s="306"/>
      <c r="D92" s="136"/>
      <c r="E92" s="306"/>
      <c r="F92" s="306"/>
      <c r="G92" s="306"/>
      <c r="H92" s="306"/>
      <c r="I92" s="135"/>
      <c r="J92" s="140"/>
      <c r="K92" s="306"/>
      <c r="L92" s="306"/>
      <c r="M92" s="539"/>
      <c r="N92" s="539"/>
      <c r="O92" s="539"/>
      <c r="P92" s="135"/>
      <c r="Q92" s="138"/>
      <c r="R92" s="138"/>
      <c r="S92" s="138"/>
      <c r="T92" s="138"/>
      <c r="U92" s="138"/>
      <c r="V92" s="138"/>
      <c r="W92" s="138"/>
      <c r="X92" s="138"/>
      <c r="Y92" s="138"/>
      <c r="Z92" s="138"/>
      <c r="AA92" s="138"/>
      <c r="AB92" s="135"/>
      <c r="AC92" s="138"/>
      <c r="AD92" s="138"/>
      <c r="AE92" s="138"/>
      <c r="AF92" s="138"/>
      <c r="AG92" s="138"/>
      <c r="AH92" s="140"/>
    </row>
    <row r="93" spans="1:37">
      <c r="A93" s="306" t="str">
        <f t="shared" si="1"/>
        <v/>
      </c>
      <c r="B93" s="306"/>
      <c r="C93" s="306"/>
      <c r="D93" s="136"/>
      <c r="E93" s="306"/>
      <c r="F93" s="306"/>
      <c r="G93" s="306"/>
      <c r="H93" s="306"/>
      <c r="I93" s="135"/>
      <c r="J93" s="140"/>
      <c r="K93" s="306"/>
      <c r="L93" s="306"/>
      <c r="M93" s="539"/>
      <c r="N93" s="539"/>
      <c r="O93" s="539"/>
      <c r="P93" s="135"/>
      <c r="Q93" s="138"/>
      <c r="R93" s="138"/>
      <c r="S93" s="138"/>
      <c r="T93" s="138"/>
      <c r="U93" s="138"/>
      <c r="V93" s="138"/>
      <c r="W93" s="138"/>
      <c r="X93" s="138"/>
      <c r="Y93" s="138"/>
      <c r="Z93" s="138"/>
      <c r="AA93" s="138"/>
      <c r="AB93" s="135"/>
      <c r="AC93" s="138"/>
      <c r="AD93" s="138"/>
      <c r="AE93" s="138"/>
      <c r="AF93" s="138"/>
      <c r="AG93" s="138"/>
      <c r="AH93" s="140"/>
    </row>
    <row r="94" spans="1:37">
      <c r="A94" s="310" t="str">
        <f t="shared" si="1"/>
        <v/>
      </c>
      <c r="B94" s="145"/>
      <c r="C94" s="145"/>
      <c r="D94" s="146"/>
      <c r="E94" s="310"/>
      <c r="F94" s="310"/>
      <c r="G94" s="310"/>
      <c r="H94" s="310"/>
      <c r="I94" s="147"/>
      <c r="J94" s="148"/>
      <c r="K94" s="310"/>
      <c r="L94" s="310"/>
      <c r="M94" s="545"/>
      <c r="N94" s="545"/>
      <c r="O94" s="545"/>
      <c r="P94" s="147"/>
      <c r="Q94" s="149"/>
      <c r="R94" s="149"/>
      <c r="S94" s="149"/>
      <c r="T94" s="149"/>
      <c r="U94" s="149"/>
      <c r="V94" s="149"/>
      <c r="W94" s="149"/>
      <c r="X94" s="149"/>
      <c r="Y94" s="149"/>
      <c r="Z94" s="149"/>
      <c r="AA94" s="149"/>
      <c r="AB94" s="147"/>
      <c r="AC94" s="149"/>
      <c r="AD94" s="149"/>
      <c r="AE94" s="149"/>
      <c r="AF94" s="149"/>
      <c r="AG94" s="149"/>
      <c r="AH94" s="148"/>
    </row>
    <row r="95" spans="1:37">
      <c r="A95" s="515" t="s">
        <v>37</v>
      </c>
      <c r="B95" s="516"/>
      <c r="C95" s="516"/>
      <c r="D95" s="516"/>
      <c r="E95" s="516"/>
      <c r="F95" s="516"/>
      <c r="G95" s="516"/>
      <c r="H95" s="516"/>
      <c r="I95" s="516"/>
      <c r="J95" s="516"/>
      <c r="K95" s="516"/>
      <c r="L95" s="516"/>
      <c r="M95" s="516"/>
      <c r="N95" s="516"/>
      <c r="O95" s="516"/>
      <c r="P95" s="516"/>
      <c r="Q95" s="516"/>
      <c r="R95" s="516"/>
      <c r="S95" s="516"/>
      <c r="T95" s="516"/>
      <c r="U95" s="516"/>
      <c r="V95" s="516"/>
      <c r="W95" s="516"/>
      <c r="X95" s="516"/>
      <c r="Y95" s="516"/>
      <c r="Z95" s="516"/>
      <c r="AA95" s="516"/>
      <c r="AB95" s="516"/>
      <c r="AC95" s="516"/>
      <c r="AD95" s="516"/>
      <c r="AE95" s="516"/>
      <c r="AF95" s="516"/>
      <c r="AG95" s="516"/>
      <c r="AH95" s="517"/>
    </row>
    <row r="96" spans="1:37">
      <c r="A96" s="150"/>
      <c r="B96" s="307"/>
      <c r="C96" s="307"/>
      <c r="D96" s="152"/>
      <c r="E96" s="307"/>
      <c r="F96" s="307"/>
      <c r="G96" s="307"/>
      <c r="H96" s="307"/>
      <c r="I96" s="307"/>
      <c r="J96" s="307"/>
      <c r="K96" s="307"/>
      <c r="L96" s="307"/>
      <c r="M96" s="518"/>
      <c r="N96" s="518"/>
      <c r="O96" s="518"/>
      <c r="P96" s="307"/>
      <c r="Q96" s="307"/>
      <c r="R96" s="307"/>
      <c r="S96" s="307"/>
      <c r="T96" s="307"/>
      <c r="U96" s="307"/>
      <c r="V96" s="307"/>
      <c r="W96" s="307"/>
      <c r="X96" s="307"/>
      <c r="Y96" s="307"/>
      <c r="Z96" s="307"/>
      <c r="AA96" s="307"/>
      <c r="AB96" s="307"/>
      <c r="AC96" s="307"/>
      <c r="AD96" s="307"/>
      <c r="AE96" s="307"/>
      <c r="AF96" s="307"/>
      <c r="AG96" s="307"/>
      <c r="AH96" s="153"/>
    </row>
    <row r="97" spans="1:34">
      <c r="A97" s="154"/>
      <c r="B97" s="308" t="s">
        <v>38</v>
      </c>
      <c r="M97" s="544"/>
      <c r="N97" s="544"/>
      <c r="O97" s="544"/>
      <c r="AH97" s="156"/>
    </row>
    <row r="98" spans="1:34">
      <c r="A98" s="154"/>
      <c r="B98" s="171" t="s">
        <v>761</v>
      </c>
      <c r="AH98" s="156"/>
    </row>
    <row r="99" spans="1:34">
      <c r="A99" s="154"/>
      <c r="B99" s="171" t="s">
        <v>948</v>
      </c>
      <c r="AH99" s="156"/>
    </row>
    <row r="100" spans="1:34">
      <c r="A100" s="154"/>
      <c r="B100" s="171" t="s">
        <v>1142</v>
      </c>
      <c r="AH100" s="156"/>
    </row>
    <row r="101" spans="1:34">
      <c r="A101" s="154"/>
      <c r="B101" s="171" t="s">
        <v>586</v>
      </c>
      <c r="AH101" s="156"/>
    </row>
    <row r="102" spans="1:34">
      <c r="A102" s="154"/>
      <c r="B102" s="171" t="s">
        <v>862</v>
      </c>
      <c r="AH102" s="156"/>
    </row>
    <row r="103" spans="1:34">
      <c r="A103" s="154"/>
      <c r="B103" s="171" t="s">
        <v>736</v>
      </c>
      <c r="AH103" s="156"/>
    </row>
    <row r="104" spans="1:34">
      <c r="A104" s="154"/>
      <c r="B104" s="171" t="s">
        <v>1327</v>
      </c>
      <c r="AH104" s="156"/>
    </row>
    <row r="105" spans="1:34">
      <c r="A105" s="154"/>
      <c r="B105" s="171" t="s">
        <v>1328</v>
      </c>
      <c r="AH105" s="156"/>
    </row>
    <row r="106" spans="1:34">
      <c r="A106" s="154"/>
      <c r="B106" s="171" t="s">
        <v>1329</v>
      </c>
      <c r="AH106" s="156"/>
    </row>
    <row r="107" spans="1:34">
      <c r="A107" s="154"/>
      <c r="B107" s="171" t="s">
        <v>868</v>
      </c>
      <c r="AH107" s="156"/>
    </row>
    <row r="108" spans="1:34">
      <c r="A108" s="154"/>
      <c r="B108" s="171" t="s">
        <v>865</v>
      </c>
      <c r="AH108" s="156"/>
    </row>
    <row r="109" spans="1:34">
      <c r="A109" s="154"/>
      <c r="B109" s="171" t="s">
        <v>887</v>
      </c>
      <c r="AH109" s="156"/>
    </row>
    <row r="110" spans="1:34">
      <c r="A110" s="154"/>
      <c r="B110" s="171" t="s">
        <v>1171</v>
      </c>
      <c r="AH110" s="156"/>
    </row>
    <row r="111" spans="1:34">
      <c r="A111" s="154"/>
      <c r="B111" s="171" t="s">
        <v>1166</v>
      </c>
      <c r="AH111" s="156"/>
    </row>
    <row r="112" spans="1:34">
      <c r="A112" s="154"/>
      <c r="AH112" s="156"/>
    </row>
    <row r="113" spans="1:34">
      <c r="A113" s="154"/>
      <c r="B113" s="308" t="s">
        <v>39</v>
      </c>
      <c r="AH113" s="156"/>
    </row>
    <row r="114" spans="1:34">
      <c r="A114" s="154"/>
      <c r="B114" s="171" t="s">
        <v>1326</v>
      </c>
      <c r="AH114" s="156"/>
    </row>
    <row r="115" spans="1:34">
      <c r="A115" s="154"/>
      <c r="B115" s="171"/>
      <c r="AH115" s="156"/>
    </row>
    <row r="116" spans="1:34">
      <c r="A116" s="154"/>
      <c r="AH116" s="156"/>
    </row>
    <row r="117" spans="1:34">
      <c r="A117" s="154"/>
      <c r="B117" s="308" t="s">
        <v>41</v>
      </c>
      <c r="AH117" s="156"/>
    </row>
    <row r="118" spans="1:34">
      <c r="A118" s="154"/>
      <c r="B118" s="308" t="s">
        <v>951</v>
      </c>
      <c r="C118" s="308" t="s">
        <v>952</v>
      </c>
      <c r="AH118" s="156"/>
    </row>
    <row r="119" spans="1:34">
      <c r="A119" s="154"/>
      <c r="D119" s="308" t="s">
        <v>1351</v>
      </c>
      <c r="AH119" s="156"/>
    </row>
    <row r="120" spans="1:34">
      <c r="A120" s="154"/>
      <c r="D120" s="308" t="s">
        <v>1352</v>
      </c>
      <c r="AH120" s="156"/>
    </row>
    <row r="121" spans="1:34">
      <c r="A121" s="154"/>
      <c r="AH121" s="156"/>
    </row>
    <row r="122" spans="1:34">
      <c r="A122" s="154"/>
      <c r="B122" s="308" t="s">
        <v>953</v>
      </c>
      <c r="C122" s="308" t="s">
        <v>952</v>
      </c>
      <c r="AH122" s="156"/>
    </row>
    <row r="123" spans="1:34">
      <c r="A123" s="154"/>
      <c r="D123" s="308" t="s">
        <v>1351</v>
      </c>
      <c r="AH123" s="156"/>
    </row>
    <row r="124" spans="1:34">
      <c r="A124" s="154"/>
      <c r="D124" s="308" t="s">
        <v>1353</v>
      </c>
      <c r="AH124" s="156"/>
    </row>
    <row r="125" spans="1:34">
      <c r="A125" s="154"/>
      <c r="AH125" s="156"/>
    </row>
    <row r="126" spans="1:34">
      <c r="A126" s="154"/>
      <c r="B126" s="308" t="s">
        <v>954</v>
      </c>
      <c r="C126" s="308" t="s">
        <v>955</v>
      </c>
      <c r="AH126" s="156"/>
    </row>
    <row r="127" spans="1:34">
      <c r="A127" s="154"/>
      <c r="C127" s="308" t="s">
        <v>1350</v>
      </c>
      <c r="AH127" s="156"/>
    </row>
    <row r="128" spans="1:34">
      <c r="A128" s="154"/>
      <c r="D128" s="308" t="s">
        <v>1339</v>
      </c>
      <c r="J128" s="308" t="s">
        <v>1340</v>
      </c>
      <c r="AH128" s="156"/>
    </row>
    <row r="129" spans="1:34">
      <c r="A129" s="154"/>
      <c r="D129" s="308" t="s">
        <v>1341</v>
      </c>
      <c r="J129" s="308" t="s">
        <v>1342</v>
      </c>
      <c r="AH129" s="156"/>
    </row>
    <row r="130" spans="1:34">
      <c r="A130" s="154"/>
      <c r="D130" s="308" t="s">
        <v>1343</v>
      </c>
      <c r="J130" s="308" t="s">
        <v>1344</v>
      </c>
      <c r="AH130" s="156"/>
    </row>
    <row r="131" spans="1:34">
      <c r="A131" s="154"/>
      <c r="D131" s="308" t="s">
        <v>1345</v>
      </c>
      <c r="J131" s="308" t="s">
        <v>1346</v>
      </c>
      <c r="AH131" s="156"/>
    </row>
    <row r="132" spans="1:34">
      <c r="A132" s="154"/>
      <c r="D132" s="308" t="s">
        <v>1336</v>
      </c>
      <c r="J132" s="308" t="s">
        <v>1347</v>
      </c>
      <c r="AH132" s="156"/>
    </row>
    <row r="133" spans="1:34">
      <c r="A133" s="154"/>
      <c r="AH133" s="156"/>
    </row>
    <row r="134" spans="1:34">
      <c r="A134" s="154"/>
      <c r="B134" s="308" t="s">
        <v>1332</v>
      </c>
      <c r="C134" s="308" t="s">
        <v>1333</v>
      </c>
      <c r="AH134" s="156"/>
    </row>
    <row r="135" spans="1:34">
      <c r="A135" s="154"/>
      <c r="D135" s="308" t="s">
        <v>1349</v>
      </c>
      <c r="G135" s="308" t="s">
        <v>1334</v>
      </c>
      <c r="AH135" s="156"/>
    </row>
    <row r="136" spans="1:34">
      <c r="A136" s="154"/>
      <c r="D136" s="308" t="s">
        <v>1348</v>
      </c>
      <c r="G136" s="308" t="s">
        <v>1335</v>
      </c>
      <c r="AH136" s="156"/>
    </row>
    <row r="137" spans="1:34">
      <c r="A137" s="154"/>
      <c r="D137" s="308" t="s">
        <v>1337</v>
      </c>
      <c r="G137" s="308" t="s">
        <v>1338</v>
      </c>
      <c r="AH137" s="156"/>
    </row>
    <row r="138" spans="1:34">
      <c r="A138" s="154"/>
      <c r="AH138" s="156"/>
    </row>
    <row r="139" spans="1:34">
      <c r="A139" s="154"/>
      <c r="B139" s="308" t="s">
        <v>225</v>
      </c>
      <c r="AH139" s="156"/>
    </row>
    <row r="140" spans="1:34">
      <c r="A140" s="154"/>
      <c r="B140" s="171" t="s">
        <v>956</v>
      </c>
      <c r="C140" s="308" t="s">
        <v>190</v>
      </c>
      <c r="AH140" s="156"/>
    </row>
    <row r="141" spans="1:34">
      <c r="A141" s="154"/>
      <c r="B141" s="171"/>
      <c r="AH141" s="156"/>
    </row>
    <row r="142" spans="1:34">
      <c r="A142" s="154"/>
      <c r="AH142" s="156"/>
    </row>
    <row r="143" spans="1:34">
      <c r="A143" s="515" t="s">
        <v>42</v>
      </c>
      <c r="B143" s="516"/>
      <c r="C143" s="516"/>
      <c r="D143" s="516"/>
      <c r="E143" s="516"/>
      <c r="F143" s="516"/>
      <c r="G143" s="516"/>
      <c r="H143" s="516"/>
      <c r="I143" s="516"/>
      <c r="J143" s="516"/>
      <c r="K143" s="516"/>
      <c r="L143" s="516"/>
      <c r="M143" s="516"/>
      <c r="N143" s="516"/>
      <c r="O143" s="516"/>
      <c r="P143" s="516"/>
      <c r="Q143" s="516"/>
      <c r="R143" s="516"/>
      <c r="S143" s="516"/>
      <c r="T143" s="516"/>
      <c r="U143" s="516"/>
      <c r="V143" s="516"/>
      <c r="W143" s="516"/>
      <c r="X143" s="516"/>
      <c r="Y143" s="516"/>
      <c r="Z143" s="516"/>
      <c r="AA143" s="516"/>
      <c r="AB143" s="516"/>
      <c r="AC143" s="516"/>
      <c r="AD143" s="516"/>
      <c r="AE143" s="516"/>
      <c r="AF143" s="516"/>
      <c r="AG143" s="516"/>
      <c r="AH143" s="517"/>
    </row>
    <row r="144" spans="1:34">
      <c r="A144" s="154"/>
      <c r="M144" s="544"/>
      <c r="N144" s="544"/>
      <c r="O144" s="544"/>
      <c r="AH144" s="156"/>
    </row>
    <row r="145" spans="1:34">
      <c r="A145" s="154"/>
      <c r="B145" s="308" t="s">
        <v>957</v>
      </c>
      <c r="M145" s="544"/>
      <c r="N145" s="544"/>
      <c r="O145" s="544"/>
      <c r="AH145" s="156"/>
    </row>
    <row r="146" spans="1:34">
      <c r="A146" s="154"/>
      <c r="M146" s="544"/>
      <c r="N146" s="544"/>
      <c r="O146" s="544"/>
      <c r="AH146" s="156"/>
    </row>
    <row r="147" spans="1:34">
      <c r="A147" s="154"/>
      <c r="AH147" s="156"/>
    </row>
    <row r="148" spans="1:34">
      <c r="A148" s="154"/>
      <c r="B148" s="308" t="s">
        <v>750</v>
      </c>
      <c r="M148" s="544"/>
      <c r="N148" s="544"/>
      <c r="O148" s="544"/>
      <c r="AH148" s="156"/>
    </row>
    <row r="149" spans="1:34">
      <c r="A149" s="154"/>
      <c r="M149" s="544"/>
      <c r="N149" s="544"/>
      <c r="O149" s="544"/>
      <c r="AH149" s="156"/>
    </row>
    <row r="150" spans="1:34">
      <c r="A150" s="154"/>
      <c r="B150" s="308" t="s">
        <v>958</v>
      </c>
      <c r="M150" s="544"/>
      <c r="N150" s="544"/>
      <c r="O150" s="544"/>
      <c r="AH150" s="156"/>
    </row>
    <row r="151" spans="1:34">
      <c r="A151" s="154"/>
      <c r="M151" s="544"/>
      <c r="N151" s="544"/>
      <c r="O151" s="544"/>
      <c r="AH151" s="156"/>
    </row>
    <row r="152" spans="1:34">
      <c r="A152" s="154"/>
      <c r="B152" s="308" t="s">
        <v>579</v>
      </c>
      <c r="M152" s="544"/>
      <c r="N152" s="544"/>
      <c r="O152" s="544"/>
      <c r="AH152" s="156"/>
    </row>
    <row r="153" spans="1:34">
      <c r="A153" s="154"/>
      <c r="M153" s="544"/>
      <c r="N153" s="544"/>
      <c r="O153" s="544"/>
      <c r="AH153" s="156"/>
    </row>
    <row r="154" spans="1:34">
      <c r="A154" s="154"/>
      <c r="B154" s="317" t="s">
        <v>1369</v>
      </c>
      <c r="M154" s="544"/>
      <c r="N154" s="544"/>
      <c r="O154" s="544"/>
      <c r="AH154" s="156"/>
    </row>
    <row r="155" spans="1:34">
      <c r="A155" s="154"/>
      <c r="M155" s="544"/>
      <c r="N155" s="544"/>
      <c r="O155" s="544"/>
      <c r="AH155" s="156"/>
    </row>
    <row r="156" spans="1:34">
      <c r="A156" s="154"/>
      <c r="B156" s="308" t="s">
        <v>960</v>
      </c>
      <c r="M156" s="544"/>
      <c r="N156" s="544"/>
      <c r="O156" s="544"/>
      <c r="AH156" s="156"/>
    </row>
    <row r="157" spans="1:34">
      <c r="A157" s="154"/>
      <c r="M157" s="544"/>
      <c r="N157" s="544"/>
      <c r="O157" s="544"/>
      <c r="AH157" s="156"/>
    </row>
    <row r="158" spans="1:34">
      <c r="A158" s="154"/>
      <c r="B158" s="308" t="s">
        <v>1323</v>
      </c>
      <c r="M158" s="544"/>
      <c r="N158" s="544"/>
      <c r="O158" s="544"/>
      <c r="AH158" s="156"/>
    </row>
    <row r="159" spans="1:34">
      <c r="A159" s="154"/>
      <c r="B159" s="308" t="s">
        <v>1325</v>
      </c>
      <c r="M159" s="544"/>
      <c r="N159" s="544"/>
      <c r="O159" s="544"/>
      <c r="AH159" s="156"/>
    </row>
    <row r="160" spans="1:34">
      <c r="A160" s="154"/>
      <c r="M160" s="544"/>
      <c r="N160" s="544"/>
      <c r="O160" s="544"/>
      <c r="AH160" s="156"/>
    </row>
    <row r="161" spans="1:36">
      <c r="A161" s="154"/>
      <c r="M161" s="544"/>
      <c r="N161" s="544"/>
      <c r="O161" s="544"/>
      <c r="AH161" s="156"/>
    </row>
    <row r="162" spans="1:36">
      <c r="A162" s="154"/>
      <c r="M162" s="544"/>
      <c r="N162" s="544"/>
      <c r="O162" s="544"/>
      <c r="AH162" s="156"/>
    </row>
    <row r="163" spans="1:36">
      <c r="A163" s="154"/>
      <c r="AH163" s="156"/>
    </row>
    <row r="164" spans="1:36">
      <c r="A164" s="154"/>
      <c r="AH164" s="156"/>
    </row>
    <row r="165" spans="1:36">
      <c r="A165" s="515" t="s">
        <v>43</v>
      </c>
      <c r="B165" s="516"/>
      <c r="C165" s="516"/>
      <c r="D165" s="516"/>
      <c r="E165" s="516"/>
      <c r="F165" s="516"/>
      <c r="G165" s="516"/>
      <c r="H165" s="516"/>
      <c r="I165" s="516"/>
      <c r="J165" s="516"/>
      <c r="K165" s="516"/>
      <c r="L165" s="516"/>
      <c r="M165" s="516"/>
      <c r="N165" s="516"/>
      <c r="O165" s="516"/>
      <c r="P165" s="516"/>
      <c r="Q165" s="516"/>
      <c r="R165" s="516"/>
      <c r="S165" s="516"/>
      <c r="T165" s="516"/>
      <c r="U165" s="516"/>
      <c r="V165" s="516"/>
      <c r="W165" s="516"/>
      <c r="X165" s="516"/>
      <c r="Y165" s="516"/>
      <c r="Z165" s="516"/>
      <c r="AA165" s="516"/>
      <c r="AB165" s="516"/>
      <c r="AC165" s="516"/>
      <c r="AD165" s="516"/>
      <c r="AE165" s="516"/>
      <c r="AF165" s="516"/>
      <c r="AG165" s="516"/>
      <c r="AH165" s="517"/>
    </row>
    <row r="166" spans="1:36">
      <c r="A166" s="154"/>
      <c r="M166" s="544"/>
      <c r="N166" s="544"/>
      <c r="O166" s="544"/>
      <c r="AH166" s="156"/>
    </row>
    <row r="167" spans="1:36">
      <c r="A167" s="154"/>
      <c r="B167" s="308" t="s">
        <v>44</v>
      </c>
      <c r="AH167" s="156"/>
    </row>
    <row r="168" spans="1:36">
      <c r="A168" s="172"/>
      <c r="B168" s="311"/>
      <c r="C168" s="311"/>
      <c r="D168" s="311"/>
      <c r="E168" s="311"/>
      <c r="F168" s="311"/>
      <c r="G168" s="311"/>
      <c r="H168" s="311"/>
      <c r="I168" s="311"/>
      <c r="J168" s="311"/>
      <c r="K168" s="311"/>
      <c r="L168" s="311"/>
      <c r="M168" s="548"/>
      <c r="N168" s="548"/>
      <c r="O168" s="548"/>
      <c r="P168" s="311"/>
      <c r="Q168" s="311"/>
      <c r="R168" s="311"/>
      <c r="S168" s="311"/>
      <c r="T168" s="311"/>
      <c r="U168" s="311"/>
      <c r="V168" s="311"/>
      <c r="W168" s="311"/>
      <c r="X168" s="311"/>
      <c r="Y168" s="311"/>
      <c r="Z168" s="311"/>
      <c r="AA168" s="311"/>
      <c r="AB168" s="311"/>
      <c r="AC168" s="311"/>
      <c r="AD168" s="311"/>
      <c r="AE168" s="311"/>
      <c r="AF168" s="311"/>
      <c r="AG168" s="311"/>
      <c r="AH168" s="170"/>
    </row>
    <row r="169" spans="1:36">
      <c r="A169" s="515" t="s">
        <v>678</v>
      </c>
      <c r="B169" s="516"/>
      <c r="C169" s="516"/>
      <c r="D169" s="516"/>
      <c r="E169" s="516"/>
      <c r="F169" s="516"/>
      <c r="G169" s="516"/>
      <c r="H169" s="516"/>
      <c r="I169" s="516"/>
      <c r="J169" s="516"/>
      <c r="K169" s="516"/>
      <c r="L169" s="516"/>
      <c r="M169" s="516"/>
      <c r="N169" s="516"/>
      <c r="O169" s="516"/>
      <c r="P169" s="516"/>
      <c r="Q169" s="516"/>
      <c r="R169" s="516"/>
      <c r="S169" s="516"/>
      <c r="T169" s="516"/>
      <c r="U169" s="516"/>
      <c r="V169" s="516"/>
      <c r="W169" s="516"/>
      <c r="X169" s="516"/>
      <c r="Y169" s="516"/>
      <c r="Z169" s="516"/>
      <c r="AA169" s="516"/>
      <c r="AB169" s="516"/>
      <c r="AC169" s="516"/>
      <c r="AD169" s="516"/>
      <c r="AE169" s="516"/>
      <c r="AF169" s="516"/>
      <c r="AG169" s="516"/>
      <c r="AH169" s="517"/>
    </row>
    <row r="170" spans="1:36">
      <c r="A170" s="154"/>
      <c r="D170" s="302"/>
      <c r="M170" s="544"/>
      <c r="N170" s="544"/>
      <c r="O170" s="544"/>
      <c r="AH170" s="156"/>
    </row>
    <row r="171" spans="1:36">
      <c r="A171" s="154"/>
      <c r="B171" s="308" t="s">
        <v>1330</v>
      </c>
      <c r="AH171" s="156"/>
    </row>
    <row r="172" spans="1:36">
      <c r="A172" s="154"/>
      <c r="B172" s="157" t="s">
        <v>577</v>
      </c>
      <c r="C172" s="309" t="s">
        <v>844</v>
      </c>
      <c r="D172" s="309"/>
      <c r="E172" s="157" t="s">
        <v>845</v>
      </c>
      <c r="F172" s="309" t="s">
        <v>846</v>
      </c>
      <c r="G172" s="309"/>
      <c r="H172" s="309"/>
      <c r="I172" s="309"/>
      <c r="J172" s="309"/>
      <c r="K172" s="309"/>
      <c r="L172" s="309"/>
      <c r="M172" s="546"/>
      <c r="N172" s="546"/>
      <c r="O172" s="546"/>
      <c r="P172" s="309"/>
      <c r="Q172" s="309"/>
      <c r="R172" s="309"/>
      <c r="S172" s="309"/>
      <c r="T172" s="309"/>
      <c r="U172" s="309"/>
      <c r="V172" s="309"/>
      <c r="W172" s="309"/>
      <c r="X172" s="309"/>
      <c r="Y172" s="309"/>
      <c r="Z172" s="309"/>
      <c r="AA172" s="309"/>
      <c r="AB172" s="309"/>
      <c r="AC172" s="309"/>
      <c r="AD172" s="160"/>
      <c r="AH172" s="156"/>
    </row>
    <row r="173" spans="1:36">
      <c r="A173" s="154"/>
      <c r="B173" s="161" t="s">
        <v>761</v>
      </c>
      <c r="C173" s="162" t="s">
        <v>714</v>
      </c>
      <c r="D173" s="162"/>
      <c r="E173" s="163" t="s">
        <v>847</v>
      </c>
      <c r="F173" s="164" t="s">
        <v>847</v>
      </c>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64"/>
      <c r="AD173" s="165"/>
      <c r="AH173" s="156"/>
      <c r="AI173" s="302"/>
      <c r="AJ173" s="308" t="s">
        <v>848</v>
      </c>
    </row>
    <row r="174" spans="1:36">
      <c r="A174" s="154"/>
      <c r="B174" s="161" t="s">
        <v>849</v>
      </c>
      <c r="C174" s="162" t="s">
        <v>714</v>
      </c>
      <c r="D174" s="162"/>
      <c r="E174" s="161" t="s">
        <v>850</v>
      </c>
      <c r="F174" s="162" t="s">
        <v>851</v>
      </c>
      <c r="G174" s="162"/>
      <c r="H174" s="162"/>
      <c r="I174" s="162"/>
      <c r="J174" s="162"/>
      <c r="K174" s="162"/>
      <c r="L174" s="162" t="s">
        <v>852</v>
      </c>
      <c r="M174" s="162" t="s">
        <v>853</v>
      </c>
      <c r="N174" s="162"/>
      <c r="O174" s="162"/>
      <c r="P174" s="162"/>
      <c r="Q174" s="162"/>
      <c r="R174" s="162"/>
      <c r="S174" s="162"/>
      <c r="T174" s="162"/>
      <c r="U174" s="162"/>
      <c r="V174" s="162"/>
      <c r="W174" s="162"/>
      <c r="X174" s="162"/>
      <c r="Y174" s="162"/>
      <c r="Z174" s="162"/>
      <c r="AA174" s="162"/>
      <c r="AB174" s="162"/>
      <c r="AC174" s="162"/>
      <c r="AD174" s="166"/>
      <c r="AH174" s="156"/>
      <c r="AI174" s="302"/>
      <c r="AJ174" s="308" t="s">
        <v>1094</v>
      </c>
    </row>
    <row r="175" spans="1:36">
      <c r="A175" s="154"/>
      <c r="B175" s="161" t="s">
        <v>854</v>
      </c>
      <c r="C175" s="162" t="s">
        <v>714</v>
      </c>
      <c r="D175" s="162"/>
      <c r="E175" s="161" t="s">
        <v>850</v>
      </c>
      <c r="F175" s="162" t="s">
        <v>64</v>
      </c>
      <c r="G175" s="162"/>
      <c r="H175" s="162"/>
      <c r="I175" s="162"/>
      <c r="J175" s="162"/>
      <c r="K175" s="162"/>
      <c r="L175" s="162" t="s">
        <v>855</v>
      </c>
      <c r="M175" s="162" t="s">
        <v>856</v>
      </c>
      <c r="N175" s="162"/>
      <c r="O175" s="162"/>
      <c r="P175" s="162"/>
      <c r="Q175" s="162"/>
      <c r="R175" s="162"/>
      <c r="S175" s="162"/>
      <c r="T175" s="162"/>
      <c r="U175" s="162"/>
      <c r="V175" s="162"/>
      <c r="W175" s="162"/>
      <c r="X175" s="162"/>
      <c r="Y175" s="162"/>
      <c r="Z175" s="162"/>
      <c r="AA175" s="162"/>
      <c r="AB175" s="162"/>
      <c r="AC175" s="162"/>
      <c r="AD175" s="166"/>
      <c r="AH175" s="156"/>
      <c r="AI175" s="302"/>
    </row>
    <row r="176" spans="1:36">
      <c r="A176" s="154"/>
      <c r="B176" s="161" t="s">
        <v>586</v>
      </c>
      <c r="C176" s="162" t="s">
        <v>714</v>
      </c>
      <c r="D176" s="162"/>
      <c r="E176" s="161" t="s">
        <v>857</v>
      </c>
      <c r="F176" s="162" t="s">
        <v>67</v>
      </c>
      <c r="G176" s="162"/>
      <c r="H176" s="162"/>
      <c r="I176" s="162"/>
      <c r="J176" s="162"/>
      <c r="K176" s="162"/>
      <c r="L176" s="162" t="s">
        <v>855</v>
      </c>
      <c r="M176" s="162" t="s">
        <v>75</v>
      </c>
      <c r="N176" s="162"/>
      <c r="O176" s="162"/>
      <c r="P176" s="162"/>
      <c r="Q176" s="162"/>
      <c r="R176" s="162"/>
      <c r="S176" s="162"/>
      <c r="T176" s="162"/>
      <c r="U176" s="162"/>
      <c r="V176" s="162"/>
      <c r="W176" s="162"/>
      <c r="X176" s="162"/>
      <c r="Y176" s="162"/>
      <c r="Z176" s="162"/>
      <c r="AA176" s="162"/>
      <c r="AB176" s="162"/>
      <c r="AC176" s="162"/>
      <c r="AD176" s="166"/>
      <c r="AH176" s="156"/>
      <c r="AI176" s="302"/>
      <c r="AJ176" s="308" t="s">
        <v>1311</v>
      </c>
    </row>
    <row r="177" spans="1:38">
      <c r="A177" s="154"/>
      <c r="B177" s="161" t="s">
        <v>743</v>
      </c>
      <c r="C177" s="162" t="s">
        <v>714</v>
      </c>
      <c r="D177" s="162"/>
      <c r="E177" s="161" t="s">
        <v>857</v>
      </c>
      <c r="F177" s="162" t="s">
        <v>75</v>
      </c>
      <c r="G177" s="162"/>
      <c r="H177" s="162"/>
      <c r="I177" s="162"/>
      <c r="J177" s="162"/>
      <c r="K177" s="162"/>
      <c r="L177" s="162" t="s">
        <v>855</v>
      </c>
      <c r="M177" s="162" t="s">
        <v>1005</v>
      </c>
      <c r="N177" s="162"/>
      <c r="O177" s="162"/>
      <c r="P177" s="162"/>
      <c r="Q177" s="162"/>
      <c r="R177" s="162"/>
      <c r="S177" s="162"/>
      <c r="T177" s="162"/>
      <c r="U177" s="162"/>
      <c r="V177" s="162"/>
      <c r="W177" s="162"/>
      <c r="X177" s="162"/>
      <c r="Y177" s="162"/>
      <c r="Z177" s="162"/>
      <c r="AA177" s="162"/>
      <c r="AB177" s="162"/>
      <c r="AC177" s="162"/>
      <c r="AD177" s="166"/>
      <c r="AH177" s="156"/>
      <c r="AI177" s="302"/>
      <c r="AJ177" s="308" t="s">
        <v>1093</v>
      </c>
    </row>
    <row r="178" spans="1:38">
      <c r="A178" s="154"/>
      <c r="B178" s="161" t="s">
        <v>858</v>
      </c>
      <c r="C178" s="162" t="s">
        <v>823</v>
      </c>
      <c r="D178" s="162"/>
      <c r="E178" s="161" t="s">
        <v>857</v>
      </c>
      <c r="F178" s="162" t="s">
        <v>859</v>
      </c>
      <c r="G178" s="162"/>
      <c r="H178" s="162"/>
      <c r="I178" s="162"/>
      <c r="J178" s="162"/>
      <c r="K178" s="162"/>
      <c r="L178" s="162" t="s">
        <v>855</v>
      </c>
      <c r="M178" s="162" t="s">
        <v>860</v>
      </c>
      <c r="N178" s="162"/>
      <c r="O178" s="162"/>
      <c r="P178" s="162"/>
      <c r="Q178" s="162"/>
      <c r="R178" s="162"/>
      <c r="S178" s="162"/>
      <c r="T178" s="162"/>
      <c r="U178" s="162"/>
      <c r="V178" s="162"/>
      <c r="W178" s="162"/>
      <c r="X178" s="162"/>
      <c r="Y178" s="162"/>
      <c r="Z178" s="162"/>
      <c r="AA178" s="162"/>
      <c r="AB178" s="162"/>
      <c r="AC178" s="162"/>
      <c r="AD178" s="166"/>
      <c r="AH178" s="156"/>
      <c r="AI178" s="302"/>
      <c r="AJ178" s="308" t="s">
        <v>861</v>
      </c>
    </row>
    <row r="179" spans="1:38">
      <c r="A179" s="154"/>
      <c r="B179" s="161" t="s">
        <v>862</v>
      </c>
      <c r="C179" s="162" t="s">
        <v>714</v>
      </c>
      <c r="D179" s="162"/>
      <c r="E179" s="161" t="s">
        <v>857</v>
      </c>
      <c r="F179" s="162" t="s">
        <v>755</v>
      </c>
      <c r="G179" s="162"/>
      <c r="H179" s="162"/>
      <c r="I179" s="162"/>
      <c r="J179" s="162"/>
      <c r="K179" s="162"/>
      <c r="L179" s="162" t="s">
        <v>855</v>
      </c>
      <c r="M179" s="162" t="s">
        <v>863</v>
      </c>
      <c r="N179" s="162"/>
      <c r="O179" s="162"/>
      <c r="P179" s="162"/>
      <c r="Q179" s="162"/>
      <c r="R179" s="162"/>
      <c r="S179" s="162"/>
      <c r="T179" s="162"/>
      <c r="U179" s="162"/>
      <c r="V179" s="162"/>
      <c r="W179" s="162"/>
      <c r="X179" s="162"/>
      <c r="Y179" s="162"/>
      <c r="Z179" s="162"/>
      <c r="AA179" s="162"/>
      <c r="AB179" s="162"/>
      <c r="AC179" s="162"/>
      <c r="AD179" s="166"/>
      <c r="AH179" s="156"/>
      <c r="AI179" s="302"/>
      <c r="AJ179" s="308" t="s">
        <v>864</v>
      </c>
    </row>
    <row r="180" spans="1:38">
      <c r="A180" s="154"/>
      <c r="B180" s="161" t="s">
        <v>865</v>
      </c>
      <c r="C180" s="162" t="s">
        <v>714</v>
      </c>
      <c r="D180" s="162"/>
      <c r="E180" s="161" t="s">
        <v>857</v>
      </c>
      <c r="F180" s="162" t="s">
        <v>866</v>
      </c>
      <c r="G180" s="162"/>
      <c r="H180" s="162"/>
      <c r="I180" s="162"/>
      <c r="J180" s="162"/>
      <c r="K180" s="162"/>
      <c r="L180" s="162" t="s">
        <v>855</v>
      </c>
      <c r="M180" s="162" t="s">
        <v>867</v>
      </c>
      <c r="N180" s="162"/>
      <c r="O180" s="162"/>
      <c r="P180" s="162"/>
      <c r="Q180" s="162"/>
      <c r="R180" s="162"/>
      <c r="S180" s="162"/>
      <c r="T180" s="162"/>
      <c r="U180" s="162"/>
      <c r="V180" s="162"/>
      <c r="W180" s="162"/>
      <c r="X180" s="162"/>
      <c r="Y180" s="162"/>
      <c r="Z180" s="162"/>
      <c r="AA180" s="162"/>
      <c r="AB180" s="162"/>
      <c r="AC180" s="162"/>
      <c r="AD180" s="166"/>
      <c r="AH180" s="156"/>
      <c r="AI180" s="302"/>
      <c r="AJ180" s="308" t="s">
        <v>1298</v>
      </c>
    </row>
    <row r="181" spans="1:38">
      <c r="A181" s="154"/>
      <c r="B181" s="161" t="s">
        <v>868</v>
      </c>
      <c r="C181" s="162" t="s">
        <v>807</v>
      </c>
      <c r="D181" s="162"/>
      <c r="E181" s="161" t="s">
        <v>857</v>
      </c>
      <c r="F181" s="162" t="s">
        <v>869</v>
      </c>
      <c r="G181" s="162"/>
      <c r="H181" s="162"/>
      <c r="I181" s="162"/>
      <c r="J181" s="162"/>
      <c r="K181" s="162"/>
      <c r="L181" s="162" t="s">
        <v>855</v>
      </c>
      <c r="M181" s="162" t="s">
        <v>870</v>
      </c>
      <c r="N181" s="162"/>
      <c r="O181" s="162"/>
      <c r="P181" s="162"/>
      <c r="Q181" s="162"/>
      <c r="R181" s="162"/>
      <c r="S181" s="162"/>
      <c r="T181" s="162"/>
      <c r="U181" s="162"/>
      <c r="V181" s="162"/>
      <c r="W181" s="162"/>
      <c r="X181" s="162"/>
      <c r="Y181" s="162"/>
      <c r="Z181" s="162"/>
      <c r="AA181" s="162"/>
      <c r="AB181" s="162"/>
      <c r="AC181" s="162"/>
      <c r="AD181" s="166"/>
      <c r="AH181" s="156"/>
      <c r="AI181" s="302"/>
      <c r="AJ181" s="308" t="s">
        <v>871</v>
      </c>
    </row>
    <row r="182" spans="1:38">
      <c r="A182" s="154"/>
      <c r="B182" s="161" t="s">
        <v>858</v>
      </c>
      <c r="C182" s="162" t="s">
        <v>808</v>
      </c>
      <c r="D182" s="162"/>
      <c r="E182" s="161" t="s">
        <v>857</v>
      </c>
      <c r="F182" s="162" t="s">
        <v>872</v>
      </c>
      <c r="G182" s="162"/>
      <c r="H182" s="162"/>
      <c r="I182" s="162"/>
      <c r="J182" s="162"/>
      <c r="K182" s="162"/>
      <c r="L182" s="162" t="s">
        <v>855</v>
      </c>
      <c r="M182" s="162" t="s">
        <v>873</v>
      </c>
      <c r="N182" s="162"/>
      <c r="O182" s="162"/>
      <c r="P182" s="162"/>
      <c r="Q182" s="162"/>
      <c r="R182" s="162"/>
      <c r="S182" s="162"/>
      <c r="T182" s="162"/>
      <c r="U182" s="162"/>
      <c r="V182" s="162"/>
      <c r="W182" s="162"/>
      <c r="X182" s="162"/>
      <c r="Y182" s="162"/>
      <c r="Z182" s="162"/>
      <c r="AA182" s="162"/>
      <c r="AB182" s="162"/>
      <c r="AC182" s="162"/>
      <c r="AD182" s="166"/>
      <c r="AH182" s="156"/>
      <c r="AI182" s="302"/>
      <c r="AJ182" s="308" t="s">
        <v>861</v>
      </c>
    </row>
    <row r="183" spans="1:38">
      <c r="A183" s="154"/>
      <c r="B183" s="167" t="s">
        <v>874</v>
      </c>
      <c r="C183" s="307" t="s">
        <v>714</v>
      </c>
      <c r="D183" s="307"/>
      <c r="E183" s="167" t="s">
        <v>857</v>
      </c>
      <c r="F183" s="307" t="s">
        <v>67</v>
      </c>
      <c r="G183" s="307"/>
      <c r="H183" s="307"/>
      <c r="I183" s="307"/>
      <c r="J183" s="307"/>
      <c r="K183" s="307"/>
      <c r="L183" s="307" t="s">
        <v>855</v>
      </c>
      <c r="M183" s="307" t="s">
        <v>875</v>
      </c>
      <c r="N183" s="307"/>
      <c r="O183" s="307"/>
      <c r="P183" s="307"/>
      <c r="Q183" s="307"/>
      <c r="R183" s="307"/>
      <c r="S183" s="307"/>
      <c r="T183" s="307"/>
      <c r="U183" s="307"/>
      <c r="V183" s="307"/>
      <c r="W183" s="307"/>
      <c r="X183" s="307"/>
      <c r="Y183" s="307"/>
      <c r="Z183" s="307"/>
      <c r="AA183" s="307"/>
      <c r="AB183" s="307"/>
      <c r="AC183" s="307"/>
      <c r="AD183" s="153"/>
      <c r="AH183" s="156"/>
      <c r="AI183" s="302"/>
      <c r="AJ183" s="308" t="s">
        <v>1310</v>
      </c>
      <c r="AL183" s="308" t="s">
        <v>876</v>
      </c>
    </row>
    <row r="184" spans="1:38">
      <c r="A184" s="154"/>
      <c r="B184" s="161" t="s">
        <v>877</v>
      </c>
      <c r="C184" s="162" t="s">
        <v>878</v>
      </c>
      <c r="D184" s="162"/>
      <c r="E184" s="161" t="s">
        <v>857</v>
      </c>
      <c r="F184" s="162" t="s">
        <v>879</v>
      </c>
      <c r="G184" s="162"/>
      <c r="H184" s="162"/>
      <c r="I184" s="162"/>
      <c r="J184" s="162"/>
      <c r="K184" s="162"/>
      <c r="L184" s="162" t="s">
        <v>855</v>
      </c>
      <c r="M184" s="162" t="s">
        <v>880</v>
      </c>
      <c r="N184" s="162"/>
      <c r="O184" s="162"/>
      <c r="P184" s="162"/>
      <c r="Q184" s="162"/>
      <c r="R184" s="162"/>
      <c r="S184" s="162"/>
      <c r="T184" s="162"/>
      <c r="U184" s="162"/>
      <c r="V184" s="162"/>
      <c r="W184" s="162"/>
      <c r="X184" s="162"/>
      <c r="Y184" s="162"/>
      <c r="Z184" s="162"/>
      <c r="AA184" s="162"/>
      <c r="AB184" s="162"/>
      <c r="AC184" s="162"/>
      <c r="AD184" s="166"/>
      <c r="AH184" s="156"/>
      <c r="AI184" s="302"/>
      <c r="AJ184" s="308" t="s">
        <v>881</v>
      </c>
    </row>
    <row r="185" spans="1:38">
      <c r="A185" s="154"/>
      <c r="B185" s="161" t="s">
        <v>882</v>
      </c>
      <c r="C185" s="162" t="s">
        <v>883</v>
      </c>
      <c r="D185" s="162"/>
      <c r="E185" s="161" t="s">
        <v>857</v>
      </c>
      <c r="F185" s="162" t="s">
        <v>884</v>
      </c>
      <c r="G185" s="162"/>
      <c r="H185" s="162"/>
      <c r="I185" s="162"/>
      <c r="J185" s="162"/>
      <c r="K185" s="162"/>
      <c r="L185" s="162" t="s">
        <v>855</v>
      </c>
      <c r="M185" s="162" t="s">
        <v>885</v>
      </c>
      <c r="N185" s="162"/>
      <c r="O185" s="162"/>
      <c r="P185" s="162"/>
      <c r="Q185" s="162"/>
      <c r="R185" s="162"/>
      <c r="S185" s="162"/>
      <c r="T185" s="162"/>
      <c r="U185" s="162"/>
      <c r="V185" s="162"/>
      <c r="W185" s="162"/>
      <c r="X185" s="162"/>
      <c r="Y185" s="162"/>
      <c r="Z185" s="162"/>
      <c r="AA185" s="162"/>
      <c r="AB185" s="162"/>
      <c r="AC185" s="162"/>
      <c r="AD185" s="166"/>
      <c r="AH185" s="156"/>
      <c r="AI185" s="302"/>
      <c r="AJ185" s="308" t="s">
        <v>886</v>
      </c>
    </row>
    <row r="186" spans="1:38">
      <c r="A186" s="154"/>
      <c r="B186" s="161" t="s">
        <v>1089</v>
      </c>
      <c r="C186" s="162" t="s">
        <v>714</v>
      </c>
      <c r="D186" s="162"/>
      <c r="E186" s="161" t="s">
        <v>857</v>
      </c>
      <c r="F186" s="162" t="s">
        <v>1092</v>
      </c>
      <c r="G186" s="162"/>
      <c r="H186" s="162"/>
      <c r="I186" s="162"/>
      <c r="J186" s="162"/>
      <c r="K186" s="162"/>
      <c r="L186" s="162" t="s">
        <v>855</v>
      </c>
      <c r="M186" s="162" t="s">
        <v>1091</v>
      </c>
      <c r="N186" s="162"/>
      <c r="O186" s="162"/>
      <c r="P186" s="162"/>
      <c r="Q186" s="162"/>
      <c r="R186" s="162"/>
      <c r="S186" s="162"/>
      <c r="T186" s="162"/>
      <c r="U186" s="162"/>
      <c r="V186" s="162"/>
      <c r="W186" s="162"/>
      <c r="X186" s="162"/>
      <c r="Y186" s="162"/>
      <c r="Z186" s="162"/>
      <c r="AA186" s="162"/>
      <c r="AB186" s="162"/>
      <c r="AC186" s="162"/>
      <c r="AD186" s="166"/>
      <c r="AH186" s="156"/>
      <c r="AI186" s="302"/>
      <c r="AJ186" s="308" t="s">
        <v>1090</v>
      </c>
      <c r="AL186" s="308" t="s">
        <v>1095</v>
      </c>
    </row>
    <row r="187" spans="1:38">
      <c r="A187" s="154"/>
      <c r="B187" s="167" t="s">
        <v>887</v>
      </c>
      <c r="C187" s="307" t="s">
        <v>888</v>
      </c>
      <c r="D187" s="307"/>
      <c r="E187" s="167" t="s">
        <v>857</v>
      </c>
      <c r="F187" s="307" t="s">
        <v>889</v>
      </c>
      <c r="G187" s="307"/>
      <c r="H187" s="307"/>
      <c r="I187" s="307"/>
      <c r="J187" s="307"/>
      <c r="K187" s="307"/>
      <c r="L187" s="307" t="s">
        <v>855</v>
      </c>
      <c r="M187" s="307" t="str">
        <f>AI187</f>
        <v>CK214</v>
      </c>
      <c r="N187" s="307"/>
      <c r="O187" s="307"/>
      <c r="P187" s="307" t="str">
        <f>AJ187</f>
        <v>カード受注ステータス</v>
      </c>
      <c r="Q187" s="307"/>
      <c r="R187" s="307"/>
      <c r="S187" s="307"/>
      <c r="T187" s="307"/>
      <c r="U187" s="307"/>
      <c r="V187" s="307"/>
      <c r="W187" s="307"/>
      <c r="X187" s="307"/>
      <c r="Y187" s="307"/>
      <c r="Z187" s="307"/>
      <c r="AA187" s="307"/>
      <c r="AB187" s="307"/>
      <c r="AC187" s="307" t="s">
        <v>890</v>
      </c>
      <c r="AD187" s="153"/>
      <c r="AH187" s="156"/>
      <c r="AI187" s="302" t="s">
        <v>891</v>
      </c>
      <c r="AJ187" s="308" t="s">
        <v>892</v>
      </c>
    </row>
    <row r="188" spans="1:38">
      <c r="A188" s="154"/>
      <c r="B188" s="168"/>
      <c r="C188" s="311"/>
      <c r="D188" s="311"/>
      <c r="E188" s="168"/>
      <c r="F188" s="311" t="s">
        <v>893</v>
      </c>
      <c r="G188" s="311"/>
      <c r="H188" s="311"/>
      <c r="I188" s="311"/>
      <c r="J188" s="311"/>
      <c r="K188" s="311"/>
      <c r="L188" s="311" t="s">
        <v>855</v>
      </c>
      <c r="M188" s="311" t="s">
        <v>894</v>
      </c>
      <c r="N188" s="311"/>
      <c r="O188" s="311"/>
      <c r="P188" s="311"/>
      <c r="Q188" s="311"/>
      <c r="R188" s="311"/>
      <c r="S188" s="311"/>
      <c r="T188" s="311"/>
      <c r="U188" s="311"/>
      <c r="V188" s="311"/>
      <c r="W188" s="311"/>
      <c r="X188" s="311"/>
      <c r="Y188" s="311"/>
      <c r="Z188" s="311"/>
      <c r="AA188" s="311"/>
      <c r="AB188" s="311"/>
      <c r="AC188" s="311"/>
      <c r="AD188" s="170"/>
      <c r="AH188" s="156"/>
      <c r="AI188" s="302"/>
    </row>
    <row r="189" spans="1:38">
      <c r="A189" s="154"/>
      <c r="B189" s="167" t="s">
        <v>887</v>
      </c>
      <c r="C189" s="307" t="s">
        <v>895</v>
      </c>
      <c r="D189" s="307"/>
      <c r="E189" s="167" t="s">
        <v>857</v>
      </c>
      <c r="F189" s="307" t="s">
        <v>889</v>
      </c>
      <c r="G189" s="307"/>
      <c r="H189" s="307"/>
      <c r="I189" s="307"/>
      <c r="J189" s="307"/>
      <c r="K189" s="307"/>
      <c r="L189" s="307" t="s">
        <v>855</v>
      </c>
      <c r="M189" s="307" t="str">
        <f>AI189</f>
        <v>CK231</v>
      </c>
      <c r="N189" s="307"/>
      <c r="O189" s="307"/>
      <c r="P189" s="307" t="str">
        <f>AJ189</f>
        <v>受注受付ステータス</v>
      </c>
      <c r="Q189" s="307"/>
      <c r="R189" s="307"/>
      <c r="S189" s="307"/>
      <c r="T189" s="307"/>
      <c r="U189" s="307"/>
      <c r="V189" s="307"/>
      <c r="W189" s="307"/>
      <c r="X189" s="307"/>
      <c r="Y189" s="307"/>
      <c r="Z189" s="307"/>
      <c r="AA189" s="307"/>
      <c r="AB189" s="307"/>
      <c r="AC189" s="307" t="s">
        <v>896</v>
      </c>
      <c r="AD189" s="153"/>
      <c r="AH189" s="156"/>
      <c r="AI189" s="302" t="s">
        <v>897</v>
      </c>
      <c r="AJ189" s="308" t="s">
        <v>898</v>
      </c>
    </row>
    <row r="190" spans="1:38">
      <c r="A190" s="154"/>
      <c r="B190" s="168"/>
      <c r="C190" s="311"/>
      <c r="D190" s="311"/>
      <c r="E190" s="168"/>
      <c r="F190" s="311" t="s">
        <v>893</v>
      </c>
      <c r="G190" s="311"/>
      <c r="H190" s="311"/>
      <c r="I190" s="311"/>
      <c r="J190" s="311"/>
      <c r="K190" s="311"/>
      <c r="L190" s="311" t="s">
        <v>855</v>
      </c>
      <c r="M190" s="311" t="s">
        <v>899</v>
      </c>
      <c r="N190" s="311"/>
      <c r="O190" s="311"/>
      <c r="P190" s="311"/>
      <c r="Q190" s="311"/>
      <c r="R190" s="311"/>
      <c r="S190" s="311"/>
      <c r="T190" s="311"/>
      <c r="U190" s="311"/>
      <c r="V190" s="311"/>
      <c r="W190" s="311"/>
      <c r="X190" s="311"/>
      <c r="Y190" s="311"/>
      <c r="Z190" s="311"/>
      <c r="AA190" s="311"/>
      <c r="AB190" s="311"/>
      <c r="AC190" s="311"/>
      <c r="AD190" s="170"/>
      <c r="AH190" s="156"/>
      <c r="AI190" s="302"/>
    </row>
    <row r="191" spans="1:38">
      <c r="A191" s="154"/>
      <c r="B191" s="167" t="s">
        <v>887</v>
      </c>
      <c r="C191" s="307" t="s">
        <v>900</v>
      </c>
      <c r="D191" s="307"/>
      <c r="E191" s="167" t="s">
        <v>857</v>
      </c>
      <c r="F191" s="307" t="s">
        <v>889</v>
      </c>
      <c r="G191" s="307"/>
      <c r="H191" s="307"/>
      <c r="I191" s="307"/>
      <c r="J191" s="307"/>
      <c r="K191" s="307"/>
      <c r="L191" s="307" t="s">
        <v>855</v>
      </c>
      <c r="M191" s="307" t="str">
        <f>AI191</f>
        <v>CK056</v>
      </c>
      <c r="N191" s="307"/>
      <c r="O191" s="307"/>
      <c r="P191" s="307" t="str">
        <f>AJ191</f>
        <v>カード会員番号取得依頼状況</v>
      </c>
      <c r="Q191" s="307"/>
      <c r="R191" s="307"/>
      <c r="S191" s="307"/>
      <c r="T191" s="307"/>
      <c r="U191" s="307"/>
      <c r="V191" s="307"/>
      <c r="W191" s="307"/>
      <c r="X191" s="307"/>
      <c r="Y191" s="307"/>
      <c r="Z191" s="307"/>
      <c r="AA191" s="307"/>
      <c r="AB191" s="307"/>
      <c r="AC191" s="307" t="s">
        <v>896</v>
      </c>
      <c r="AD191" s="153"/>
      <c r="AH191" s="156"/>
      <c r="AI191" s="302" t="s">
        <v>901</v>
      </c>
      <c r="AJ191" s="308" t="s">
        <v>902</v>
      </c>
    </row>
    <row r="192" spans="1:38">
      <c r="A192" s="154"/>
      <c r="B192" s="168"/>
      <c r="C192" s="311"/>
      <c r="D192" s="311"/>
      <c r="E192" s="168"/>
      <c r="F192" s="311" t="s">
        <v>893</v>
      </c>
      <c r="G192" s="311"/>
      <c r="H192" s="311"/>
      <c r="I192" s="311"/>
      <c r="J192" s="311"/>
      <c r="K192" s="311"/>
      <c r="L192" s="311" t="s">
        <v>855</v>
      </c>
      <c r="M192" s="311" t="s">
        <v>903</v>
      </c>
      <c r="N192" s="311"/>
      <c r="O192" s="311"/>
      <c r="P192" s="311"/>
      <c r="Q192" s="311"/>
      <c r="R192" s="311"/>
      <c r="S192" s="311"/>
      <c r="T192" s="311"/>
      <c r="U192" s="311"/>
      <c r="V192" s="311"/>
      <c r="W192" s="311"/>
      <c r="X192" s="311"/>
      <c r="Y192" s="311"/>
      <c r="Z192" s="311"/>
      <c r="AA192" s="311"/>
      <c r="AB192" s="311"/>
      <c r="AC192" s="311"/>
      <c r="AD192" s="170"/>
      <c r="AH192" s="156"/>
      <c r="AI192" s="302"/>
    </row>
    <row r="193" spans="1:36">
      <c r="A193" s="154"/>
      <c r="B193" s="167" t="s">
        <v>887</v>
      </c>
      <c r="C193" s="307" t="s">
        <v>904</v>
      </c>
      <c r="D193" s="307"/>
      <c r="E193" s="167" t="s">
        <v>857</v>
      </c>
      <c r="F193" s="307" t="s">
        <v>889</v>
      </c>
      <c r="G193" s="307"/>
      <c r="H193" s="307"/>
      <c r="I193" s="307"/>
      <c r="J193" s="307"/>
      <c r="K193" s="307"/>
      <c r="L193" s="307" t="s">
        <v>855</v>
      </c>
      <c r="M193" s="307" t="str">
        <f>AI193</f>
        <v>CK057</v>
      </c>
      <c r="N193" s="307"/>
      <c r="O193" s="307"/>
      <c r="P193" s="307" t="str">
        <f>AJ193</f>
        <v>カード会員番号取得回答状況</v>
      </c>
      <c r="Q193" s="307"/>
      <c r="R193" s="307"/>
      <c r="S193" s="307"/>
      <c r="T193" s="307"/>
      <c r="U193" s="307"/>
      <c r="V193" s="307"/>
      <c r="W193" s="307"/>
      <c r="X193" s="307"/>
      <c r="Y193" s="307"/>
      <c r="Z193" s="307"/>
      <c r="AA193" s="307"/>
      <c r="AB193" s="307"/>
      <c r="AC193" s="307" t="s">
        <v>896</v>
      </c>
      <c r="AD193" s="153"/>
      <c r="AH193" s="156"/>
      <c r="AI193" s="302" t="s">
        <v>905</v>
      </c>
      <c r="AJ193" s="308" t="s">
        <v>906</v>
      </c>
    </row>
    <row r="194" spans="1:36">
      <c r="A194" s="154"/>
      <c r="B194" s="168"/>
      <c r="C194" s="311"/>
      <c r="D194" s="311"/>
      <c r="E194" s="168"/>
      <c r="F194" s="311" t="s">
        <v>893</v>
      </c>
      <c r="G194" s="311"/>
      <c r="H194" s="311"/>
      <c r="I194" s="311"/>
      <c r="J194" s="311"/>
      <c r="K194" s="311"/>
      <c r="L194" s="311" t="s">
        <v>855</v>
      </c>
      <c r="M194" s="311" t="s">
        <v>907</v>
      </c>
      <c r="N194" s="311"/>
      <c r="O194" s="311"/>
      <c r="P194" s="311"/>
      <c r="Q194" s="311"/>
      <c r="R194" s="311"/>
      <c r="S194" s="311"/>
      <c r="T194" s="311"/>
      <c r="U194" s="311"/>
      <c r="V194" s="311"/>
      <c r="W194" s="311"/>
      <c r="X194" s="311"/>
      <c r="Y194" s="311"/>
      <c r="Z194" s="311"/>
      <c r="AA194" s="311"/>
      <c r="AB194" s="311"/>
      <c r="AC194" s="311"/>
      <c r="AD194" s="170"/>
      <c r="AH194" s="156"/>
      <c r="AI194" s="302"/>
    </row>
    <row r="195" spans="1:36">
      <c r="A195" s="154"/>
      <c r="B195" s="167" t="s">
        <v>887</v>
      </c>
      <c r="C195" s="307" t="s">
        <v>908</v>
      </c>
      <c r="D195" s="307"/>
      <c r="E195" s="167" t="s">
        <v>857</v>
      </c>
      <c r="F195" s="307" t="s">
        <v>889</v>
      </c>
      <c r="G195" s="307"/>
      <c r="H195" s="307"/>
      <c r="I195" s="307"/>
      <c r="J195" s="307"/>
      <c r="K195" s="307"/>
      <c r="L195" s="307" t="s">
        <v>855</v>
      </c>
      <c r="M195" s="307" t="str">
        <f>AI195</f>
        <v>CK237</v>
      </c>
      <c r="N195" s="307"/>
      <c r="O195" s="307"/>
      <c r="P195" s="307" t="str">
        <f>AJ195</f>
        <v>色校正区分</v>
      </c>
      <c r="Q195" s="307"/>
      <c r="R195" s="307"/>
      <c r="S195" s="307"/>
      <c r="T195" s="307"/>
      <c r="U195" s="307"/>
      <c r="V195" s="307"/>
      <c r="W195" s="307"/>
      <c r="X195" s="307"/>
      <c r="Y195" s="307"/>
      <c r="Z195" s="307"/>
      <c r="AA195" s="307"/>
      <c r="AB195" s="307"/>
      <c r="AC195" s="307" t="s">
        <v>896</v>
      </c>
      <c r="AD195" s="153"/>
      <c r="AH195" s="156"/>
      <c r="AI195" s="302" t="s">
        <v>909</v>
      </c>
      <c r="AJ195" s="308" t="s">
        <v>910</v>
      </c>
    </row>
    <row r="196" spans="1:36">
      <c r="A196" s="154"/>
      <c r="B196" s="168"/>
      <c r="C196" s="311"/>
      <c r="D196" s="311"/>
      <c r="E196" s="168"/>
      <c r="F196" s="311" t="s">
        <v>893</v>
      </c>
      <c r="G196" s="311"/>
      <c r="H196" s="311"/>
      <c r="I196" s="311"/>
      <c r="J196" s="311"/>
      <c r="K196" s="311"/>
      <c r="L196" s="311" t="s">
        <v>855</v>
      </c>
      <c r="M196" s="311" t="s">
        <v>911</v>
      </c>
      <c r="N196" s="311"/>
      <c r="O196" s="311"/>
      <c r="P196" s="311"/>
      <c r="Q196" s="311"/>
      <c r="R196" s="311"/>
      <c r="S196" s="311"/>
      <c r="T196" s="311"/>
      <c r="U196" s="311"/>
      <c r="V196" s="311"/>
      <c r="W196" s="311"/>
      <c r="X196" s="311"/>
      <c r="Y196" s="311"/>
      <c r="Z196" s="311"/>
      <c r="AA196" s="311"/>
      <c r="AB196" s="311"/>
      <c r="AC196" s="311"/>
      <c r="AD196" s="170"/>
      <c r="AH196" s="156"/>
      <c r="AI196" s="302"/>
    </row>
    <row r="197" spans="1:36">
      <c r="A197" s="154"/>
      <c r="B197" s="167" t="s">
        <v>887</v>
      </c>
      <c r="C197" s="307" t="s">
        <v>912</v>
      </c>
      <c r="D197" s="307"/>
      <c r="E197" s="167" t="s">
        <v>857</v>
      </c>
      <c r="F197" s="307" t="s">
        <v>889</v>
      </c>
      <c r="G197" s="307"/>
      <c r="H197" s="307"/>
      <c r="I197" s="307"/>
      <c r="J197" s="307"/>
      <c r="K197" s="307"/>
      <c r="L197" s="307" t="s">
        <v>855</v>
      </c>
      <c r="M197" s="307" t="str">
        <f>AI197</f>
        <v>CK043</v>
      </c>
      <c r="N197" s="307"/>
      <c r="O197" s="307"/>
      <c r="P197" s="307" t="str">
        <f>AJ197</f>
        <v>注文区分</v>
      </c>
      <c r="Q197" s="307"/>
      <c r="R197" s="307"/>
      <c r="S197" s="307"/>
      <c r="T197" s="307"/>
      <c r="U197" s="307"/>
      <c r="V197" s="307"/>
      <c r="W197" s="307"/>
      <c r="X197" s="307"/>
      <c r="Y197" s="307"/>
      <c r="Z197" s="307"/>
      <c r="AA197" s="307"/>
      <c r="AB197" s="307"/>
      <c r="AC197" s="307" t="s">
        <v>896</v>
      </c>
      <c r="AD197" s="153"/>
      <c r="AH197" s="156"/>
      <c r="AI197" s="302" t="s">
        <v>913</v>
      </c>
      <c r="AJ197" s="308" t="s">
        <v>914</v>
      </c>
    </row>
    <row r="198" spans="1:36">
      <c r="A198" s="154"/>
      <c r="B198" s="168"/>
      <c r="C198" s="311"/>
      <c r="D198" s="311"/>
      <c r="E198" s="168"/>
      <c r="F198" s="311" t="s">
        <v>893</v>
      </c>
      <c r="G198" s="311"/>
      <c r="H198" s="311"/>
      <c r="I198" s="311"/>
      <c r="J198" s="311"/>
      <c r="K198" s="311"/>
      <c r="L198" s="311" t="s">
        <v>855</v>
      </c>
      <c r="M198" s="311" t="s">
        <v>915</v>
      </c>
      <c r="N198" s="311"/>
      <c r="O198" s="311"/>
      <c r="P198" s="311"/>
      <c r="Q198" s="311"/>
      <c r="R198" s="311"/>
      <c r="S198" s="311"/>
      <c r="T198" s="311"/>
      <c r="U198" s="311"/>
      <c r="V198" s="311"/>
      <c r="W198" s="311"/>
      <c r="X198" s="311"/>
      <c r="Y198" s="311"/>
      <c r="Z198" s="311"/>
      <c r="AA198" s="311"/>
      <c r="AB198" s="311"/>
      <c r="AC198" s="311"/>
      <c r="AD198" s="170"/>
      <c r="AH198" s="156"/>
      <c r="AI198" s="302"/>
    </row>
    <row r="199" spans="1:36">
      <c r="A199" s="154"/>
      <c r="B199" s="167" t="s">
        <v>887</v>
      </c>
      <c r="C199" s="307" t="s">
        <v>916</v>
      </c>
      <c r="D199" s="307"/>
      <c r="E199" s="167" t="s">
        <v>857</v>
      </c>
      <c r="F199" s="307" t="s">
        <v>889</v>
      </c>
      <c r="G199" s="307"/>
      <c r="H199" s="307"/>
      <c r="I199" s="307"/>
      <c r="J199" s="307"/>
      <c r="K199" s="307"/>
      <c r="L199" s="307" t="s">
        <v>855</v>
      </c>
      <c r="M199" s="307" t="str">
        <f>AI199</f>
        <v>CK051</v>
      </c>
      <c r="N199" s="307"/>
      <c r="O199" s="307"/>
      <c r="P199" s="307" t="str">
        <f>AJ199</f>
        <v>カード一般/会員区分</v>
      </c>
      <c r="Q199" s="307"/>
      <c r="R199" s="307"/>
      <c r="S199" s="307"/>
      <c r="T199" s="307"/>
      <c r="U199" s="307"/>
      <c r="V199" s="307"/>
      <c r="W199" s="307"/>
      <c r="X199" s="307"/>
      <c r="Y199" s="307"/>
      <c r="Z199" s="307"/>
      <c r="AA199" s="307"/>
      <c r="AB199" s="307"/>
      <c r="AC199" s="307" t="s">
        <v>896</v>
      </c>
      <c r="AD199" s="153"/>
      <c r="AH199" s="156"/>
      <c r="AI199" s="302" t="s">
        <v>917</v>
      </c>
      <c r="AJ199" s="308" t="s">
        <v>918</v>
      </c>
    </row>
    <row r="200" spans="1:36">
      <c r="A200" s="154"/>
      <c r="B200" s="168"/>
      <c r="C200" s="311"/>
      <c r="D200" s="311"/>
      <c r="E200" s="168"/>
      <c r="F200" s="311" t="s">
        <v>893</v>
      </c>
      <c r="G200" s="311"/>
      <c r="H200" s="311"/>
      <c r="I200" s="311"/>
      <c r="J200" s="311"/>
      <c r="K200" s="311"/>
      <c r="L200" s="311" t="s">
        <v>855</v>
      </c>
      <c r="M200" s="311" t="s">
        <v>919</v>
      </c>
      <c r="N200" s="311"/>
      <c r="O200" s="311"/>
      <c r="P200" s="311"/>
      <c r="Q200" s="311"/>
      <c r="R200" s="311"/>
      <c r="S200" s="311"/>
      <c r="T200" s="311"/>
      <c r="U200" s="311"/>
      <c r="V200" s="311"/>
      <c r="W200" s="311"/>
      <c r="X200" s="311"/>
      <c r="Y200" s="311"/>
      <c r="Z200" s="311"/>
      <c r="AA200" s="311"/>
      <c r="AB200" s="311"/>
      <c r="AC200" s="311"/>
      <c r="AD200" s="170"/>
      <c r="AH200" s="156"/>
      <c r="AI200" s="302"/>
    </row>
    <row r="201" spans="1:36">
      <c r="A201" s="154"/>
      <c r="B201" s="167" t="s">
        <v>887</v>
      </c>
      <c r="C201" s="307" t="s">
        <v>920</v>
      </c>
      <c r="D201" s="307"/>
      <c r="E201" s="167" t="s">
        <v>857</v>
      </c>
      <c r="F201" s="307" t="s">
        <v>889</v>
      </c>
      <c r="G201" s="307"/>
      <c r="H201" s="307"/>
      <c r="I201" s="307"/>
      <c r="J201" s="307"/>
      <c r="K201" s="307"/>
      <c r="L201" s="307" t="s">
        <v>855</v>
      </c>
      <c r="M201" s="307" t="str">
        <f>AI201</f>
        <v>CK154</v>
      </c>
      <c r="N201" s="307"/>
      <c r="O201" s="307"/>
      <c r="P201" s="307" t="str">
        <f>AJ201</f>
        <v>導入システム区分</v>
      </c>
      <c r="Q201" s="307"/>
      <c r="R201" s="307"/>
      <c r="S201" s="307"/>
      <c r="T201" s="307"/>
      <c r="U201" s="307"/>
      <c r="V201" s="307"/>
      <c r="W201" s="307"/>
      <c r="X201" s="307"/>
      <c r="Y201" s="307"/>
      <c r="Z201" s="307"/>
      <c r="AA201" s="307"/>
      <c r="AB201" s="307"/>
      <c r="AC201" s="307" t="s">
        <v>896</v>
      </c>
      <c r="AD201" s="153"/>
      <c r="AH201" s="156"/>
      <c r="AI201" s="302" t="s">
        <v>921</v>
      </c>
      <c r="AJ201" s="308" t="s">
        <v>922</v>
      </c>
    </row>
    <row r="202" spans="1:36">
      <c r="A202" s="154"/>
      <c r="B202" s="168"/>
      <c r="C202" s="311"/>
      <c r="D202" s="311"/>
      <c r="E202" s="168"/>
      <c r="F202" s="311" t="s">
        <v>893</v>
      </c>
      <c r="G202" s="311"/>
      <c r="H202" s="311"/>
      <c r="I202" s="311"/>
      <c r="J202" s="311"/>
      <c r="K202" s="311"/>
      <c r="L202" s="311" t="s">
        <v>855</v>
      </c>
      <c r="M202" s="311" t="s">
        <v>923</v>
      </c>
      <c r="N202" s="311"/>
      <c r="O202" s="311"/>
      <c r="P202" s="311"/>
      <c r="Q202" s="311"/>
      <c r="R202" s="311"/>
      <c r="S202" s="311"/>
      <c r="T202" s="311"/>
      <c r="U202" s="311"/>
      <c r="V202" s="311"/>
      <c r="W202" s="311"/>
      <c r="X202" s="311"/>
      <c r="Y202" s="311"/>
      <c r="Z202" s="311"/>
      <c r="AA202" s="311"/>
      <c r="AB202" s="311"/>
      <c r="AC202" s="311"/>
      <c r="AD202" s="170"/>
      <c r="AH202" s="156"/>
      <c r="AI202" s="302"/>
    </row>
    <row r="203" spans="1:36">
      <c r="A203" s="154"/>
      <c r="B203" s="167" t="s">
        <v>887</v>
      </c>
      <c r="C203" s="307" t="s">
        <v>924</v>
      </c>
      <c r="D203" s="307"/>
      <c r="E203" s="167" t="s">
        <v>857</v>
      </c>
      <c r="F203" s="307" t="s">
        <v>889</v>
      </c>
      <c r="G203" s="307"/>
      <c r="H203" s="307"/>
      <c r="I203" s="307"/>
      <c r="J203" s="307"/>
      <c r="K203" s="307"/>
      <c r="L203" s="307" t="s">
        <v>855</v>
      </c>
      <c r="M203" s="183" t="str">
        <f>AI203</f>
        <v>CK127</v>
      </c>
      <c r="N203" s="183"/>
      <c r="O203" s="183"/>
      <c r="P203" s="183" t="str">
        <f>AJ203</f>
        <v>カード種別CD</v>
      </c>
      <c r="Q203" s="183"/>
      <c r="R203" s="183"/>
      <c r="S203" s="183"/>
      <c r="T203" s="183"/>
      <c r="U203" s="183"/>
      <c r="V203" s="183"/>
      <c r="W203" s="183"/>
      <c r="X203" s="307"/>
      <c r="Y203" s="307"/>
      <c r="Z203" s="307"/>
      <c r="AA203" s="307"/>
      <c r="AB203" s="307"/>
      <c r="AC203" s="307" t="s">
        <v>896</v>
      </c>
      <c r="AD203" s="153"/>
      <c r="AH203" s="156"/>
      <c r="AI203" s="302" t="s">
        <v>1006</v>
      </c>
      <c r="AJ203" s="308" t="s">
        <v>1007</v>
      </c>
    </row>
    <row r="204" spans="1:36">
      <c r="A204" s="154"/>
      <c r="B204" s="168"/>
      <c r="C204" s="311"/>
      <c r="D204" s="311"/>
      <c r="E204" s="168"/>
      <c r="F204" s="311" t="s">
        <v>893</v>
      </c>
      <c r="G204" s="311"/>
      <c r="H204" s="311"/>
      <c r="I204" s="311"/>
      <c r="J204" s="311"/>
      <c r="K204" s="311"/>
      <c r="L204" s="311" t="s">
        <v>855</v>
      </c>
      <c r="M204" s="311" t="s">
        <v>925</v>
      </c>
      <c r="N204" s="311"/>
      <c r="O204" s="311"/>
      <c r="P204" s="311"/>
      <c r="Q204" s="311"/>
      <c r="R204" s="311"/>
      <c r="S204" s="311"/>
      <c r="T204" s="311"/>
      <c r="U204" s="311"/>
      <c r="V204" s="311"/>
      <c r="W204" s="311"/>
      <c r="X204" s="311"/>
      <c r="Y204" s="311"/>
      <c r="Z204" s="311"/>
      <c r="AA204" s="311"/>
      <c r="AB204" s="311"/>
      <c r="AC204" s="311"/>
      <c r="AD204" s="170"/>
      <c r="AH204" s="156"/>
      <c r="AI204" s="302"/>
    </row>
    <row r="205" spans="1:36">
      <c r="A205" s="154"/>
      <c r="B205" s="167" t="s">
        <v>887</v>
      </c>
      <c r="C205" s="307" t="s">
        <v>926</v>
      </c>
      <c r="D205" s="307"/>
      <c r="E205" s="167" t="s">
        <v>857</v>
      </c>
      <c r="F205" s="307" t="s">
        <v>889</v>
      </c>
      <c r="G205" s="307"/>
      <c r="H205" s="307"/>
      <c r="I205" s="307"/>
      <c r="J205" s="307"/>
      <c r="K205" s="307"/>
      <c r="L205" s="307" t="s">
        <v>855</v>
      </c>
      <c r="M205" s="307" t="str">
        <f>AI205</f>
        <v>CK191</v>
      </c>
      <c r="N205" s="307"/>
      <c r="O205" s="307"/>
      <c r="P205" s="307" t="str">
        <f>AJ205</f>
        <v>タイプ(ヒューテックTYPE A)</v>
      </c>
      <c r="Q205" s="307"/>
      <c r="R205" s="307"/>
      <c r="S205" s="307"/>
      <c r="T205" s="307"/>
      <c r="U205" s="307"/>
      <c r="V205" s="307"/>
      <c r="W205" s="307"/>
      <c r="X205" s="307"/>
      <c r="Y205" s="307"/>
      <c r="Z205" s="307"/>
      <c r="AA205" s="307"/>
      <c r="AB205" s="307"/>
      <c r="AC205" s="307" t="s">
        <v>896</v>
      </c>
      <c r="AD205" s="153"/>
      <c r="AH205" s="156"/>
      <c r="AI205" s="302" t="s">
        <v>927</v>
      </c>
      <c r="AJ205" s="308" t="s">
        <v>928</v>
      </c>
    </row>
    <row r="206" spans="1:36">
      <c r="A206" s="154"/>
      <c r="B206" s="168"/>
      <c r="C206" s="311"/>
      <c r="D206" s="311"/>
      <c r="E206" s="168"/>
      <c r="F206" s="311" t="s">
        <v>893</v>
      </c>
      <c r="G206" s="311"/>
      <c r="H206" s="311"/>
      <c r="I206" s="311"/>
      <c r="J206" s="311"/>
      <c r="K206" s="311"/>
      <c r="L206" s="311" t="s">
        <v>855</v>
      </c>
      <c r="M206" s="311" t="s">
        <v>929</v>
      </c>
      <c r="N206" s="311"/>
      <c r="O206" s="311"/>
      <c r="P206" s="311"/>
      <c r="Q206" s="311"/>
      <c r="R206" s="311"/>
      <c r="S206" s="311"/>
      <c r="T206" s="311"/>
      <c r="U206" s="311"/>
      <c r="V206" s="311"/>
      <c r="W206" s="311"/>
      <c r="X206" s="311"/>
      <c r="Y206" s="311"/>
      <c r="Z206" s="311"/>
      <c r="AA206" s="311"/>
      <c r="AB206" s="311"/>
      <c r="AC206" s="311"/>
      <c r="AD206" s="170"/>
      <c r="AH206" s="156"/>
      <c r="AI206" s="302"/>
    </row>
    <row r="207" spans="1:36">
      <c r="A207" s="154"/>
      <c r="B207" s="167" t="s">
        <v>887</v>
      </c>
      <c r="C207" s="307" t="s">
        <v>930</v>
      </c>
      <c r="D207" s="307"/>
      <c r="E207" s="167" t="s">
        <v>857</v>
      </c>
      <c r="F207" s="307" t="s">
        <v>889</v>
      </c>
      <c r="G207" s="307"/>
      <c r="H207" s="307"/>
      <c r="I207" s="307"/>
      <c r="J207" s="307"/>
      <c r="K207" s="307"/>
      <c r="L207" s="307" t="s">
        <v>855</v>
      </c>
      <c r="M207" s="307" t="str">
        <f>AI207</f>
        <v>CK198</v>
      </c>
      <c r="N207" s="307"/>
      <c r="O207" s="307"/>
      <c r="P207" s="307" t="str">
        <f>AJ207</f>
        <v>タイプ(ヒューテックTYPE S)</v>
      </c>
      <c r="Q207" s="307"/>
      <c r="R207" s="307"/>
      <c r="S207" s="307"/>
      <c r="T207" s="307"/>
      <c r="U207" s="307"/>
      <c r="V207" s="307"/>
      <c r="W207" s="307"/>
      <c r="X207" s="307"/>
      <c r="Y207" s="307"/>
      <c r="Z207" s="307"/>
      <c r="AA207" s="307"/>
      <c r="AB207" s="307"/>
      <c r="AC207" s="307" t="s">
        <v>896</v>
      </c>
      <c r="AD207" s="153"/>
      <c r="AH207" s="156"/>
      <c r="AI207" s="302" t="s">
        <v>931</v>
      </c>
      <c r="AJ207" s="308" t="s">
        <v>932</v>
      </c>
    </row>
    <row r="208" spans="1:36">
      <c r="A208" s="154"/>
      <c r="B208" s="168"/>
      <c r="C208" s="311"/>
      <c r="D208" s="311"/>
      <c r="E208" s="168"/>
      <c r="F208" s="311" t="s">
        <v>893</v>
      </c>
      <c r="G208" s="311"/>
      <c r="H208" s="311"/>
      <c r="I208" s="311"/>
      <c r="J208" s="311"/>
      <c r="K208" s="311"/>
      <c r="L208" s="311" t="s">
        <v>855</v>
      </c>
      <c r="M208" s="311" t="s">
        <v>929</v>
      </c>
      <c r="N208" s="311"/>
      <c r="O208" s="311"/>
      <c r="P208" s="311"/>
      <c r="Q208" s="311"/>
      <c r="R208" s="311"/>
      <c r="S208" s="311"/>
      <c r="T208" s="311"/>
      <c r="U208" s="311"/>
      <c r="V208" s="311"/>
      <c r="W208" s="311"/>
      <c r="X208" s="311"/>
      <c r="Y208" s="311"/>
      <c r="Z208" s="311"/>
      <c r="AA208" s="311"/>
      <c r="AB208" s="311"/>
      <c r="AC208" s="311"/>
      <c r="AD208" s="170"/>
      <c r="AH208" s="156"/>
      <c r="AI208" s="302"/>
    </row>
    <row r="209" spans="1:36">
      <c r="A209" s="154"/>
      <c r="B209" s="167" t="s">
        <v>887</v>
      </c>
      <c r="C209" s="307" t="s">
        <v>933</v>
      </c>
      <c r="D209" s="307"/>
      <c r="E209" s="167" t="s">
        <v>857</v>
      </c>
      <c r="F209" s="307" t="s">
        <v>889</v>
      </c>
      <c r="G209" s="307"/>
      <c r="H209" s="307"/>
      <c r="I209" s="307"/>
      <c r="J209" s="307"/>
      <c r="K209" s="307"/>
      <c r="L209" s="307" t="s">
        <v>855</v>
      </c>
      <c r="M209" s="307" t="str">
        <f>AI209</f>
        <v>CK062</v>
      </c>
      <c r="N209" s="307"/>
      <c r="O209" s="307"/>
      <c r="P209" s="307" t="str">
        <f>AJ209</f>
        <v>タイプ(大都)</v>
      </c>
      <c r="Q209" s="307"/>
      <c r="R209" s="307"/>
      <c r="S209" s="307"/>
      <c r="T209" s="307"/>
      <c r="U209" s="307"/>
      <c r="V209" s="307"/>
      <c r="W209" s="307"/>
      <c r="X209" s="307"/>
      <c r="Y209" s="307"/>
      <c r="Z209" s="307"/>
      <c r="AA209" s="307"/>
      <c r="AB209" s="307"/>
      <c r="AC209" s="307" t="s">
        <v>896</v>
      </c>
      <c r="AD209" s="153"/>
      <c r="AH209" s="156"/>
      <c r="AI209" s="302" t="s">
        <v>934</v>
      </c>
      <c r="AJ209" s="308" t="s">
        <v>935</v>
      </c>
    </row>
    <row r="210" spans="1:36">
      <c r="A210" s="154"/>
      <c r="B210" s="168"/>
      <c r="C210" s="311"/>
      <c r="D210" s="311"/>
      <c r="E210" s="168"/>
      <c r="F210" s="311" t="s">
        <v>893</v>
      </c>
      <c r="G210" s="311"/>
      <c r="H210" s="311"/>
      <c r="I210" s="311"/>
      <c r="J210" s="311"/>
      <c r="K210" s="311"/>
      <c r="L210" s="311" t="s">
        <v>855</v>
      </c>
      <c r="M210" s="311" t="s">
        <v>929</v>
      </c>
      <c r="N210" s="311"/>
      <c r="O210" s="311"/>
      <c r="P210" s="311"/>
      <c r="Q210" s="311"/>
      <c r="R210" s="311"/>
      <c r="S210" s="311"/>
      <c r="T210" s="311"/>
      <c r="U210" s="311"/>
      <c r="V210" s="311"/>
      <c r="W210" s="311"/>
      <c r="X210" s="311"/>
      <c r="Y210" s="311"/>
      <c r="Z210" s="311"/>
      <c r="AA210" s="311"/>
      <c r="AB210" s="311"/>
      <c r="AC210" s="311"/>
      <c r="AD210" s="170"/>
      <c r="AH210" s="156"/>
      <c r="AI210" s="302"/>
    </row>
    <row r="211" spans="1:36">
      <c r="A211" s="154"/>
      <c r="B211" s="167" t="s">
        <v>887</v>
      </c>
      <c r="C211" s="307" t="s">
        <v>936</v>
      </c>
      <c r="D211" s="307"/>
      <c r="E211" s="167" t="s">
        <v>857</v>
      </c>
      <c r="F211" s="307" t="s">
        <v>889</v>
      </c>
      <c r="G211" s="307"/>
      <c r="H211" s="307"/>
      <c r="I211" s="307"/>
      <c r="J211" s="307"/>
      <c r="K211" s="307"/>
      <c r="L211" s="307" t="s">
        <v>855</v>
      </c>
      <c r="M211" s="307" t="str">
        <f>AI211</f>
        <v>CK063</v>
      </c>
      <c r="N211" s="307"/>
      <c r="O211" s="307"/>
      <c r="P211" s="307" t="str">
        <f>AJ211</f>
        <v>タイプ(アイ電子)</v>
      </c>
      <c r="Q211" s="307"/>
      <c r="R211" s="307"/>
      <c r="S211" s="307"/>
      <c r="T211" s="307"/>
      <c r="U211" s="307"/>
      <c r="V211" s="307"/>
      <c r="W211" s="307"/>
      <c r="X211" s="307"/>
      <c r="Y211" s="307"/>
      <c r="Z211" s="307"/>
      <c r="AA211" s="307"/>
      <c r="AB211" s="307"/>
      <c r="AC211" s="307" t="s">
        <v>896</v>
      </c>
      <c r="AD211" s="153"/>
      <c r="AH211" s="156"/>
      <c r="AI211" s="302" t="s">
        <v>937</v>
      </c>
      <c r="AJ211" s="308" t="s">
        <v>938</v>
      </c>
    </row>
    <row r="212" spans="1:36">
      <c r="A212" s="154"/>
      <c r="B212" s="168"/>
      <c r="C212" s="311"/>
      <c r="D212" s="311"/>
      <c r="E212" s="168"/>
      <c r="F212" s="311" t="s">
        <v>893</v>
      </c>
      <c r="G212" s="311"/>
      <c r="H212" s="311"/>
      <c r="I212" s="311"/>
      <c r="J212" s="311"/>
      <c r="K212" s="311"/>
      <c r="L212" s="311" t="s">
        <v>855</v>
      </c>
      <c r="M212" s="311" t="s">
        <v>929</v>
      </c>
      <c r="N212" s="311"/>
      <c r="O212" s="311"/>
      <c r="P212" s="311"/>
      <c r="Q212" s="311"/>
      <c r="R212" s="311"/>
      <c r="S212" s="311"/>
      <c r="T212" s="311"/>
      <c r="U212" s="311"/>
      <c r="V212" s="311"/>
      <c r="W212" s="311"/>
      <c r="X212" s="311"/>
      <c r="Y212" s="311"/>
      <c r="Z212" s="311"/>
      <c r="AA212" s="311"/>
      <c r="AB212" s="311"/>
      <c r="AC212" s="311"/>
      <c r="AD212" s="170"/>
      <c r="AH212" s="156"/>
      <c r="AI212" s="302"/>
    </row>
    <row r="213" spans="1:36">
      <c r="A213" s="154"/>
      <c r="B213" s="167" t="s">
        <v>887</v>
      </c>
      <c r="C213" s="307" t="s">
        <v>939</v>
      </c>
      <c r="D213" s="307"/>
      <c r="E213" s="167" t="s">
        <v>857</v>
      </c>
      <c r="F213" s="307" t="s">
        <v>889</v>
      </c>
      <c r="G213" s="307"/>
      <c r="H213" s="307"/>
      <c r="I213" s="307"/>
      <c r="J213" s="307"/>
      <c r="K213" s="307"/>
      <c r="L213" s="183" t="s">
        <v>855</v>
      </c>
      <c r="M213" s="183" t="str">
        <f>AI213</f>
        <v>CK117</v>
      </c>
      <c r="N213" s="183"/>
      <c r="O213" s="183"/>
      <c r="P213" s="183" t="str">
        <f>AJ213</f>
        <v>有無区分</v>
      </c>
      <c r="Q213" s="183"/>
      <c r="R213" s="183"/>
      <c r="S213" s="183"/>
      <c r="T213" s="183"/>
      <c r="U213" s="183"/>
      <c r="V213" s="183"/>
      <c r="W213" s="183"/>
      <c r="X213" s="183"/>
      <c r="Y213" s="183"/>
      <c r="Z213" s="183"/>
      <c r="AA213" s="307"/>
      <c r="AB213" s="307"/>
      <c r="AC213" s="307" t="s">
        <v>896</v>
      </c>
      <c r="AD213" s="153"/>
      <c r="AH213" s="156"/>
      <c r="AI213" s="302" t="s">
        <v>1009</v>
      </c>
      <c r="AJ213" s="308" t="s">
        <v>1010</v>
      </c>
    </row>
    <row r="214" spans="1:36">
      <c r="A214" s="154"/>
      <c r="B214" s="168"/>
      <c r="C214" s="311"/>
      <c r="D214" s="311"/>
      <c r="E214" s="168"/>
      <c r="F214" s="311" t="s">
        <v>893</v>
      </c>
      <c r="G214" s="311"/>
      <c r="H214" s="311"/>
      <c r="I214" s="311"/>
      <c r="J214" s="311"/>
      <c r="K214" s="311"/>
      <c r="L214" s="197" t="s">
        <v>855</v>
      </c>
      <c r="M214" s="197" t="s">
        <v>940</v>
      </c>
      <c r="N214" s="197"/>
      <c r="O214" s="197"/>
      <c r="P214" s="197"/>
      <c r="Q214" s="197"/>
      <c r="R214" s="197"/>
      <c r="S214" s="197"/>
      <c r="T214" s="197"/>
      <c r="U214" s="197"/>
      <c r="V214" s="197"/>
      <c r="W214" s="197"/>
      <c r="X214" s="197"/>
      <c r="Y214" s="197"/>
      <c r="Z214" s="197"/>
      <c r="AA214" s="311"/>
      <c r="AB214" s="311"/>
      <c r="AC214" s="311"/>
      <c r="AD214" s="170"/>
      <c r="AH214" s="156"/>
      <c r="AI214" s="302"/>
    </row>
    <row r="215" spans="1:36">
      <c r="A215" s="154"/>
      <c r="D215" s="302"/>
      <c r="M215" s="544"/>
      <c r="N215" s="544"/>
      <c r="O215" s="544"/>
      <c r="AH215" s="156"/>
    </row>
    <row r="216" spans="1:36">
      <c r="A216" s="154"/>
      <c r="D216" s="302"/>
      <c r="AH216" s="156"/>
    </row>
    <row r="217" spans="1:36">
      <c r="A217" s="154"/>
      <c r="B217" s="312" t="s">
        <v>778</v>
      </c>
      <c r="C217" s="315"/>
      <c r="D217" s="314"/>
      <c r="E217" s="315"/>
      <c r="F217" s="315"/>
      <c r="G217" s="315"/>
      <c r="H217" s="315"/>
      <c r="I217" s="315"/>
      <c r="J217" s="315"/>
      <c r="K217" s="315"/>
      <c r="L217" s="315"/>
      <c r="M217" s="547"/>
      <c r="N217" s="547"/>
      <c r="O217" s="547"/>
      <c r="P217" s="315"/>
      <c r="Q217" s="315"/>
      <c r="R217" s="315"/>
      <c r="S217" s="315"/>
      <c r="T217" s="315"/>
      <c r="U217" s="315"/>
      <c r="V217" s="315"/>
      <c r="W217" s="315"/>
      <c r="X217" s="315"/>
      <c r="Y217" s="315"/>
      <c r="Z217" s="315"/>
      <c r="AA217" s="315"/>
      <c r="AB217" s="315"/>
      <c r="AC217" s="315"/>
      <c r="AD217" s="315"/>
      <c r="AE217" s="315"/>
      <c r="AF217" s="315"/>
      <c r="AG217" s="315"/>
      <c r="AH217" s="156"/>
    </row>
    <row r="218" spans="1:36">
      <c r="A218" s="154"/>
      <c r="B218" s="308" t="s">
        <v>1362</v>
      </c>
      <c r="D218" s="302"/>
      <c r="AH218" s="156"/>
    </row>
    <row r="219" spans="1:36">
      <c r="A219" s="154"/>
      <c r="D219" s="302"/>
      <c r="AH219" s="156"/>
    </row>
    <row r="220" spans="1:36">
      <c r="A220" s="154"/>
      <c r="B220" s="316" t="s">
        <v>1367</v>
      </c>
      <c r="D220" s="302"/>
      <c r="AH220" s="156"/>
    </row>
    <row r="221" spans="1:36">
      <c r="A221" s="154"/>
      <c r="C221" s="308" t="s">
        <v>948</v>
      </c>
      <c r="D221" s="302"/>
      <c r="AH221" s="156"/>
      <c r="AJ221" s="308" t="s">
        <v>949</v>
      </c>
    </row>
    <row r="222" spans="1:36">
      <c r="A222" s="154"/>
      <c r="D222" s="302"/>
      <c r="AH222" s="156"/>
    </row>
    <row r="223" spans="1:36">
      <c r="A223" s="154"/>
      <c r="B223" s="316" t="s">
        <v>1361</v>
      </c>
      <c r="D223" s="302"/>
      <c r="AH223" s="156"/>
    </row>
    <row r="224" spans="1:36">
      <c r="A224" s="154"/>
      <c r="B224" s="316"/>
      <c r="C224" s="308" t="s">
        <v>219</v>
      </c>
      <c r="D224" s="302"/>
      <c r="AH224" s="156"/>
    </row>
    <row r="225" spans="1:34">
      <c r="A225" s="154"/>
      <c r="C225" s="308" t="s">
        <v>1360</v>
      </c>
      <c r="D225" s="302"/>
      <c r="L225" s="308" t="s">
        <v>942</v>
      </c>
      <c r="M225" s="308" t="s">
        <v>943</v>
      </c>
      <c r="AH225" s="156"/>
    </row>
    <row r="226" spans="1:34">
      <c r="A226" s="154"/>
      <c r="C226" s="308" t="s">
        <v>1366</v>
      </c>
      <c r="D226" s="302"/>
      <c r="L226" s="308" t="s">
        <v>942</v>
      </c>
      <c r="M226" s="308" t="s">
        <v>947</v>
      </c>
      <c r="AH226" s="156"/>
    </row>
    <row r="227" spans="1:34">
      <c r="A227" s="154"/>
      <c r="D227" s="308" t="s">
        <v>1363</v>
      </c>
      <c r="J227" s="308" t="s">
        <v>944</v>
      </c>
      <c r="AH227" s="156"/>
    </row>
    <row r="228" spans="1:34">
      <c r="A228" s="154"/>
      <c r="D228" s="308" t="s">
        <v>1364</v>
      </c>
      <c r="J228" s="308" t="s">
        <v>945</v>
      </c>
      <c r="AH228" s="156"/>
    </row>
    <row r="229" spans="1:34">
      <c r="A229" s="154"/>
      <c r="D229" s="308" t="s">
        <v>1365</v>
      </c>
      <c r="J229" s="308" t="s">
        <v>946</v>
      </c>
      <c r="AH229" s="156"/>
    </row>
    <row r="230" spans="1:34">
      <c r="A230" s="154"/>
      <c r="D230" s="302"/>
      <c r="AH230" s="156"/>
    </row>
    <row r="231" spans="1:34">
      <c r="A231" s="154"/>
      <c r="B231" s="316" t="s">
        <v>1368</v>
      </c>
      <c r="C231" s="308" t="s">
        <v>219</v>
      </c>
      <c r="D231" s="302"/>
      <c r="AH231" s="156"/>
    </row>
    <row r="232" spans="1:34">
      <c r="A232" s="154"/>
      <c r="D232" s="302"/>
      <c r="AH232" s="156"/>
    </row>
    <row r="233" spans="1:34">
      <c r="A233" s="154"/>
      <c r="AH233" s="156"/>
    </row>
    <row r="234" spans="1:34">
      <c r="A234" s="154"/>
      <c r="AH234" s="156"/>
    </row>
    <row r="235" spans="1:34">
      <c r="A235" s="154"/>
      <c r="AH235" s="156"/>
    </row>
  </sheetData>
  <autoFilter ref="A9:AH235"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141">
    <mergeCell ref="A169:AH169"/>
    <mergeCell ref="M170:O170"/>
    <mergeCell ref="M172:O172"/>
    <mergeCell ref="M215:O215"/>
    <mergeCell ref="M217:O217"/>
    <mergeCell ref="M160:O160"/>
    <mergeCell ref="M161:O161"/>
    <mergeCell ref="M162:O162"/>
    <mergeCell ref="A165:AH165"/>
    <mergeCell ref="M166:O166"/>
    <mergeCell ref="M168:O168"/>
    <mergeCell ref="M154:O154"/>
    <mergeCell ref="M155:O155"/>
    <mergeCell ref="M156:O156"/>
    <mergeCell ref="M157:O157"/>
    <mergeCell ref="M158:O158"/>
    <mergeCell ref="M159:O159"/>
    <mergeCell ref="M148:O148"/>
    <mergeCell ref="M149:O149"/>
    <mergeCell ref="M150:O150"/>
    <mergeCell ref="M151:O151"/>
    <mergeCell ref="M152:O152"/>
    <mergeCell ref="M153:O153"/>
    <mergeCell ref="M96:O96"/>
    <mergeCell ref="M97:O97"/>
    <mergeCell ref="A143:AH143"/>
    <mergeCell ref="M144:O144"/>
    <mergeCell ref="M145:O145"/>
    <mergeCell ref="M146:O146"/>
    <mergeCell ref="M90:O90"/>
    <mergeCell ref="M91:O91"/>
    <mergeCell ref="M92:O92"/>
    <mergeCell ref="M93:O93"/>
    <mergeCell ref="M94:O94"/>
    <mergeCell ref="A95:AH95"/>
    <mergeCell ref="M84:O84"/>
    <mergeCell ref="M85:O85"/>
    <mergeCell ref="M86:O86"/>
    <mergeCell ref="M87:O87"/>
    <mergeCell ref="M88:O88"/>
    <mergeCell ref="M89:O89"/>
    <mergeCell ref="M78:O78"/>
    <mergeCell ref="M79:O79"/>
    <mergeCell ref="M80:O80"/>
    <mergeCell ref="M81:O81"/>
    <mergeCell ref="M82:O82"/>
    <mergeCell ref="M83:O83"/>
    <mergeCell ref="M72:O72"/>
    <mergeCell ref="M73:O73"/>
    <mergeCell ref="M74:O74"/>
    <mergeCell ref="M75:O75"/>
    <mergeCell ref="M76:O76"/>
    <mergeCell ref="M77:O77"/>
    <mergeCell ref="M66:O66"/>
    <mergeCell ref="M67:O67"/>
    <mergeCell ref="M68:O68"/>
    <mergeCell ref="M69:O69"/>
    <mergeCell ref="M70:O70"/>
    <mergeCell ref="M71:O71"/>
    <mergeCell ref="M60:O60"/>
    <mergeCell ref="M61:O61"/>
    <mergeCell ref="M62:O62"/>
    <mergeCell ref="M63:O63"/>
    <mergeCell ref="M64:O64"/>
    <mergeCell ref="M65:O65"/>
    <mergeCell ref="M54:O54"/>
    <mergeCell ref="M55:O55"/>
    <mergeCell ref="M56:O56"/>
    <mergeCell ref="M57:O57"/>
    <mergeCell ref="M58:O58"/>
    <mergeCell ref="M59:O59"/>
    <mergeCell ref="M48:O48"/>
    <mergeCell ref="M49:O49"/>
    <mergeCell ref="M50:O50"/>
    <mergeCell ref="M51:O51"/>
    <mergeCell ref="M52:O52"/>
    <mergeCell ref="M53:O53"/>
    <mergeCell ref="M42:O42"/>
    <mergeCell ref="M43:O43"/>
    <mergeCell ref="M44:O44"/>
    <mergeCell ref="M45:O45"/>
    <mergeCell ref="M46:O46"/>
    <mergeCell ref="M47:O47"/>
    <mergeCell ref="M36:O36"/>
    <mergeCell ref="M37:O37"/>
    <mergeCell ref="M38:O38"/>
    <mergeCell ref="M39:O39"/>
    <mergeCell ref="M40:O40"/>
    <mergeCell ref="M41:O41"/>
    <mergeCell ref="M30:O30"/>
    <mergeCell ref="M31:O31"/>
    <mergeCell ref="M32:O32"/>
    <mergeCell ref="M33:O33"/>
    <mergeCell ref="M34:O34"/>
    <mergeCell ref="M35:O35"/>
    <mergeCell ref="M24:O24"/>
    <mergeCell ref="M25:O25"/>
    <mergeCell ref="M26:O26"/>
    <mergeCell ref="M27:O27"/>
    <mergeCell ref="M28:O28"/>
    <mergeCell ref="M29:O29"/>
    <mergeCell ref="M18:O18"/>
    <mergeCell ref="M19:O19"/>
    <mergeCell ref="M20:O20"/>
    <mergeCell ref="M21:O21"/>
    <mergeCell ref="M22:O22"/>
    <mergeCell ref="M23:O23"/>
    <mergeCell ref="M12:O12"/>
    <mergeCell ref="M13:O13"/>
    <mergeCell ref="M14:O14"/>
    <mergeCell ref="M15:O15"/>
    <mergeCell ref="M16:O16"/>
    <mergeCell ref="M17:O17"/>
    <mergeCell ref="K8:O8"/>
    <mergeCell ref="P8:AA9"/>
    <mergeCell ref="AB8:AH9"/>
    <mergeCell ref="M9:O9"/>
    <mergeCell ref="M10:O10"/>
    <mergeCell ref="M11:O11"/>
    <mergeCell ref="A6:B6"/>
    <mergeCell ref="C6:D6"/>
    <mergeCell ref="E6:F6"/>
    <mergeCell ref="G6:AH6"/>
    <mergeCell ref="A8:A9"/>
    <mergeCell ref="B8:C9"/>
    <mergeCell ref="D8:D9"/>
    <mergeCell ref="E8:E9"/>
    <mergeCell ref="F8:H8"/>
    <mergeCell ref="J8:J9"/>
    <mergeCell ref="AC1:AH1"/>
    <mergeCell ref="A4:B4"/>
    <mergeCell ref="M4:Q4"/>
    <mergeCell ref="R4:W4"/>
    <mergeCell ref="X4:AB4"/>
    <mergeCell ref="AC4:AH4"/>
    <mergeCell ref="A1:B1"/>
    <mergeCell ref="C1:D1"/>
    <mergeCell ref="E1:L4"/>
    <mergeCell ref="M1:Q1"/>
    <mergeCell ref="R1:W1"/>
    <mergeCell ref="X1:AB1"/>
  </mergeCells>
  <phoneticPr fontId="15"/>
  <dataValidations count="1">
    <dataValidation imeMode="on" allowBlank="1" showInputMessage="1" showErrorMessage="1" sqref="C10:C94 C138:C168 C96:C113 C170:C171 D128:D132 C117:C127 D137 C133:C136 C215:C235" xr:uid="{053D5F3B-1CD9-4EEA-B013-AE42E9AD4443}"/>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5694A-5824-4E73-8D39-FD49FD482FAD}">
  <sheetPr>
    <tabColor rgb="FFFFFF00"/>
    <pageSetUpPr fitToPage="1"/>
  </sheetPr>
  <dimension ref="A1:AL103"/>
  <sheetViews>
    <sheetView showGridLines="0" tabSelected="1" view="pageBreakPreview" zoomScale="85" zoomScaleNormal="70" zoomScaleSheetLayoutView="85" workbookViewId="0">
      <pane ySplit="6" topLeftCell="A7" activePane="bottomLeft" state="frozen"/>
      <selection pane="bottomLeft" activeCell="AK14" sqref="AK14"/>
    </sheetView>
  </sheetViews>
  <sheetFormatPr defaultColWidth="9" defaultRowHeight="15.75"/>
  <cols>
    <col min="1" max="1" width="4.375" style="358" customWidth="1"/>
    <col min="2" max="2" width="29.75" style="358" bestFit="1" customWidth="1"/>
    <col min="3" max="3" width="19.375" style="358" customWidth="1"/>
    <col min="4" max="5" width="9" style="358" customWidth="1"/>
    <col min="6" max="6" width="5.875" style="358" customWidth="1"/>
    <col min="7" max="7" width="3.875" style="358" customWidth="1"/>
    <col min="8" max="8" width="9" style="358" customWidth="1"/>
    <col min="9" max="9" width="1.125" style="358" customWidth="1"/>
    <col min="10" max="10" width="9" style="358" customWidth="1"/>
    <col min="11" max="11" width="11.75" style="358" customWidth="1"/>
    <col min="12" max="12" width="9" style="358" customWidth="1"/>
    <col min="13" max="34" width="3.125" style="358" customWidth="1"/>
    <col min="35" max="35" width="9" style="358"/>
    <col min="36" max="36" width="21.75" style="358" customWidth="1"/>
    <col min="37" max="37" width="28.125" style="358" customWidth="1"/>
    <col min="38" max="38" width="28.25" style="358" customWidth="1"/>
    <col min="39" max="16384" width="9" style="358"/>
  </cols>
  <sheetData>
    <row r="1" spans="1:38" ht="15.75" customHeight="1">
      <c r="A1" s="578"/>
      <c r="B1" s="578"/>
      <c r="C1" s="580"/>
      <c r="D1" s="580"/>
      <c r="E1" s="581"/>
      <c r="F1" s="581"/>
      <c r="G1" s="581"/>
      <c r="H1" s="581"/>
      <c r="I1" s="581"/>
      <c r="J1" s="581"/>
      <c r="K1" s="581"/>
      <c r="L1" s="581"/>
      <c r="M1" s="578"/>
      <c r="N1" s="578"/>
      <c r="O1" s="578"/>
      <c r="P1" s="578"/>
      <c r="Q1" s="578"/>
      <c r="R1" s="582"/>
      <c r="S1" s="577"/>
      <c r="T1" s="577"/>
      <c r="U1" s="577"/>
      <c r="V1" s="577"/>
      <c r="W1" s="577"/>
      <c r="X1" s="578"/>
      <c r="Y1" s="578"/>
      <c r="Z1" s="578"/>
      <c r="AA1" s="578"/>
      <c r="AB1" s="578"/>
      <c r="AC1" s="577"/>
      <c r="AD1" s="577"/>
      <c r="AE1" s="577"/>
      <c r="AF1" s="577"/>
      <c r="AG1" s="577"/>
      <c r="AH1" s="577"/>
    </row>
    <row r="2" spans="1:38" ht="15.75" customHeight="1">
      <c r="A2" s="359"/>
      <c r="B2" s="359"/>
      <c r="C2" s="360"/>
      <c r="D2" s="360"/>
      <c r="E2" s="581"/>
      <c r="F2" s="581"/>
      <c r="G2" s="581"/>
      <c r="H2" s="581"/>
      <c r="I2" s="581"/>
      <c r="J2" s="581"/>
      <c r="K2" s="581"/>
      <c r="L2" s="581"/>
      <c r="M2" s="359"/>
      <c r="N2" s="359"/>
      <c r="O2" s="359"/>
      <c r="P2" s="359"/>
      <c r="Q2" s="359"/>
      <c r="R2" s="361"/>
      <c r="S2" s="362"/>
      <c r="T2" s="362"/>
      <c r="U2" s="362"/>
      <c r="V2" s="362"/>
      <c r="W2" s="362"/>
      <c r="X2" s="359"/>
      <c r="Y2" s="359"/>
      <c r="Z2" s="359"/>
      <c r="AA2" s="359"/>
      <c r="AB2" s="359"/>
      <c r="AC2" s="362"/>
      <c r="AD2" s="362"/>
      <c r="AE2" s="362"/>
      <c r="AF2" s="362"/>
      <c r="AG2" s="362"/>
      <c r="AH2" s="362"/>
    </row>
    <row r="3" spans="1:38" ht="15.75" customHeight="1">
      <c r="A3" s="359"/>
      <c r="B3" s="359"/>
      <c r="C3" s="360"/>
      <c r="D3" s="360"/>
      <c r="E3" s="581"/>
      <c r="F3" s="581"/>
      <c r="G3" s="581"/>
      <c r="H3" s="581"/>
      <c r="I3" s="581"/>
      <c r="J3" s="581"/>
      <c r="K3" s="581"/>
      <c r="L3" s="581"/>
      <c r="M3" s="359"/>
      <c r="N3" s="359"/>
      <c r="O3" s="359"/>
      <c r="P3" s="359"/>
      <c r="Q3" s="359"/>
      <c r="R3" s="361"/>
      <c r="S3" s="362"/>
      <c r="T3" s="362"/>
      <c r="U3" s="362"/>
      <c r="V3" s="362"/>
      <c r="W3" s="362"/>
      <c r="X3" s="359"/>
      <c r="Y3" s="359"/>
      <c r="Z3" s="359"/>
      <c r="AA3" s="359"/>
      <c r="AB3" s="359"/>
      <c r="AC3" s="362"/>
      <c r="AD3" s="362"/>
      <c r="AE3" s="362"/>
      <c r="AF3" s="362"/>
      <c r="AG3" s="362"/>
      <c r="AH3" s="362"/>
    </row>
    <row r="4" spans="1:38" ht="15.75" customHeight="1">
      <c r="A4" s="578"/>
      <c r="B4" s="578"/>
      <c r="C4" s="362"/>
      <c r="E4" s="581"/>
      <c r="F4" s="581"/>
      <c r="G4" s="581"/>
      <c r="H4" s="581"/>
      <c r="I4" s="581"/>
      <c r="J4" s="581"/>
      <c r="K4" s="581"/>
      <c r="L4" s="581"/>
      <c r="M4" s="578"/>
      <c r="N4" s="578"/>
      <c r="O4" s="578"/>
      <c r="P4" s="578"/>
      <c r="Q4" s="578"/>
      <c r="R4" s="579"/>
      <c r="S4" s="577"/>
      <c r="T4" s="577"/>
      <c r="U4" s="577"/>
      <c r="V4" s="577"/>
      <c r="W4" s="577"/>
      <c r="X4" s="578"/>
      <c r="Y4" s="578"/>
      <c r="Z4" s="578"/>
      <c r="AA4" s="578"/>
      <c r="AB4" s="578"/>
      <c r="AC4" s="577"/>
      <c r="AD4" s="577"/>
      <c r="AE4" s="577"/>
      <c r="AF4" s="577"/>
      <c r="AG4" s="577"/>
      <c r="AH4" s="577"/>
    </row>
    <row r="5" spans="1:38" ht="5.25" customHeight="1"/>
    <row r="6" spans="1:38">
      <c r="A6" s="559" t="s">
        <v>20</v>
      </c>
      <c r="B6" s="560"/>
      <c r="C6" s="561" t="s">
        <v>1370</v>
      </c>
      <c r="D6" s="562"/>
      <c r="E6" s="563" t="s">
        <v>21</v>
      </c>
      <c r="F6" s="563"/>
      <c r="G6" s="564" t="s">
        <v>1371</v>
      </c>
      <c r="H6" s="565"/>
      <c r="I6" s="565"/>
      <c r="J6" s="565"/>
      <c r="K6" s="565"/>
      <c r="L6" s="565"/>
      <c r="M6" s="565"/>
      <c r="N6" s="565"/>
      <c r="O6" s="565"/>
      <c r="P6" s="565"/>
      <c r="Q6" s="565"/>
      <c r="R6" s="565"/>
      <c r="S6" s="565"/>
      <c r="T6" s="565"/>
      <c r="U6" s="565"/>
      <c r="V6" s="565"/>
      <c r="W6" s="565"/>
      <c r="X6" s="565"/>
      <c r="Y6" s="565"/>
      <c r="Z6" s="565"/>
      <c r="AA6" s="565"/>
      <c r="AB6" s="565"/>
      <c r="AC6" s="565"/>
      <c r="AD6" s="565"/>
      <c r="AE6" s="565"/>
      <c r="AF6" s="565"/>
      <c r="AG6" s="565"/>
      <c r="AH6" s="566"/>
    </row>
    <row r="7" spans="1:38" ht="5.25" customHeight="1"/>
    <row r="8" spans="1:38">
      <c r="A8" s="567" t="s">
        <v>22</v>
      </c>
      <c r="B8" s="567" t="s">
        <v>23</v>
      </c>
      <c r="C8" s="567"/>
      <c r="D8" s="567" t="s">
        <v>24</v>
      </c>
      <c r="E8" s="569" t="s">
        <v>25</v>
      </c>
      <c r="F8" s="567" t="s">
        <v>26</v>
      </c>
      <c r="G8" s="567"/>
      <c r="H8" s="567"/>
      <c r="I8" s="363"/>
      <c r="J8" s="571" t="s">
        <v>27</v>
      </c>
      <c r="K8" s="567" t="s">
        <v>28</v>
      </c>
      <c r="L8" s="567"/>
      <c r="M8" s="567"/>
      <c r="N8" s="567"/>
      <c r="O8" s="567"/>
      <c r="P8" s="573" t="s">
        <v>29</v>
      </c>
      <c r="Q8" s="573"/>
      <c r="R8" s="573"/>
      <c r="S8" s="573"/>
      <c r="T8" s="573"/>
      <c r="U8" s="573"/>
      <c r="V8" s="573"/>
      <c r="W8" s="573"/>
      <c r="X8" s="573"/>
      <c r="Y8" s="573"/>
      <c r="Z8" s="573"/>
      <c r="AA8" s="573"/>
      <c r="AB8" s="573" t="s">
        <v>30</v>
      </c>
      <c r="AC8" s="573"/>
      <c r="AD8" s="573"/>
      <c r="AE8" s="573"/>
      <c r="AF8" s="573"/>
      <c r="AG8" s="573"/>
      <c r="AH8" s="573"/>
    </row>
    <row r="9" spans="1:38" ht="16.5" thickBot="1">
      <c r="A9" s="568"/>
      <c r="B9" s="568"/>
      <c r="C9" s="568"/>
      <c r="D9" s="568"/>
      <c r="E9" s="570"/>
      <c r="F9" s="364" t="s">
        <v>31</v>
      </c>
      <c r="G9" s="365" t="s">
        <v>32</v>
      </c>
      <c r="H9" s="366" t="s">
        <v>33</v>
      </c>
      <c r="I9" s="367"/>
      <c r="J9" s="572"/>
      <c r="K9" s="364" t="s">
        <v>34</v>
      </c>
      <c r="L9" s="365" t="s">
        <v>35</v>
      </c>
      <c r="M9" s="575" t="s">
        <v>36</v>
      </c>
      <c r="N9" s="575"/>
      <c r="O9" s="576"/>
      <c r="P9" s="574"/>
      <c r="Q9" s="574"/>
      <c r="R9" s="574"/>
      <c r="S9" s="574"/>
      <c r="T9" s="574"/>
      <c r="U9" s="574"/>
      <c r="V9" s="574"/>
      <c r="W9" s="574"/>
      <c r="X9" s="574"/>
      <c r="Y9" s="574"/>
      <c r="Z9" s="574"/>
      <c r="AA9" s="574"/>
      <c r="AB9" s="574"/>
      <c r="AC9" s="574"/>
      <c r="AD9" s="574"/>
      <c r="AE9" s="574"/>
      <c r="AF9" s="574"/>
      <c r="AG9" s="574"/>
      <c r="AH9" s="574"/>
    </row>
    <row r="10" spans="1:38" ht="33.75" thickTop="1">
      <c r="A10" s="368">
        <f>+IF(C10&lt;&gt;"",ROW()-9,"")</f>
        <v>1</v>
      </c>
      <c r="B10" s="369" t="s">
        <v>1372</v>
      </c>
      <c r="C10" s="369" t="s">
        <v>1373</v>
      </c>
      <c r="D10" s="370" t="b">
        <v>0</v>
      </c>
      <c r="E10" s="371">
        <v>1</v>
      </c>
      <c r="F10" s="371">
        <v>16</v>
      </c>
      <c r="G10" s="371">
        <v>0</v>
      </c>
      <c r="H10" s="371">
        <v>0</v>
      </c>
      <c r="I10" s="368"/>
      <c r="J10" s="372" t="s">
        <v>1017</v>
      </c>
      <c r="K10" s="371"/>
      <c r="L10" s="371"/>
      <c r="M10" s="556"/>
      <c r="N10" s="556"/>
      <c r="O10" s="556"/>
      <c r="P10" s="373" t="s">
        <v>1331</v>
      </c>
      <c r="Q10" s="373"/>
      <c r="R10" s="373"/>
      <c r="S10" s="373"/>
      <c r="T10" s="373"/>
      <c r="U10" s="373"/>
      <c r="V10" s="373"/>
      <c r="W10" s="373"/>
      <c r="X10" s="373"/>
      <c r="Y10" s="373"/>
      <c r="Z10" s="373"/>
      <c r="AA10" s="373"/>
      <c r="AB10" s="374"/>
      <c r="AC10" s="373"/>
      <c r="AD10" s="373"/>
      <c r="AE10" s="373"/>
      <c r="AF10" s="373"/>
      <c r="AG10" s="373"/>
      <c r="AH10" s="372"/>
      <c r="AJ10" s="375" t="s">
        <v>1374</v>
      </c>
      <c r="AK10" s="415" t="s">
        <v>1451</v>
      </c>
      <c r="AL10" s="358" t="s">
        <v>1375</v>
      </c>
    </row>
    <row r="11" spans="1:38" ht="31.5">
      <c r="A11" s="371">
        <f t="shared" ref="A11:A15" si="0">+IF(C11&lt;&gt;"",ROW()-9,"")</f>
        <v>2</v>
      </c>
      <c r="B11" s="371" t="s">
        <v>232</v>
      </c>
      <c r="C11" s="371" t="s">
        <v>1243</v>
      </c>
      <c r="D11" s="370" t="b">
        <v>1</v>
      </c>
      <c r="E11" s="371">
        <v>0</v>
      </c>
      <c r="F11" s="371">
        <v>120</v>
      </c>
      <c r="G11" s="371">
        <v>0</v>
      </c>
      <c r="H11" s="371">
        <v>0</v>
      </c>
      <c r="I11" s="368"/>
      <c r="J11" s="372" t="s">
        <v>131</v>
      </c>
      <c r="K11" s="371"/>
      <c r="L11" s="371"/>
      <c r="M11" s="556"/>
      <c r="N11" s="556"/>
      <c r="O11" s="556"/>
      <c r="P11" s="368"/>
      <c r="Q11" s="373"/>
      <c r="R11" s="373"/>
      <c r="S11" s="373"/>
      <c r="T11" s="373"/>
      <c r="U11" s="373"/>
      <c r="V11" s="373"/>
      <c r="W11" s="373"/>
      <c r="X11" s="373"/>
      <c r="Y11" s="373"/>
      <c r="Z11" s="373"/>
      <c r="AA11" s="373"/>
      <c r="AB11" s="368"/>
      <c r="AC11" s="373"/>
      <c r="AD11" s="373"/>
      <c r="AE11" s="373"/>
      <c r="AF11" s="373"/>
      <c r="AG11" s="373"/>
      <c r="AH11" s="372"/>
      <c r="AJ11" s="375" t="s">
        <v>1374</v>
      </c>
      <c r="AK11" s="375" t="s">
        <v>1376</v>
      </c>
    </row>
    <row r="12" spans="1:38">
      <c r="A12" s="371">
        <f t="shared" si="0"/>
        <v>3</v>
      </c>
      <c r="B12" s="371" t="s">
        <v>1377</v>
      </c>
      <c r="C12" s="371" t="s">
        <v>1378</v>
      </c>
      <c r="D12" s="370" t="b">
        <v>1</v>
      </c>
      <c r="E12" s="371">
        <v>0</v>
      </c>
      <c r="F12" s="371">
        <v>10</v>
      </c>
      <c r="G12" s="371">
        <v>0</v>
      </c>
      <c r="H12" s="371">
        <v>0</v>
      </c>
      <c r="I12" s="368"/>
      <c r="J12" s="372" t="s">
        <v>129</v>
      </c>
      <c r="K12" s="371"/>
      <c r="L12" s="371"/>
      <c r="M12" s="556"/>
      <c r="N12" s="556"/>
      <c r="O12" s="556"/>
      <c r="P12" s="368" t="s">
        <v>1379</v>
      </c>
      <c r="Q12" s="373"/>
      <c r="R12" s="373"/>
      <c r="S12" s="373"/>
      <c r="T12" s="373"/>
      <c r="U12" s="373"/>
      <c r="V12" s="373"/>
      <c r="W12" s="373"/>
      <c r="X12" s="373"/>
      <c r="Y12" s="373"/>
      <c r="Z12" s="373"/>
      <c r="AA12" s="373"/>
      <c r="AB12" s="368"/>
      <c r="AC12" s="373"/>
      <c r="AD12" s="373"/>
      <c r="AE12" s="373"/>
      <c r="AF12" s="373"/>
      <c r="AG12" s="373"/>
      <c r="AH12" s="372"/>
      <c r="AJ12" s="358" t="s">
        <v>1183</v>
      </c>
      <c r="AK12" s="358" t="s">
        <v>1380</v>
      </c>
    </row>
    <row r="13" spans="1:38">
      <c r="A13" s="371">
        <f t="shared" si="0"/>
        <v>4</v>
      </c>
      <c r="B13" s="371" t="s">
        <v>1381</v>
      </c>
      <c r="C13" s="371" t="s">
        <v>1382</v>
      </c>
      <c r="D13" s="370" t="b">
        <v>1</v>
      </c>
      <c r="E13" s="371">
        <v>0</v>
      </c>
      <c r="F13" s="371">
        <v>10</v>
      </c>
      <c r="G13" s="371">
        <v>0</v>
      </c>
      <c r="H13" s="371">
        <v>0</v>
      </c>
      <c r="I13" s="368"/>
      <c r="J13" s="372" t="s">
        <v>1017</v>
      </c>
      <c r="K13" s="371"/>
      <c r="L13" s="371"/>
      <c r="M13" s="556"/>
      <c r="N13" s="556"/>
      <c r="O13" s="556"/>
      <c r="P13" s="368" t="s">
        <v>1383</v>
      </c>
      <c r="Q13" s="373"/>
      <c r="R13" s="373"/>
      <c r="S13" s="373"/>
      <c r="T13" s="373"/>
      <c r="U13" s="373"/>
      <c r="V13" s="373"/>
      <c r="W13" s="373"/>
      <c r="X13" s="373"/>
      <c r="Y13" s="373"/>
      <c r="Z13" s="373"/>
      <c r="AA13" s="373"/>
      <c r="AB13" s="368"/>
      <c r="AC13" s="373"/>
      <c r="AD13" s="373"/>
      <c r="AE13" s="373"/>
      <c r="AF13" s="373"/>
      <c r="AG13" s="373"/>
      <c r="AH13" s="372"/>
      <c r="AJ13" s="358" t="s">
        <v>1184</v>
      </c>
      <c r="AK13" s="358" t="s">
        <v>1382</v>
      </c>
    </row>
    <row r="14" spans="1:38">
      <c r="A14" s="371" t="str">
        <f t="shared" si="0"/>
        <v/>
      </c>
      <c r="B14" s="371"/>
      <c r="C14" s="371"/>
      <c r="D14" s="370"/>
      <c r="E14" s="371"/>
      <c r="F14" s="371"/>
      <c r="G14" s="371"/>
      <c r="H14" s="371"/>
      <c r="I14" s="368"/>
      <c r="J14" s="372"/>
      <c r="K14" s="371"/>
      <c r="L14" s="371"/>
      <c r="M14" s="556"/>
      <c r="N14" s="556"/>
      <c r="O14" s="556"/>
      <c r="P14" s="368"/>
      <c r="Q14" s="373"/>
      <c r="R14" s="373"/>
      <c r="S14" s="373"/>
      <c r="T14" s="373"/>
      <c r="U14" s="373"/>
      <c r="V14" s="373"/>
      <c r="W14" s="373"/>
      <c r="X14" s="373"/>
      <c r="Y14" s="373"/>
      <c r="Z14" s="373"/>
      <c r="AA14" s="373"/>
      <c r="AB14" s="368"/>
      <c r="AC14" s="373"/>
      <c r="AD14" s="373"/>
      <c r="AE14" s="373"/>
      <c r="AF14" s="373"/>
      <c r="AG14" s="373"/>
      <c r="AH14" s="372"/>
    </row>
    <row r="15" spans="1:38">
      <c r="A15" s="376" t="str">
        <f t="shared" si="0"/>
        <v/>
      </c>
      <c r="B15" s="377"/>
      <c r="C15" s="377"/>
      <c r="D15" s="378"/>
      <c r="E15" s="376"/>
      <c r="F15" s="376"/>
      <c r="G15" s="376"/>
      <c r="H15" s="376"/>
      <c r="I15" s="379"/>
      <c r="J15" s="380"/>
      <c r="K15" s="376"/>
      <c r="L15" s="376"/>
      <c r="M15" s="557"/>
      <c r="N15" s="557"/>
      <c r="O15" s="557"/>
      <c r="P15" s="379"/>
      <c r="Q15" s="381"/>
      <c r="R15" s="381"/>
      <c r="S15" s="381"/>
      <c r="T15" s="381"/>
      <c r="U15" s="381"/>
      <c r="V15" s="381"/>
      <c r="W15" s="381"/>
      <c r="X15" s="381"/>
      <c r="Y15" s="381"/>
      <c r="Z15" s="381"/>
      <c r="AA15" s="381"/>
      <c r="AB15" s="379"/>
      <c r="AC15" s="381"/>
      <c r="AD15" s="381"/>
      <c r="AE15" s="381"/>
      <c r="AF15" s="381"/>
      <c r="AG15" s="381"/>
      <c r="AH15" s="380"/>
    </row>
    <row r="16" spans="1:38">
      <c r="A16" s="553" t="s">
        <v>37</v>
      </c>
      <c r="B16" s="554"/>
      <c r="C16" s="554"/>
      <c r="D16" s="554"/>
      <c r="E16" s="554"/>
      <c r="F16" s="554"/>
      <c r="G16" s="554"/>
      <c r="H16" s="554"/>
      <c r="I16" s="554"/>
      <c r="J16" s="554"/>
      <c r="K16" s="554"/>
      <c r="L16" s="554"/>
      <c r="M16" s="554"/>
      <c r="N16" s="554"/>
      <c r="O16" s="554"/>
      <c r="P16" s="554"/>
      <c r="Q16" s="554"/>
      <c r="R16" s="554"/>
      <c r="S16" s="554"/>
      <c r="T16" s="554"/>
      <c r="U16" s="554"/>
      <c r="V16" s="554"/>
      <c r="W16" s="554"/>
      <c r="X16" s="554"/>
      <c r="Y16" s="554"/>
      <c r="Z16" s="554"/>
      <c r="AA16" s="554"/>
      <c r="AB16" s="554"/>
      <c r="AC16" s="554"/>
      <c r="AD16" s="554"/>
      <c r="AE16" s="554"/>
      <c r="AF16" s="554"/>
      <c r="AG16" s="554"/>
      <c r="AH16" s="555"/>
    </row>
    <row r="17" spans="1:34">
      <c r="A17" s="382"/>
      <c r="B17" s="383"/>
      <c r="C17" s="383"/>
      <c r="D17" s="384"/>
      <c r="E17" s="383"/>
      <c r="F17" s="383"/>
      <c r="G17" s="383"/>
      <c r="H17" s="383"/>
      <c r="I17" s="383"/>
      <c r="J17" s="383"/>
      <c r="K17" s="383"/>
      <c r="L17" s="383"/>
      <c r="M17" s="558"/>
      <c r="N17" s="558"/>
      <c r="O17" s="558"/>
      <c r="P17" s="383"/>
      <c r="Q17" s="383"/>
      <c r="R17" s="383"/>
      <c r="S17" s="383"/>
      <c r="T17" s="383"/>
      <c r="U17" s="383"/>
      <c r="V17" s="383"/>
      <c r="W17" s="383"/>
      <c r="X17" s="383"/>
      <c r="Y17" s="383"/>
      <c r="Z17" s="383"/>
      <c r="AA17" s="383"/>
      <c r="AB17" s="383"/>
      <c r="AC17" s="383"/>
      <c r="AD17" s="383"/>
      <c r="AE17" s="383"/>
      <c r="AF17" s="383"/>
      <c r="AG17" s="383"/>
      <c r="AH17" s="385"/>
    </row>
    <row r="18" spans="1:34">
      <c r="A18" s="386"/>
      <c r="B18" s="358" t="s">
        <v>38</v>
      </c>
      <c r="D18" s="362"/>
      <c r="AH18" s="387"/>
    </row>
    <row r="19" spans="1:34">
      <c r="A19" s="386"/>
      <c r="B19" s="388" t="s">
        <v>1183</v>
      </c>
      <c r="AH19" s="387"/>
    </row>
    <row r="20" spans="1:34">
      <c r="A20" s="386"/>
      <c r="B20" s="388" t="s">
        <v>975</v>
      </c>
      <c r="AH20" s="387"/>
    </row>
    <row r="21" spans="1:34">
      <c r="A21" s="386"/>
      <c r="B21" s="388" t="s">
        <v>887</v>
      </c>
      <c r="AH21" s="387"/>
    </row>
    <row r="22" spans="1:34">
      <c r="A22" s="386"/>
      <c r="AH22" s="387"/>
    </row>
    <row r="23" spans="1:34">
      <c r="A23" s="386"/>
      <c r="AH23" s="387"/>
    </row>
    <row r="24" spans="1:34">
      <c r="A24" s="386"/>
      <c r="B24" s="358" t="s">
        <v>39</v>
      </c>
      <c r="M24" s="552"/>
      <c r="N24" s="552"/>
      <c r="O24" s="552"/>
      <c r="AH24" s="387"/>
    </row>
    <row r="25" spans="1:34">
      <c r="A25" s="386"/>
      <c r="B25" s="389" t="s">
        <v>1384</v>
      </c>
      <c r="AH25" s="387"/>
    </row>
    <row r="26" spans="1:34">
      <c r="A26" s="386"/>
      <c r="AH26" s="387"/>
    </row>
    <row r="27" spans="1:34">
      <c r="A27" s="386"/>
      <c r="AH27" s="387"/>
    </row>
    <row r="28" spans="1:34">
      <c r="A28" s="386"/>
      <c r="B28" s="358" t="s">
        <v>41</v>
      </c>
      <c r="M28" s="552"/>
      <c r="N28" s="552"/>
      <c r="O28" s="552"/>
      <c r="AH28" s="387"/>
    </row>
    <row r="29" spans="1:34">
      <c r="A29" s="386"/>
      <c r="B29" s="358" t="s">
        <v>1385</v>
      </c>
      <c r="C29" s="358" t="s">
        <v>1386</v>
      </c>
      <c r="AH29" s="387"/>
    </row>
    <row r="30" spans="1:34">
      <c r="A30" s="386"/>
      <c r="C30" s="358" t="s">
        <v>1387</v>
      </c>
      <c r="AH30" s="387"/>
    </row>
    <row r="31" spans="1:34">
      <c r="A31" s="386"/>
      <c r="C31" s="388" t="s">
        <v>1183</v>
      </c>
      <c r="E31" s="358" t="s">
        <v>1388</v>
      </c>
      <c r="J31" s="358" t="s">
        <v>1389</v>
      </c>
      <c r="AH31" s="387"/>
    </row>
    <row r="32" spans="1:34">
      <c r="A32" s="386"/>
      <c r="C32" s="388" t="s">
        <v>1184</v>
      </c>
      <c r="E32" s="358" t="s">
        <v>1390</v>
      </c>
      <c r="AH32" s="387"/>
    </row>
    <row r="33" spans="1:34">
      <c r="A33" s="386"/>
      <c r="AH33" s="387"/>
    </row>
    <row r="34" spans="1:34">
      <c r="A34" s="386"/>
      <c r="B34" s="390" t="s">
        <v>1358</v>
      </c>
      <c r="C34" s="358" t="s">
        <v>1391</v>
      </c>
      <c r="AH34" s="387"/>
    </row>
    <row r="35" spans="1:34">
      <c r="A35" s="386"/>
      <c r="AH35" s="387"/>
    </row>
    <row r="36" spans="1:34" s="392" customFormat="1">
      <c r="A36" s="391"/>
      <c r="B36" s="390" t="s">
        <v>1392</v>
      </c>
      <c r="AH36" s="393"/>
    </row>
    <row r="37" spans="1:34" s="392" customFormat="1">
      <c r="A37" s="391"/>
      <c r="B37" s="389" t="s">
        <v>1393</v>
      </c>
      <c r="C37" s="392" t="s">
        <v>1394</v>
      </c>
      <c r="AH37" s="393"/>
    </row>
    <row r="38" spans="1:34" s="392" customFormat="1">
      <c r="A38" s="391"/>
      <c r="B38" s="389" t="s">
        <v>1395</v>
      </c>
      <c r="C38" s="392" t="s">
        <v>1396</v>
      </c>
      <c r="AH38" s="393"/>
    </row>
    <row r="39" spans="1:34">
      <c r="A39" s="386"/>
      <c r="B39" s="389" t="s">
        <v>1397</v>
      </c>
      <c r="C39" s="392" t="s">
        <v>1109</v>
      </c>
      <c r="AH39" s="387"/>
    </row>
    <row r="40" spans="1:34">
      <c r="A40" s="386"/>
      <c r="B40" s="389" t="s">
        <v>1398</v>
      </c>
      <c r="C40" s="358" t="s">
        <v>1399</v>
      </c>
      <c r="AH40" s="387"/>
    </row>
    <row r="41" spans="1:34">
      <c r="A41" s="386"/>
      <c r="AH41" s="387"/>
    </row>
    <row r="42" spans="1:34">
      <c r="A42" s="386"/>
      <c r="AH42" s="387"/>
    </row>
    <row r="43" spans="1:34">
      <c r="A43" s="553" t="s">
        <v>42</v>
      </c>
      <c r="B43" s="554"/>
      <c r="C43" s="554"/>
      <c r="D43" s="554"/>
      <c r="E43" s="554"/>
      <c r="F43" s="554"/>
      <c r="G43" s="554"/>
      <c r="H43" s="554"/>
      <c r="I43" s="554"/>
      <c r="J43" s="554"/>
      <c r="K43" s="554"/>
      <c r="L43" s="554"/>
      <c r="M43" s="554"/>
      <c r="N43" s="554"/>
      <c r="O43" s="554"/>
      <c r="P43" s="554"/>
      <c r="Q43" s="554"/>
      <c r="R43" s="554"/>
      <c r="S43" s="554"/>
      <c r="T43" s="554"/>
      <c r="U43" s="554"/>
      <c r="V43" s="554"/>
      <c r="W43" s="554"/>
      <c r="X43" s="554"/>
      <c r="Y43" s="554"/>
      <c r="Z43" s="554"/>
      <c r="AA43" s="554"/>
      <c r="AB43" s="554"/>
      <c r="AC43" s="554"/>
      <c r="AD43" s="554"/>
      <c r="AE43" s="554"/>
      <c r="AF43" s="554"/>
      <c r="AG43" s="554"/>
      <c r="AH43" s="555"/>
    </row>
    <row r="44" spans="1:34">
      <c r="A44" s="386"/>
      <c r="M44" s="552"/>
      <c r="N44" s="552"/>
      <c r="O44" s="552"/>
      <c r="AH44" s="387"/>
    </row>
    <row r="45" spans="1:34">
      <c r="A45" s="386"/>
      <c r="B45" s="392" t="s">
        <v>957</v>
      </c>
      <c r="M45" s="552"/>
      <c r="N45" s="552"/>
      <c r="O45" s="552"/>
      <c r="AH45" s="387"/>
    </row>
    <row r="46" spans="1:34">
      <c r="A46" s="386"/>
      <c r="B46" s="392"/>
      <c r="AH46" s="387"/>
    </row>
    <row r="47" spans="1:34">
      <c r="A47" s="386"/>
      <c r="B47" s="392"/>
      <c r="AH47" s="387"/>
    </row>
    <row r="48" spans="1:34">
      <c r="A48" s="386"/>
      <c r="B48" s="392" t="s">
        <v>750</v>
      </c>
      <c r="AH48" s="387"/>
    </row>
    <row r="49" spans="1:34">
      <c r="A49" s="386"/>
      <c r="B49" s="392"/>
      <c r="AH49" s="387"/>
    </row>
    <row r="50" spans="1:34">
      <c r="A50" s="386"/>
      <c r="B50" s="392" t="s">
        <v>958</v>
      </c>
      <c r="AH50" s="387"/>
    </row>
    <row r="51" spans="1:34">
      <c r="A51" s="386"/>
      <c r="B51" s="392"/>
      <c r="AH51" s="387"/>
    </row>
    <row r="52" spans="1:34">
      <c r="A52" s="386"/>
      <c r="B52" s="392" t="s">
        <v>579</v>
      </c>
      <c r="AH52" s="387"/>
    </row>
    <row r="53" spans="1:34">
      <c r="A53" s="386"/>
      <c r="B53" s="392"/>
      <c r="AH53" s="387"/>
    </row>
    <row r="54" spans="1:34">
      <c r="A54" s="386"/>
      <c r="B54" s="392" t="s">
        <v>1400</v>
      </c>
      <c r="AH54" s="387"/>
    </row>
    <row r="55" spans="1:34">
      <c r="A55" s="386"/>
      <c r="B55" s="392" t="s">
        <v>1401</v>
      </c>
      <c r="AH55" s="387"/>
    </row>
    <row r="56" spans="1:34">
      <c r="A56" s="386"/>
      <c r="B56" s="392" t="s">
        <v>1402</v>
      </c>
      <c r="AH56" s="387"/>
    </row>
    <row r="57" spans="1:34">
      <c r="A57" s="386"/>
      <c r="B57" s="392"/>
      <c r="AH57" s="387"/>
    </row>
    <row r="58" spans="1:34">
      <c r="A58" s="386"/>
      <c r="AH58" s="387"/>
    </row>
    <row r="59" spans="1:34">
      <c r="A59" s="386"/>
      <c r="AH59" s="387"/>
    </row>
    <row r="60" spans="1:34">
      <c r="A60" s="386"/>
      <c r="AH60" s="387"/>
    </row>
    <row r="61" spans="1:34">
      <c r="A61" s="386"/>
      <c r="AH61" s="387"/>
    </row>
    <row r="62" spans="1:34">
      <c r="A62" s="553" t="s">
        <v>43</v>
      </c>
      <c r="B62" s="554"/>
      <c r="C62" s="554"/>
      <c r="D62" s="554"/>
      <c r="E62" s="554"/>
      <c r="F62" s="554"/>
      <c r="G62" s="554"/>
      <c r="H62" s="554"/>
      <c r="I62" s="554"/>
      <c r="J62" s="554"/>
      <c r="K62" s="554"/>
      <c r="L62" s="554"/>
      <c r="M62" s="554"/>
      <c r="N62" s="554"/>
      <c r="O62" s="554"/>
      <c r="P62" s="554"/>
      <c r="Q62" s="554"/>
      <c r="R62" s="554"/>
      <c r="S62" s="554"/>
      <c r="T62" s="554"/>
      <c r="U62" s="554"/>
      <c r="V62" s="554"/>
      <c r="W62" s="554"/>
      <c r="X62" s="554"/>
      <c r="Y62" s="554"/>
      <c r="Z62" s="554"/>
      <c r="AA62" s="554"/>
      <c r="AB62" s="554"/>
      <c r="AC62" s="554"/>
      <c r="AD62" s="554"/>
      <c r="AE62" s="554"/>
      <c r="AF62" s="554"/>
      <c r="AG62" s="554"/>
      <c r="AH62" s="555"/>
    </row>
    <row r="63" spans="1:34">
      <c r="A63" s="386"/>
      <c r="M63" s="552"/>
      <c r="N63" s="552"/>
      <c r="O63" s="552"/>
      <c r="AH63" s="387"/>
    </row>
    <row r="64" spans="1:34">
      <c r="A64" s="386"/>
      <c r="B64" s="358" t="s">
        <v>44</v>
      </c>
      <c r="AH64" s="387"/>
    </row>
    <row r="65" spans="1:36">
      <c r="A65" s="386"/>
      <c r="AH65" s="387"/>
    </row>
    <row r="66" spans="1:36">
      <c r="A66" s="553" t="s">
        <v>678</v>
      </c>
      <c r="B66" s="554"/>
      <c r="C66" s="554"/>
      <c r="D66" s="554"/>
      <c r="E66" s="554"/>
      <c r="F66" s="554"/>
      <c r="G66" s="554"/>
      <c r="H66" s="554"/>
      <c r="I66" s="554"/>
      <c r="J66" s="554"/>
      <c r="K66" s="554"/>
      <c r="L66" s="554"/>
      <c r="M66" s="554"/>
      <c r="N66" s="554"/>
      <c r="O66" s="554"/>
      <c r="P66" s="554"/>
      <c r="Q66" s="554"/>
      <c r="R66" s="554"/>
      <c r="S66" s="554"/>
      <c r="T66" s="554"/>
      <c r="U66" s="554"/>
      <c r="V66" s="554"/>
      <c r="W66" s="554"/>
      <c r="X66" s="554"/>
      <c r="Y66" s="554"/>
      <c r="Z66" s="554"/>
      <c r="AA66" s="554"/>
      <c r="AB66" s="554"/>
      <c r="AC66" s="554"/>
      <c r="AD66" s="554"/>
      <c r="AE66" s="554"/>
      <c r="AF66" s="554"/>
      <c r="AG66" s="554"/>
      <c r="AH66" s="555"/>
    </row>
    <row r="67" spans="1:36">
      <c r="A67" s="386"/>
      <c r="M67" s="552"/>
      <c r="N67" s="552"/>
      <c r="O67" s="552"/>
      <c r="AH67" s="387"/>
    </row>
    <row r="68" spans="1:36">
      <c r="A68" s="386"/>
      <c r="B68" s="358" t="s">
        <v>1403</v>
      </c>
      <c r="AH68" s="387"/>
    </row>
    <row r="69" spans="1:36">
      <c r="A69" s="386"/>
      <c r="B69" s="388" t="s">
        <v>1404</v>
      </c>
      <c r="D69" s="362"/>
      <c r="AH69" s="387"/>
    </row>
    <row r="70" spans="1:36">
      <c r="A70" s="386"/>
      <c r="D70" s="362"/>
      <c r="M70" s="552"/>
      <c r="N70" s="552"/>
      <c r="O70" s="552"/>
      <c r="AH70" s="387"/>
    </row>
    <row r="71" spans="1:36">
      <c r="A71" s="386"/>
      <c r="B71" s="394" t="s">
        <v>1405</v>
      </c>
      <c r="C71" s="395"/>
      <c r="D71" s="396"/>
      <c r="E71" s="395"/>
      <c r="F71" s="395"/>
      <c r="G71" s="395"/>
      <c r="H71" s="395"/>
      <c r="I71" s="395"/>
      <c r="J71" s="395"/>
      <c r="K71" s="395"/>
      <c r="L71" s="395"/>
      <c r="M71" s="549"/>
      <c r="N71" s="549"/>
      <c r="O71" s="549"/>
      <c r="P71" s="395"/>
      <c r="Q71" s="395"/>
      <c r="R71" s="395"/>
      <c r="S71" s="395"/>
      <c r="T71" s="395"/>
      <c r="U71" s="395"/>
      <c r="V71" s="395"/>
      <c r="W71" s="395"/>
      <c r="X71" s="395"/>
      <c r="Y71" s="395"/>
      <c r="Z71" s="395"/>
      <c r="AA71" s="395"/>
      <c r="AB71" s="395"/>
      <c r="AC71" s="395"/>
      <c r="AD71" s="395"/>
      <c r="AE71" s="395"/>
      <c r="AF71" s="395"/>
      <c r="AG71" s="395"/>
      <c r="AH71" s="387"/>
    </row>
    <row r="72" spans="1:36">
      <c r="A72" s="386"/>
      <c r="B72" s="397" t="s">
        <v>577</v>
      </c>
      <c r="C72" s="398" t="s">
        <v>844</v>
      </c>
      <c r="D72" s="398"/>
      <c r="E72" s="397" t="s">
        <v>845</v>
      </c>
      <c r="F72" s="398" t="s">
        <v>846</v>
      </c>
      <c r="G72" s="398"/>
      <c r="H72" s="398"/>
      <c r="I72" s="398"/>
      <c r="J72" s="398"/>
      <c r="K72" s="398"/>
      <c r="L72" s="398"/>
      <c r="M72" s="550"/>
      <c r="N72" s="550"/>
      <c r="O72" s="550"/>
      <c r="P72" s="398"/>
      <c r="Q72" s="398"/>
      <c r="R72" s="398"/>
      <c r="S72" s="398"/>
      <c r="T72" s="398"/>
      <c r="U72" s="398"/>
      <c r="V72" s="398"/>
      <c r="W72" s="398"/>
      <c r="X72" s="398"/>
      <c r="Y72" s="398"/>
      <c r="Z72" s="398"/>
      <c r="AA72" s="398"/>
      <c r="AB72" s="398"/>
      <c r="AC72" s="398"/>
      <c r="AD72" s="399"/>
      <c r="AH72" s="387"/>
    </row>
    <row r="73" spans="1:36">
      <c r="A73" s="386"/>
      <c r="B73" s="400" t="s">
        <v>1406</v>
      </c>
      <c r="C73" s="401" t="s">
        <v>714</v>
      </c>
      <c r="D73" s="401"/>
      <c r="E73" s="402" t="s">
        <v>847</v>
      </c>
      <c r="F73" s="403" t="s">
        <v>847</v>
      </c>
      <c r="G73" s="403"/>
      <c r="H73" s="403"/>
      <c r="I73" s="403"/>
      <c r="J73" s="403"/>
      <c r="K73" s="403"/>
      <c r="L73" s="403"/>
      <c r="M73" s="403"/>
      <c r="N73" s="403"/>
      <c r="O73" s="403"/>
      <c r="P73" s="403"/>
      <c r="Q73" s="403"/>
      <c r="R73" s="403"/>
      <c r="S73" s="403"/>
      <c r="T73" s="403"/>
      <c r="U73" s="403"/>
      <c r="V73" s="403"/>
      <c r="W73" s="403"/>
      <c r="X73" s="403"/>
      <c r="Y73" s="403"/>
      <c r="Z73" s="403"/>
      <c r="AA73" s="403"/>
      <c r="AB73" s="403"/>
      <c r="AC73" s="403"/>
      <c r="AD73" s="404"/>
      <c r="AH73" s="387"/>
    </row>
    <row r="74" spans="1:36">
      <c r="A74" s="386"/>
      <c r="B74" s="405" t="s">
        <v>887</v>
      </c>
      <c r="C74" s="406" t="s">
        <v>714</v>
      </c>
      <c r="D74" s="406"/>
      <c r="E74" s="405" t="s">
        <v>850</v>
      </c>
      <c r="F74" s="406" t="s">
        <v>1407</v>
      </c>
      <c r="G74" s="406"/>
      <c r="H74" s="406"/>
      <c r="I74" s="406"/>
      <c r="J74" s="406"/>
      <c r="K74" s="406"/>
      <c r="L74" s="406" t="s">
        <v>855</v>
      </c>
      <c r="M74" s="406" t="str">
        <f>AI74</f>
        <v>CK209</v>
      </c>
      <c r="N74" s="406"/>
      <c r="O74" s="406"/>
      <c r="P74" s="406" t="str">
        <f>AJ74</f>
        <v>カード管理種別_一般／会員紐づけ</v>
      </c>
      <c r="Q74" s="406"/>
      <c r="R74" s="406"/>
      <c r="S74" s="406"/>
      <c r="T74" s="406"/>
      <c r="U74" s="406"/>
      <c r="V74" s="406"/>
      <c r="W74" s="406"/>
      <c r="X74" s="406"/>
      <c r="Y74" s="406"/>
      <c r="Z74" s="406"/>
      <c r="AA74" s="406"/>
      <c r="AB74" s="406"/>
      <c r="AC74" s="406" t="s">
        <v>896</v>
      </c>
      <c r="AD74" s="407"/>
      <c r="AH74" s="387"/>
      <c r="AI74" s="358" t="s">
        <v>1408</v>
      </c>
      <c r="AJ74" s="358" t="s">
        <v>1409</v>
      </c>
    </row>
    <row r="75" spans="1:36">
      <c r="A75" s="386"/>
      <c r="B75" s="408"/>
      <c r="C75" s="409"/>
      <c r="D75" s="409"/>
      <c r="E75" s="408"/>
      <c r="F75" s="409" t="s">
        <v>1410</v>
      </c>
      <c r="G75" s="409"/>
      <c r="H75" s="409"/>
      <c r="I75" s="409"/>
      <c r="J75" s="409"/>
      <c r="K75" s="409"/>
      <c r="L75" s="409" t="s">
        <v>855</v>
      </c>
      <c r="M75" s="409" t="s">
        <v>1411</v>
      </c>
      <c r="N75" s="409"/>
      <c r="O75" s="409"/>
      <c r="P75" s="409"/>
      <c r="Q75" s="409"/>
      <c r="R75" s="409"/>
      <c r="S75" s="409"/>
      <c r="T75" s="409"/>
      <c r="U75" s="409"/>
      <c r="V75" s="409"/>
      <c r="W75" s="409"/>
      <c r="X75" s="409"/>
      <c r="Y75" s="409"/>
      <c r="Z75" s="409"/>
      <c r="AA75" s="409"/>
      <c r="AB75" s="409"/>
      <c r="AC75" s="409"/>
      <c r="AD75" s="410"/>
      <c r="AH75" s="387"/>
    </row>
    <row r="76" spans="1:36">
      <c r="A76" s="386"/>
      <c r="D76" s="362"/>
      <c r="AH76" s="387"/>
    </row>
    <row r="77" spans="1:36">
      <c r="A77" s="386"/>
      <c r="B77" s="388" t="s">
        <v>1412</v>
      </c>
      <c r="D77" s="362"/>
      <c r="AH77" s="387"/>
    </row>
    <row r="78" spans="1:36">
      <c r="A78" s="386"/>
      <c r="B78" s="388"/>
      <c r="C78" s="358" t="s">
        <v>1413</v>
      </c>
      <c r="D78" s="362"/>
      <c r="F78" s="358" t="s">
        <v>855</v>
      </c>
      <c r="G78" s="358" t="s">
        <v>1414</v>
      </c>
      <c r="K78" s="358" t="s">
        <v>1415</v>
      </c>
      <c r="AH78" s="387"/>
    </row>
    <row r="79" spans="1:36">
      <c r="A79" s="386"/>
      <c r="B79" s="388"/>
      <c r="C79" s="358" t="s">
        <v>1416</v>
      </c>
      <c r="D79" s="362"/>
      <c r="F79" s="358" t="s">
        <v>855</v>
      </c>
      <c r="G79" s="358" t="s">
        <v>1417</v>
      </c>
      <c r="K79" s="358" t="s">
        <v>1415</v>
      </c>
      <c r="AH79" s="387"/>
    </row>
    <row r="80" spans="1:36">
      <c r="A80" s="386"/>
      <c r="B80" s="388"/>
      <c r="C80" s="358" t="s">
        <v>1418</v>
      </c>
      <c r="D80" s="362"/>
      <c r="F80" s="358" t="s">
        <v>855</v>
      </c>
      <c r="G80" s="358" t="s">
        <v>1419</v>
      </c>
      <c r="K80" s="358" t="s">
        <v>1415</v>
      </c>
      <c r="AH80" s="387"/>
    </row>
    <row r="81" spans="1:34">
      <c r="A81" s="386"/>
      <c r="B81" s="388"/>
      <c r="C81" s="358" t="s">
        <v>1420</v>
      </c>
      <c r="D81" s="362"/>
      <c r="F81" s="358" t="s">
        <v>855</v>
      </c>
      <c r="G81" s="358" t="s">
        <v>1421</v>
      </c>
      <c r="K81" s="358" t="s">
        <v>1415</v>
      </c>
      <c r="AH81" s="387"/>
    </row>
    <row r="82" spans="1:34">
      <c r="A82" s="386"/>
      <c r="B82" s="388"/>
      <c r="C82" s="358" t="s">
        <v>1422</v>
      </c>
      <c r="D82" s="362"/>
      <c r="F82" s="358" t="s">
        <v>855</v>
      </c>
      <c r="G82" s="358" t="s">
        <v>1423</v>
      </c>
      <c r="K82" s="358" t="s">
        <v>1415</v>
      </c>
      <c r="AH82" s="387"/>
    </row>
    <row r="83" spans="1:34">
      <c r="A83" s="386"/>
      <c r="B83" s="388"/>
      <c r="C83" s="358" t="s">
        <v>1424</v>
      </c>
      <c r="D83" s="362"/>
      <c r="F83" s="358" t="s">
        <v>1425</v>
      </c>
      <c r="G83" s="358" t="s">
        <v>1426</v>
      </c>
      <c r="K83" s="358" t="s">
        <v>1415</v>
      </c>
      <c r="AH83" s="387"/>
    </row>
    <row r="84" spans="1:34">
      <c r="A84" s="386"/>
      <c r="B84" s="388"/>
      <c r="C84" s="358" t="s">
        <v>1427</v>
      </c>
      <c r="D84" s="362"/>
      <c r="F84" s="358" t="s">
        <v>1428</v>
      </c>
      <c r="G84" s="358" t="s">
        <v>1426</v>
      </c>
      <c r="K84" s="358" t="s">
        <v>1415</v>
      </c>
      <c r="AH84" s="387"/>
    </row>
    <row r="85" spans="1:34">
      <c r="A85" s="386"/>
      <c r="B85" s="388"/>
      <c r="C85" s="358" t="s">
        <v>1429</v>
      </c>
      <c r="D85" s="362"/>
      <c r="F85" s="358" t="s">
        <v>855</v>
      </c>
      <c r="G85" s="358" t="s">
        <v>1430</v>
      </c>
      <c r="AH85" s="387"/>
    </row>
    <row r="86" spans="1:34">
      <c r="A86" s="386"/>
      <c r="B86" s="388"/>
      <c r="D86" s="362"/>
      <c r="AH86" s="387"/>
    </row>
    <row r="87" spans="1:34">
      <c r="A87" s="386"/>
      <c r="B87" s="388" t="s">
        <v>1431</v>
      </c>
      <c r="C87" s="358" t="s">
        <v>1432</v>
      </c>
      <c r="D87" s="362"/>
      <c r="E87" s="358" t="s">
        <v>1433</v>
      </c>
      <c r="AH87" s="387"/>
    </row>
    <row r="88" spans="1:34">
      <c r="A88" s="386"/>
      <c r="D88" s="362"/>
      <c r="AH88" s="387"/>
    </row>
    <row r="89" spans="1:34">
      <c r="A89" s="386"/>
      <c r="B89" s="394" t="s">
        <v>1434</v>
      </c>
      <c r="C89" s="395"/>
      <c r="D89" s="396"/>
      <c r="E89" s="395"/>
      <c r="F89" s="395"/>
      <c r="G89" s="395"/>
      <c r="H89" s="395"/>
      <c r="I89" s="395"/>
      <c r="J89" s="395"/>
      <c r="K89" s="395"/>
      <c r="L89" s="395"/>
      <c r="M89" s="549"/>
      <c r="N89" s="549"/>
      <c r="O89" s="549"/>
      <c r="P89" s="395"/>
      <c r="Q89" s="395"/>
      <c r="R89" s="395"/>
      <c r="S89" s="395"/>
      <c r="T89" s="395"/>
      <c r="U89" s="395"/>
      <c r="V89" s="395"/>
      <c r="W89" s="395"/>
      <c r="X89" s="395"/>
      <c r="Y89" s="395"/>
      <c r="Z89" s="395"/>
      <c r="AA89" s="395"/>
      <c r="AB89" s="395"/>
      <c r="AC89" s="395"/>
      <c r="AD89" s="395"/>
      <c r="AE89" s="395"/>
      <c r="AF89" s="395"/>
      <c r="AG89" s="395"/>
      <c r="AH89" s="387"/>
    </row>
    <row r="90" spans="1:34">
      <c r="A90" s="386"/>
      <c r="B90" s="397" t="s">
        <v>577</v>
      </c>
      <c r="C90" s="398" t="s">
        <v>844</v>
      </c>
      <c r="D90" s="398"/>
      <c r="E90" s="397" t="s">
        <v>845</v>
      </c>
      <c r="F90" s="398" t="s">
        <v>846</v>
      </c>
      <c r="G90" s="398"/>
      <c r="H90" s="398"/>
      <c r="I90" s="398"/>
      <c r="J90" s="398"/>
      <c r="K90" s="398"/>
      <c r="L90" s="398"/>
      <c r="M90" s="550"/>
      <c r="N90" s="550"/>
      <c r="O90" s="550"/>
      <c r="P90" s="398"/>
      <c r="Q90" s="398"/>
      <c r="R90" s="398"/>
      <c r="S90" s="398"/>
      <c r="T90" s="398"/>
      <c r="U90" s="398"/>
      <c r="V90" s="398"/>
      <c r="W90" s="398"/>
      <c r="X90" s="398"/>
      <c r="Y90" s="398"/>
      <c r="Z90" s="398"/>
      <c r="AA90" s="398"/>
      <c r="AB90" s="398"/>
      <c r="AC90" s="398"/>
      <c r="AD90" s="399"/>
      <c r="AH90" s="387"/>
    </row>
    <row r="91" spans="1:34">
      <c r="A91" s="386"/>
      <c r="B91" s="400" t="s">
        <v>975</v>
      </c>
      <c r="C91" s="401" t="s">
        <v>714</v>
      </c>
      <c r="D91" s="401"/>
      <c r="E91" s="402" t="s">
        <v>847</v>
      </c>
      <c r="F91" s="403" t="s">
        <v>847</v>
      </c>
      <c r="G91" s="403"/>
      <c r="H91" s="403"/>
      <c r="I91" s="403"/>
      <c r="J91" s="403"/>
      <c r="K91" s="403"/>
      <c r="L91" s="403"/>
      <c r="M91" s="403"/>
      <c r="N91" s="403"/>
      <c r="O91" s="403"/>
      <c r="P91" s="403"/>
      <c r="Q91" s="403"/>
      <c r="R91" s="403"/>
      <c r="S91" s="403"/>
      <c r="T91" s="403"/>
      <c r="U91" s="403"/>
      <c r="V91" s="403"/>
      <c r="W91" s="403"/>
      <c r="X91" s="403"/>
      <c r="Y91" s="403"/>
      <c r="Z91" s="403"/>
      <c r="AA91" s="403"/>
      <c r="AB91" s="403"/>
      <c r="AC91" s="403"/>
      <c r="AD91" s="404"/>
      <c r="AH91" s="387"/>
    </row>
    <row r="92" spans="1:34">
      <c r="A92" s="386"/>
      <c r="D92" s="362"/>
      <c r="AH92" s="387"/>
    </row>
    <row r="93" spans="1:34">
      <c r="A93" s="386"/>
      <c r="B93" s="388" t="s">
        <v>1412</v>
      </c>
      <c r="D93" s="362"/>
      <c r="AH93" s="387"/>
    </row>
    <row r="94" spans="1:34">
      <c r="A94" s="386"/>
      <c r="B94" s="388"/>
      <c r="C94" s="358" t="s">
        <v>1435</v>
      </c>
      <c r="D94" s="362"/>
      <c r="F94" s="358" t="s">
        <v>855</v>
      </c>
      <c r="G94" s="358" t="s">
        <v>1436</v>
      </c>
      <c r="K94" s="358" t="s">
        <v>1415</v>
      </c>
      <c r="AH94" s="387"/>
    </row>
    <row r="95" spans="1:34">
      <c r="A95" s="386"/>
      <c r="B95" s="388"/>
      <c r="C95" s="358" t="s">
        <v>1437</v>
      </c>
      <c r="D95" s="362"/>
      <c r="F95" s="358" t="s">
        <v>855</v>
      </c>
      <c r="G95" s="358" t="s">
        <v>1438</v>
      </c>
      <c r="K95" s="358" t="s">
        <v>1415</v>
      </c>
      <c r="AH95" s="387"/>
    </row>
    <row r="96" spans="1:34">
      <c r="A96" s="386"/>
      <c r="B96" s="388"/>
      <c r="C96" s="358" t="s">
        <v>1439</v>
      </c>
      <c r="D96" s="362"/>
      <c r="F96" s="358" t="s">
        <v>855</v>
      </c>
      <c r="G96" s="358" t="s">
        <v>1440</v>
      </c>
      <c r="K96" s="358" t="s">
        <v>1415</v>
      </c>
      <c r="AH96" s="387"/>
    </row>
    <row r="97" spans="1:34">
      <c r="A97" s="386"/>
      <c r="B97" s="388"/>
      <c r="C97" s="358" t="s">
        <v>1441</v>
      </c>
      <c r="D97" s="362"/>
      <c r="F97" s="358" t="s">
        <v>855</v>
      </c>
      <c r="G97" s="358" t="s">
        <v>1442</v>
      </c>
      <c r="K97" s="358" t="s">
        <v>1415</v>
      </c>
      <c r="AH97" s="387"/>
    </row>
    <row r="98" spans="1:34">
      <c r="A98" s="386"/>
      <c r="B98" s="388"/>
      <c r="C98" s="358" t="s">
        <v>1443</v>
      </c>
      <c r="D98" s="362"/>
      <c r="F98" s="358" t="s">
        <v>1425</v>
      </c>
      <c r="G98" s="358" t="s">
        <v>1426</v>
      </c>
      <c r="K98" s="358" t="s">
        <v>1415</v>
      </c>
      <c r="AH98" s="387"/>
    </row>
    <row r="99" spans="1:34">
      <c r="A99" s="386"/>
      <c r="B99" s="388"/>
      <c r="C99" s="358" t="s">
        <v>1444</v>
      </c>
      <c r="D99" s="362"/>
      <c r="F99" s="358" t="s">
        <v>1428</v>
      </c>
      <c r="G99" s="358" t="s">
        <v>1426</v>
      </c>
      <c r="K99" s="358" t="s">
        <v>1415</v>
      </c>
      <c r="AH99" s="387"/>
    </row>
    <row r="100" spans="1:34">
      <c r="A100" s="386"/>
      <c r="B100" s="388"/>
      <c r="C100" s="358" t="s">
        <v>1445</v>
      </c>
      <c r="D100" s="362"/>
      <c r="F100" s="358" t="s">
        <v>855</v>
      </c>
      <c r="G100" s="358" t="s">
        <v>1446</v>
      </c>
      <c r="AH100" s="387"/>
    </row>
    <row r="101" spans="1:34">
      <c r="A101" s="386"/>
      <c r="B101" s="388"/>
      <c r="D101" s="362"/>
      <c r="AH101" s="387"/>
    </row>
    <row r="102" spans="1:34">
      <c r="A102" s="386"/>
      <c r="B102" s="388" t="s">
        <v>1431</v>
      </c>
      <c r="C102" s="358" t="s">
        <v>1447</v>
      </c>
      <c r="D102" s="362"/>
      <c r="E102" s="358" t="s">
        <v>1433</v>
      </c>
      <c r="AH102" s="387"/>
    </row>
    <row r="103" spans="1:34">
      <c r="A103" s="411"/>
      <c r="B103" s="412"/>
      <c r="C103" s="412"/>
      <c r="D103" s="412"/>
      <c r="E103" s="412"/>
      <c r="F103" s="412"/>
      <c r="G103" s="412"/>
      <c r="H103" s="412"/>
      <c r="I103" s="412"/>
      <c r="J103" s="412"/>
      <c r="K103" s="412"/>
      <c r="L103" s="412"/>
      <c r="M103" s="551"/>
      <c r="N103" s="551"/>
      <c r="O103" s="551"/>
      <c r="P103" s="412"/>
      <c r="Q103" s="412"/>
      <c r="R103" s="412"/>
      <c r="S103" s="412"/>
      <c r="T103" s="412"/>
      <c r="U103" s="412"/>
      <c r="V103" s="412"/>
      <c r="W103" s="412"/>
      <c r="X103" s="412"/>
      <c r="Y103" s="412"/>
      <c r="Z103" s="412"/>
      <c r="AA103" s="412"/>
      <c r="AB103" s="412"/>
      <c r="AC103" s="412"/>
      <c r="AD103" s="412"/>
      <c r="AE103" s="412"/>
      <c r="AF103" s="412"/>
      <c r="AG103" s="412"/>
      <c r="AH103" s="413"/>
    </row>
  </sheetData>
  <autoFilter ref="A9:AH57"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49">
    <mergeCell ref="AC1:AH1"/>
    <mergeCell ref="A4:B4"/>
    <mergeCell ref="M4:Q4"/>
    <mergeCell ref="R4:W4"/>
    <mergeCell ref="X4:AB4"/>
    <mergeCell ref="AC4:AH4"/>
    <mergeCell ref="A1:B1"/>
    <mergeCell ref="C1:D1"/>
    <mergeCell ref="E1:L4"/>
    <mergeCell ref="M1:Q1"/>
    <mergeCell ref="R1:W1"/>
    <mergeCell ref="X1:AB1"/>
    <mergeCell ref="M11:O11"/>
    <mergeCell ref="A6:B6"/>
    <mergeCell ref="C6:D6"/>
    <mergeCell ref="E6:F6"/>
    <mergeCell ref="G6:AH6"/>
    <mergeCell ref="A8:A9"/>
    <mergeCell ref="B8:C9"/>
    <mergeCell ref="D8:D9"/>
    <mergeCell ref="E8:E9"/>
    <mergeCell ref="F8:H8"/>
    <mergeCell ref="J8:J9"/>
    <mergeCell ref="K8:O8"/>
    <mergeCell ref="P8:AA9"/>
    <mergeCell ref="AB8:AH9"/>
    <mergeCell ref="M9:O9"/>
    <mergeCell ref="M10:O10"/>
    <mergeCell ref="A62:AH62"/>
    <mergeCell ref="M12:O12"/>
    <mergeCell ref="M13:O13"/>
    <mergeCell ref="M14:O14"/>
    <mergeCell ref="M15:O15"/>
    <mergeCell ref="A16:AH16"/>
    <mergeCell ref="M17:O17"/>
    <mergeCell ref="M24:O24"/>
    <mergeCell ref="M28:O28"/>
    <mergeCell ref="A43:AH43"/>
    <mergeCell ref="M44:O44"/>
    <mergeCell ref="M45:O45"/>
    <mergeCell ref="M89:O89"/>
    <mergeCell ref="M90:O90"/>
    <mergeCell ref="M103:O103"/>
    <mergeCell ref="M63:O63"/>
    <mergeCell ref="A66:AH66"/>
    <mergeCell ref="M67:O67"/>
    <mergeCell ref="M70:O70"/>
    <mergeCell ref="M71:O71"/>
    <mergeCell ref="M72:O72"/>
  </mergeCells>
  <phoneticPr fontId="15"/>
  <dataValidations count="1">
    <dataValidation imeMode="on" allowBlank="1" showInputMessage="1" showErrorMessage="1" sqref="C10:C15 C44:C61 C38:C42 C63:C65 C67:C103 C17:C24 C28:C36" xr:uid="{87964519-9C01-48EB-B469-7683CDC2961B}"/>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6E40-442A-4F67-9E2B-CB35716F18D8}">
  <sheetPr>
    <tabColor rgb="FFFFFF00"/>
    <pageSetUpPr fitToPage="1"/>
  </sheetPr>
  <dimension ref="A1:AH96"/>
  <sheetViews>
    <sheetView showGridLines="0" view="pageBreakPreview" zoomScale="85" zoomScaleNormal="70" zoomScaleSheetLayoutView="85" workbookViewId="0">
      <pane ySplit="6" topLeftCell="A7" activePane="bottomLeft" state="frozen"/>
      <selection activeCell="A7" sqref="A7"/>
      <selection pane="bottomLeft" activeCell="A7" sqref="A7"/>
    </sheetView>
  </sheetViews>
  <sheetFormatPr defaultColWidth="9" defaultRowHeight="15.75"/>
  <cols>
    <col min="1" max="1" width="4.375" style="82" customWidth="1"/>
    <col min="2" max="2" width="29.75" style="82" bestFit="1" customWidth="1"/>
    <col min="3" max="3" width="19.375" style="82" customWidth="1"/>
    <col min="4" max="5" width="9" style="82" customWidth="1"/>
    <col min="6" max="6" width="5.875" style="82" customWidth="1"/>
    <col min="7" max="7" width="3.875" style="82" customWidth="1"/>
    <col min="8" max="8" width="9" style="82" customWidth="1"/>
    <col min="9" max="9" width="1.125" style="82" customWidth="1"/>
    <col min="10" max="10" width="9" style="82" customWidth="1"/>
    <col min="11" max="11" width="11.75" style="82" customWidth="1"/>
    <col min="12" max="12" width="9" style="82" customWidth="1"/>
    <col min="13" max="34" width="3.125" style="82" customWidth="1"/>
    <col min="35" max="16384" width="9" style="82"/>
  </cols>
  <sheetData>
    <row r="1" spans="1:34" ht="15.75" customHeight="1">
      <c r="A1" s="584"/>
      <c r="B1" s="584"/>
      <c r="C1" s="586"/>
      <c r="D1" s="586"/>
      <c r="E1" s="587"/>
      <c r="F1" s="587"/>
      <c r="G1" s="587"/>
      <c r="H1" s="587"/>
      <c r="I1" s="587"/>
      <c r="J1" s="587"/>
      <c r="K1" s="587"/>
      <c r="L1" s="587"/>
      <c r="M1" s="584"/>
      <c r="N1" s="584"/>
      <c r="O1" s="584"/>
      <c r="P1" s="584"/>
      <c r="Q1" s="584"/>
      <c r="R1" s="588"/>
      <c r="S1" s="583"/>
      <c r="T1" s="583"/>
      <c r="U1" s="583"/>
      <c r="V1" s="583"/>
      <c r="W1" s="583"/>
      <c r="X1" s="584"/>
      <c r="Y1" s="584"/>
      <c r="Z1" s="584"/>
      <c r="AA1" s="584"/>
      <c r="AB1" s="584"/>
      <c r="AC1" s="583"/>
      <c r="AD1" s="583"/>
      <c r="AE1" s="583"/>
      <c r="AF1" s="583"/>
      <c r="AG1" s="583"/>
      <c r="AH1" s="583"/>
    </row>
    <row r="2" spans="1:34" ht="15.75" customHeight="1">
      <c r="A2" s="86"/>
      <c r="B2" s="86"/>
      <c r="C2" s="87"/>
      <c r="D2" s="87"/>
      <c r="E2" s="587"/>
      <c r="F2" s="587"/>
      <c r="G2" s="587"/>
      <c r="H2" s="587"/>
      <c r="I2" s="587"/>
      <c r="J2" s="587"/>
      <c r="K2" s="587"/>
      <c r="L2" s="587"/>
      <c r="M2" s="86"/>
      <c r="N2" s="86"/>
      <c r="O2" s="86"/>
      <c r="P2" s="86"/>
      <c r="Q2" s="86"/>
      <c r="R2" s="88"/>
      <c r="S2" s="85"/>
      <c r="T2" s="85"/>
      <c r="U2" s="85"/>
      <c r="V2" s="85"/>
      <c r="W2" s="85"/>
      <c r="X2" s="86"/>
      <c r="Y2" s="86"/>
      <c r="Z2" s="86"/>
      <c r="AA2" s="86"/>
      <c r="AB2" s="86"/>
      <c r="AC2" s="85"/>
      <c r="AD2" s="85"/>
      <c r="AE2" s="85"/>
      <c r="AF2" s="85"/>
      <c r="AG2" s="85"/>
      <c r="AH2" s="85"/>
    </row>
    <row r="3" spans="1:34" ht="15.75" customHeight="1">
      <c r="A3" s="86"/>
      <c r="B3" s="86"/>
      <c r="C3" s="87"/>
      <c r="D3" s="87"/>
      <c r="E3" s="587"/>
      <c r="F3" s="587"/>
      <c r="G3" s="587"/>
      <c r="H3" s="587"/>
      <c r="I3" s="587"/>
      <c r="J3" s="587"/>
      <c r="K3" s="587"/>
      <c r="L3" s="587"/>
      <c r="M3" s="86"/>
      <c r="N3" s="86"/>
      <c r="O3" s="86"/>
      <c r="P3" s="86"/>
      <c r="Q3" s="86"/>
      <c r="R3" s="88"/>
      <c r="S3" s="85"/>
      <c r="T3" s="85"/>
      <c r="U3" s="85"/>
      <c r="V3" s="85"/>
      <c r="W3" s="85"/>
      <c r="X3" s="86"/>
      <c r="Y3" s="86"/>
      <c r="Z3" s="86"/>
      <c r="AA3" s="86"/>
      <c r="AB3" s="86"/>
      <c r="AC3" s="85"/>
      <c r="AD3" s="85"/>
      <c r="AE3" s="85"/>
      <c r="AF3" s="85"/>
      <c r="AG3" s="85"/>
      <c r="AH3" s="85"/>
    </row>
    <row r="4" spans="1:34" ht="15.75" customHeight="1">
      <c r="A4" s="584"/>
      <c r="B4" s="584"/>
      <c r="C4" s="85"/>
      <c r="E4" s="587"/>
      <c r="F4" s="587"/>
      <c r="G4" s="587"/>
      <c r="H4" s="587"/>
      <c r="I4" s="587"/>
      <c r="J4" s="587"/>
      <c r="K4" s="587"/>
      <c r="L4" s="587"/>
      <c r="M4" s="584"/>
      <c r="N4" s="584"/>
      <c r="O4" s="584"/>
      <c r="P4" s="584"/>
      <c r="Q4" s="584"/>
      <c r="R4" s="585"/>
      <c r="S4" s="583"/>
      <c r="T4" s="583"/>
      <c r="U4" s="583"/>
      <c r="V4" s="583"/>
      <c r="W4" s="583"/>
      <c r="X4" s="584"/>
      <c r="Y4" s="584"/>
      <c r="Z4" s="584"/>
      <c r="AA4" s="584"/>
      <c r="AB4" s="584"/>
      <c r="AC4" s="583"/>
      <c r="AD4" s="583"/>
      <c r="AE4" s="583"/>
      <c r="AF4" s="583"/>
      <c r="AG4" s="583"/>
      <c r="AH4" s="583"/>
    </row>
    <row r="5" spans="1:34" ht="5.25" customHeight="1"/>
    <row r="6" spans="1:34">
      <c r="A6" s="590" t="s">
        <v>20</v>
      </c>
      <c r="B6" s="591"/>
      <c r="C6" s="592" t="s">
        <v>640</v>
      </c>
      <c r="D6" s="593"/>
      <c r="E6" s="594" t="s">
        <v>21</v>
      </c>
      <c r="F6" s="594"/>
      <c r="G6" s="595" t="s">
        <v>641</v>
      </c>
      <c r="H6" s="596"/>
      <c r="I6" s="596"/>
      <c r="J6" s="596"/>
      <c r="K6" s="596"/>
      <c r="L6" s="596"/>
      <c r="M6" s="596"/>
      <c r="N6" s="596"/>
      <c r="O6" s="596"/>
      <c r="P6" s="596"/>
      <c r="Q6" s="596"/>
      <c r="R6" s="596"/>
      <c r="S6" s="596"/>
      <c r="T6" s="596"/>
      <c r="U6" s="596"/>
      <c r="V6" s="596"/>
      <c r="W6" s="596"/>
      <c r="X6" s="596"/>
      <c r="Y6" s="596"/>
      <c r="Z6" s="596"/>
      <c r="AA6" s="596"/>
      <c r="AB6" s="596"/>
      <c r="AC6" s="596"/>
      <c r="AD6" s="596"/>
      <c r="AE6" s="596"/>
      <c r="AF6" s="596"/>
      <c r="AG6" s="596"/>
      <c r="AH6" s="597"/>
    </row>
    <row r="7" spans="1:34" ht="5.25" customHeight="1"/>
    <row r="8" spans="1:34">
      <c r="A8" s="598" t="s">
        <v>22</v>
      </c>
      <c r="B8" s="598" t="s">
        <v>23</v>
      </c>
      <c r="C8" s="598"/>
      <c r="D8" s="598" t="s">
        <v>24</v>
      </c>
      <c r="E8" s="600" t="s">
        <v>25</v>
      </c>
      <c r="F8" s="598" t="s">
        <v>26</v>
      </c>
      <c r="G8" s="598"/>
      <c r="H8" s="598"/>
      <c r="I8" s="49"/>
      <c r="J8" s="602" t="s">
        <v>27</v>
      </c>
      <c r="K8" s="598" t="s">
        <v>28</v>
      </c>
      <c r="L8" s="598"/>
      <c r="M8" s="598"/>
      <c r="N8" s="598"/>
      <c r="O8" s="598"/>
      <c r="P8" s="604" t="s">
        <v>29</v>
      </c>
      <c r="Q8" s="604"/>
      <c r="R8" s="604"/>
      <c r="S8" s="604"/>
      <c r="T8" s="604"/>
      <c r="U8" s="604"/>
      <c r="V8" s="604"/>
      <c r="W8" s="604"/>
      <c r="X8" s="604"/>
      <c r="Y8" s="604"/>
      <c r="Z8" s="604"/>
      <c r="AA8" s="604"/>
      <c r="AB8" s="604" t="s">
        <v>30</v>
      </c>
      <c r="AC8" s="604"/>
      <c r="AD8" s="604"/>
      <c r="AE8" s="604"/>
      <c r="AF8" s="604"/>
      <c r="AG8" s="604"/>
      <c r="AH8" s="604"/>
    </row>
    <row r="9" spans="1:34" ht="16.5" thickBot="1">
      <c r="A9" s="599"/>
      <c r="B9" s="599"/>
      <c r="C9" s="599"/>
      <c r="D9" s="599"/>
      <c r="E9" s="601"/>
      <c r="F9" s="50" t="s">
        <v>31</v>
      </c>
      <c r="G9" s="51" t="s">
        <v>32</v>
      </c>
      <c r="H9" s="52" t="s">
        <v>33</v>
      </c>
      <c r="I9" s="53"/>
      <c r="J9" s="603"/>
      <c r="K9" s="50" t="s">
        <v>34</v>
      </c>
      <c r="L9" s="51" t="s">
        <v>35</v>
      </c>
      <c r="M9" s="606" t="s">
        <v>36</v>
      </c>
      <c r="N9" s="606"/>
      <c r="O9" s="607"/>
      <c r="P9" s="605"/>
      <c r="Q9" s="605"/>
      <c r="R9" s="605"/>
      <c r="S9" s="605"/>
      <c r="T9" s="605"/>
      <c r="U9" s="605"/>
      <c r="V9" s="605"/>
      <c r="W9" s="605"/>
      <c r="X9" s="605"/>
      <c r="Y9" s="605"/>
      <c r="Z9" s="605"/>
      <c r="AA9" s="605"/>
      <c r="AB9" s="605"/>
      <c r="AC9" s="605"/>
      <c r="AD9" s="605"/>
      <c r="AE9" s="605"/>
      <c r="AF9" s="605"/>
      <c r="AG9" s="605"/>
      <c r="AH9" s="605"/>
    </row>
    <row r="10" spans="1:34" ht="16.5" thickTop="1">
      <c r="A10" s="54">
        <f>+IF(C10&lt;&gt;"",ROW()-9,"")</f>
        <v>1</v>
      </c>
      <c r="B10" s="55"/>
      <c r="C10" s="55" t="s">
        <v>582</v>
      </c>
      <c r="D10" s="56"/>
      <c r="E10" s="83"/>
      <c r="F10" s="83"/>
      <c r="G10" s="83"/>
      <c r="H10" s="83"/>
      <c r="I10" s="54"/>
      <c r="J10" s="58"/>
      <c r="K10" s="83"/>
      <c r="L10" s="83"/>
      <c r="M10" s="589"/>
      <c r="N10" s="589"/>
      <c r="O10" s="589"/>
      <c r="P10" s="59"/>
      <c r="Q10" s="59"/>
      <c r="R10" s="59"/>
      <c r="S10" s="59"/>
      <c r="T10" s="59"/>
      <c r="U10" s="59"/>
      <c r="V10" s="59"/>
      <c r="W10" s="59"/>
      <c r="X10" s="59"/>
      <c r="Y10" s="59"/>
      <c r="Z10" s="59"/>
      <c r="AA10" s="59"/>
      <c r="AB10" s="60"/>
      <c r="AC10" s="59"/>
      <c r="AD10" s="59"/>
      <c r="AE10" s="59"/>
      <c r="AF10" s="59"/>
      <c r="AG10" s="59"/>
      <c r="AH10" s="58"/>
    </row>
    <row r="11" spans="1:34">
      <c r="A11" s="83">
        <f t="shared" ref="A11:A21" si="0">+IF(C11&lt;&gt;"",ROW()-9,"")</f>
        <v>2</v>
      </c>
      <c r="B11" s="83"/>
      <c r="C11" s="83" t="s">
        <v>642</v>
      </c>
      <c r="D11" s="56"/>
      <c r="E11" s="83"/>
      <c r="F11" s="83"/>
      <c r="G11" s="83"/>
      <c r="H11" s="83"/>
      <c r="I11" s="54"/>
      <c r="J11" s="58"/>
      <c r="K11" s="83"/>
      <c r="L11" s="83"/>
      <c r="M11" s="589"/>
      <c r="N11" s="589"/>
      <c r="O11" s="589"/>
      <c r="P11" s="54"/>
      <c r="Q11" s="59"/>
      <c r="R11" s="59"/>
      <c r="S11" s="59"/>
      <c r="T11" s="59"/>
      <c r="U11" s="59"/>
      <c r="V11" s="59"/>
      <c r="W11" s="59"/>
      <c r="X11" s="59"/>
      <c r="Y11" s="59"/>
      <c r="Z11" s="59"/>
      <c r="AA11" s="59"/>
      <c r="AB11" s="54"/>
      <c r="AC11" s="59"/>
      <c r="AD11" s="59"/>
      <c r="AE11" s="59"/>
      <c r="AF11" s="59"/>
      <c r="AG11" s="59"/>
      <c r="AH11" s="58"/>
    </row>
    <row r="12" spans="1:34">
      <c r="A12" s="83">
        <f t="shared" si="0"/>
        <v>3</v>
      </c>
      <c r="B12" s="83"/>
      <c r="C12" s="83" t="s">
        <v>643</v>
      </c>
      <c r="D12" s="56"/>
      <c r="E12" s="83"/>
      <c r="F12" s="83"/>
      <c r="G12" s="83"/>
      <c r="H12" s="83"/>
      <c r="I12" s="54"/>
      <c r="J12" s="58"/>
      <c r="K12" s="83"/>
      <c r="L12" s="83"/>
      <c r="M12" s="589"/>
      <c r="N12" s="589"/>
      <c r="O12" s="589"/>
      <c r="P12" s="54"/>
      <c r="Q12" s="59"/>
      <c r="R12" s="59"/>
      <c r="S12" s="59"/>
      <c r="T12" s="59"/>
      <c r="U12" s="59"/>
      <c r="V12" s="59"/>
      <c r="W12" s="59"/>
      <c r="X12" s="59"/>
      <c r="Y12" s="59"/>
      <c r="Z12" s="59"/>
      <c r="AA12" s="59"/>
      <c r="AB12" s="54"/>
      <c r="AC12" s="59"/>
      <c r="AD12" s="59"/>
      <c r="AE12" s="59"/>
      <c r="AF12" s="59"/>
      <c r="AG12" s="59"/>
      <c r="AH12" s="58"/>
    </row>
    <row r="13" spans="1:34">
      <c r="A13" s="83">
        <f t="shared" si="0"/>
        <v>4</v>
      </c>
      <c r="B13" s="83"/>
      <c r="C13" s="83" t="s">
        <v>644</v>
      </c>
      <c r="D13" s="56"/>
      <c r="E13" s="83"/>
      <c r="F13" s="83"/>
      <c r="G13" s="83"/>
      <c r="H13" s="83"/>
      <c r="I13" s="54"/>
      <c r="J13" s="58"/>
      <c r="K13" s="83"/>
      <c r="L13" s="83"/>
      <c r="M13" s="589"/>
      <c r="N13" s="589"/>
      <c r="O13" s="589"/>
      <c r="P13" s="54"/>
      <c r="Q13" s="59"/>
      <c r="R13" s="59"/>
      <c r="S13" s="59"/>
      <c r="T13" s="59"/>
      <c r="U13" s="59"/>
      <c r="V13" s="59"/>
      <c r="W13" s="59"/>
      <c r="X13" s="59"/>
      <c r="Y13" s="59"/>
      <c r="Z13" s="59"/>
      <c r="AA13" s="59"/>
      <c r="AB13" s="54"/>
      <c r="AC13" s="59"/>
      <c r="AD13" s="59"/>
      <c r="AE13" s="59"/>
      <c r="AF13" s="59"/>
      <c r="AG13" s="59"/>
      <c r="AH13" s="58"/>
    </row>
    <row r="14" spans="1:34">
      <c r="A14" s="83">
        <f t="shared" si="0"/>
        <v>5</v>
      </c>
      <c r="B14" s="83"/>
      <c r="C14" s="83" t="s">
        <v>645</v>
      </c>
      <c r="D14" s="56"/>
      <c r="E14" s="83"/>
      <c r="F14" s="83"/>
      <c r="G14" s="83"/>
      <c r="H14" s="83"/>
      <c r="I14" s="54"/>
      <c r="J14" s="58"/>
      <c r="K14" s="83"/>
      <c r="L14" s="83"/>
      <c r="M14" s="589"/>
      <c r="N14" s="589"/>
      <c r="O14" s="589"/>
      <c r="P14" s="54"/>
      <c r="Q14" s="59"/>
      <c r="R14" s="59"/>
      <c r="S14" s="59"/>
      <c r="T14" s="59"/>
      <c r="U14" s="59"/>
      <c r="V14" s="59"/>
      <c r="W14" s="59"/>
      <c r="X14" s="59"/>
      <c r="Y14" s="59"/>
      <c r="Z14" s="59"/>
      <c r="AA14" s="59"/>
      <c r="AB14" s="54"/>
      <c r="AC14" s="59"/>
      <c r="AD14" s="59"/>
      <c r="AE14" s="59"/>
      <c r="AF14" s="59"/>
      <c r="AG14" s="59"/>
      <c r="AH14" s="58"/>
    </row>
    <row r="15" spans="1:34">
      <c r="A15" s="83">
        <f t="shared" si="0"/>
        <v>6</v>
      </c>
      <c r="B15" s="83"/>
      <c r="C15" s="83" t="s">
        <v>646</v>
      </c>
      <c r="D15" s="56"/>
      <c r="E15" s="83"/>
      <c r="F15" s="83"/>
      <c r="G15" s="83"/>
      <c r="H15" s="83"/>
      <c r="I15" s="54"/>
      <c r="J15" s="58"/>
      <c r="K15" s="83"/>
      <c r="L15" s="83"/>
      <c r="M15" s="589"/>
      <c r="N15" s="589"/>
      <c r="O15" s="589"/>
      <c r="P15" s="54"/>
      <c r="Q15" s="59"/>
      <c r="R15" s="59"/>
      <c r="S15" s="59"/>
      <c r="T15" s="59"/>
      <c r="U15" s="59"/>
      <c r="V15" s="59"/>
      <c r="W15" s="59"/>
      <c r="X15" s="59"/>
      <c r="Y15" s="59"/>
      <c r="Z15" s="59"/>
      <c r="AA15" s="59"/>
      <c r="AB15" s="54"/>
      <c r="AC15" s="59"/>
      <c r="AD15" s="59"/>
      <c r="AE15" s="59"/>
      <c r="AF15" s="59"/>
      <c r="AG15" s="59"/>
      <c r="AH15" s="58"/>
    </row>
    <row r="16" spans="1:34">
      <c r="A16" s="83">
        <f t="shared" si="0"/>
        <v>7</v>
      </c>
      <c r="B16" s="83"/>
      <c r="C16" s="83" t="s">
        <v>647</v>
      </c>
      <c r="D16" s="56"/>
      <c r="E16" s="83"/>
      <c r="F16" s="83"/>
      <c r="G16" s="83"/>
      <c r="H16" s="83"/>
      <c r="I16" s="54"/>
      <c r="J16" s="58"/>
      <c r="K16" s="83"/>
      <c r="L16" s="83"/>
      <c r="M16" s="589"/>
      <c r="N16" s="589"/>
      <c r="O16" s="589"/>
      <c r="P16" s="54"/>
      <c r="Q16" s="59"/>
      <c r="R16" s="59"/>
      <c r="S16" s="59"/>
      <c r="T16" s="59"/>
      <c r="U16" s="59"/>
      <c r="V16" s="59"/>
      <c r="W16" s="59"/>
      <c r="X16" s="59"/>
      <c r="Y16" s="59"/>
      <c r="Z16" s="59"/>
      <c r="AA16" s="59"/>
      <c r="AB16" s="54"/>
      <c r="AC16" s="59"/>
      <c r="AD16" s="59"/>
      <c r="AE16" s="59"/>
      <c r="AF16" s="59"/>
      <c r="AG16" s="59"/>
      <c r="AH16" s="58"/>
    </row>
    <row r="17" spans="1:34">
      <c r="A17" s="83">
        <f t="shared" si="0"/>
        <v>8</v>
      </c>
      <c r="B17" s="83"/>
      <c r="C17" s="83" t="s">
        <v>648</v>
      </c>
      <c r="D17" s="56"/>
      <c r="E17" s="83"/>
      <c r="F17" s="83"/>
      <c r="G17" s="83"/>
      <c r="H17" s="83"/>
      <c r="I17" s="54"/>
      <c r="J17" s="58"/>
      <c r="K17" s="83"/>
      <c r="L17" s="83"/>
      <c r="M17" s="589"/>
      <c r="N17" s="589"/>
      <c r="O17" s="589"/>
      <c r="P17" s="54"/>
      <c r="Q17" s="59"/>
      <c r="R17" s="59"/>
      <c r="S17" s="59"/>
      <c r="T17" s="59"/>
      <c r="U17" s="59"/>
      <c r="V17" s="59"/>
      <c r="W17" s="59"/>
      <c r="X17" s="59"/>
      <c r="Y17" s="59"/>
      <c r="Z17" s="59"/>
      <c r="AA17" s="59"/>
      <c r="AB17" s="54"/>
      <c r="AC17" s="59"/>
      <c r="AD17" s="59"/>
      <c r="AE17" s="59"/>
      <c r="AF17" s="59"/>
      <c r="AG17" s="59"/>
      <c r="AH17" s="58"/>
    </row>
    <row r="18" spans="1:34">
      <c r="A18" s="83">
        <f t="shared" si="0"/>
        <v>9</v>
      </c>
      <c r="B18" s="83"/>
      <c r="C18" s="83" t="s">
        <v>649</v>
      </c>
      <c r="D18" s="56"/>
      <c r="E18" s="83"/>
      <c r="F18" s="83"/>
      <c r="G18" s="83"/>
      <c r="H18" s="83"/>
      <c r="I18" s="54"/>
      <c r="J18" s="58"/>
      <c r="K18" s="83"/>
      <c r="L18" s="83"/>
      <c r="M18" s="589"/>
      <c r="N18" s="589"/>
      <c r="O18" s="589"/>
      <c r="P18" s="54"/>
      <c r="Q18" s="59"/>
      <c r="R18" s="59"/>
      <c r="S18" s="59"/>
      <c r="T18" s="59"/>
      <c r="U18" s="59"/>
      <c r="V18" s="59"/>
      <c r="W18" s="59"/>
      <c r="X18" s="59"/>
      <c r="Y18" s="59"/>
      <c r="Z18" s="59"/>
      <c r="AA18" s="59"/>
      <c r="AB18" s="54"/>
      <c r="AC18" s="59"/>
      <c r="AD18" s="59"/>
      <c r="AE18" s="59"/>
      <c r="AF18" s="59"/>
      <c r="AG18" s="59"/>
      <c r="AH18" s="58"/>
    </row>
    <row r="19" spans="1:34">
      <c r="A19" s="83">
        <f t="shared" si="0"/>
        <v>10</v>
      </c>
      <c r="B19" s="83"/>
      <c r="C19" s="83" t="s">
        <v>650</v>
      </c>
      <c r="D19" s="56"/>
      <c r="E19" s="83"/>
      <c r="F19" s="83"/>
      <c r="G19" s="83"/>
      <c r="H19" s="83"/>
      <c r="I19" s="54"/>
      <c r="J19" s="58"/>
      <c r="K19" s="83"/>
      <c r="L19" s="83"/>
      <c r="M19" s="589"/>
      <c r="N19" s="589"/>
      <c r="O19" s="589"/>
      <c r="P19" s="54"/>
      <c r="Q19" s="59"/>
      <c r="R19" s="59"/>
      <c r="S19" s="59"/>
      <c r="T19" s="59"/>
      <c r="U19" s="59"/>
      <c r="V19" s="59"/>
      <c r="W19" s="59"/>
      <c r="X19" s="59"/>
      <c r="Y19" s="59"/>
      <c r="Z19" s="59"/>
      <c r="AA19" s="59"/>
      <c r="AB19" s="54"/>
      <c r="AC19" s="59"/>
      <c r="AD19" s="59"/>
      <c r="AE19" s="59"/>
      <c r="AF19" s="59"/>
      <c r="AG19" s="59"/>
      <c r="AH19" s="58"/>
    </row>
    <row r="20" spans="1:34">
      <c r="A20" s="83">
        <f t="shared" si="0"/>
        <v>11</v>
      </c>
      <c r="B20" s="83"/>
      <c r="C20" s="83" t="s">
        <v>587</v>
      </c>
      <c r="D20" s="56"/>
      <c r="E20" s="83"/>
      <c r="F20" s="83"/>
      <c r="G20" s="83"/>
      <c r="H20" s="83"/>
      <c r="I20" s="54"/>
      <c r="J20" s="58"/>
      <c r="K20" s="83"/>
      <c r="L20" s="83"/>
      <c r="M20" s="589"/>
      <c r="N20" s="589"/>
      <c r="O20" s="589"/>
      <c r="P20" s="54"/>
      <c r="Q20" s="59"/>
      <c r="R20" s="59"/>
      <c r="S20" s="59"/>
      <c r="T20" s="59"/>
      <c r="U20" s="59"/>
      <c r="V20" s="59"/>
      <c r="W20" s="59"/>
      <c r="X20" s="59"/>
      <c r="Y20" s="59"/>
      <c r="Z20" s="59"/>
      <c r="AA20" s="59"/>
      <c r="AB20" s="54"/>
      <c r="AC20" s="59"/>
      <c r="AD20" s="59"/>
      <c r="AE20" s="59"/>
      <c r="AF20" s="59"/>
      <c r="AG20" s="59"/>
      <c r="AH20" s="58"/>
    </row>
    <row r="21" spans="1:34">
      <c r="A21" s="83">
        <f t="shared" si="0"/>
        <v>12</v>
      </c>
      <c r="B21" s="83"/>
      <c r="C21" s="83" t="s">
        <v>651</v>
      </c>
      <c r="D21" s="56"/>
      <c r="E21" s="83"/>
      <c r="F21" s="83"/>
      <c r="G21" s="83"/>
      <c r="H21" s="83"/>
      <c r="I21" s="54"/>
      <c r="J21" s="58"/>
      <c r="K21" s="83"/>
      <c r="L21" s="83"/>
      <c r="M21" s="589"/>
      <c r="N21" s="589"/>
      <c r="O21" s="589"/>
      <c r="P21" s="54"/>
      <c r="Q21" s="59"/>
      <c r="R21" s="59"/>
      <c r="S21" s="59"/>
      <c r="T21" s="59"/>
      <c r="U21" s="59"/>
      <c r="V21" s="59"/>
      <c r="W21" s="59"/>
      <c r="X21" s="59"/>
      <c r="Y21" s="59"/>
      <c r="Z21" s="59"/>
      <c r="AA21" s="59"/>
      <c r="AB21" s="54"/>
      <c r="AC21" s="59"/>
      <c r="AD21" s="59"/>
      <c r="AE21" s="59"/>
      <c r="AF21" s="59"/>
      <c r="AG21" s="59"/>
      <c r="AH21" s="58"/>
    </row>
    <row r="22" spans="1:34">
      <c r="A22" s="83">
        <f t="shared" ref="A22:A29" si="1">+IF(C22&lt;&gt;"",ROW()-9,"")</f>
        <v>13</v>
      </c>
      <c r="B22" s="83"/>
      <c r="C22" s="83" t="s">
        <v>652</v>
      </c>
      <c r="D22" s="56"/>
      <c r="E22" s="83"/>
      <c r="F22" s="83"/>
      <c r="G22" s="83"/>
      <c r="H22" s="83"/>
      <c r="I22" s="54"/>
      <c r="J22" s="58"/>
      <c r="K22" s="83"/>
      <c r="L22" s="83"/>
      <c r="M22" s="589"/>
      <c r="N22" s="589"/>
      <c r="O22" s="589"/>
      <c r="P22" s="54"/>
      <c r="Q22" s="59"/>
      <c r="R22" s="59"/>
      <c r="S22" s="59"/>
      <c r="T22" s="59"/>
      <c r="U22" s="59"/>
      <c r="V22" s="59"/>
      <c r="W22" s="59"/>
      <c r="X22" s="59"/>
      <c r="Y22" s="59"/>
      <c r="Z22" s="59"/>
      <c r="AA22" s="59"/>
      <c r="AB22" s="54"/>
      <c r="AC22" s="59"/>
      <c r="AD22" s="59"/>
      <c r="AE22" s="59"/>
      <c r="AF22" s="59"/>
      <c r="AG22" s="59"/>
      <c r="AH22" s="58"/>
    </row>
    <row r="23" spans="1:34">
      <c r="A23" s="83">
        <f t="shared" si="1"/>
        <v>14</v>
      </c>
      <c r="B23" s="83"/>
      <c r="C23" s="83" t="s">
        <v>653</v>
      </c>
      <c r="D23" s="56"/>
      <c r="E23" s="83"/>
      <c r="F23" s="83"/>
      <c r="G23" s="83"/>
      <c r="H23" s="83"/>
      <c r="I23" s="54"/>
      <c r="J23" s="58"/>
      <c r="K23" s="83"/>
      <c r="L23" s="83"/>
      <c r="M23" s="589"/>
      <c r="N23" s="589"/>
      <c r="O23" s="589"/>
      <c r="P23" s="54"/>
      <c r="Q23" s="59"/>
      <c r="R23" s="59"/>
      <c r="S23" s="59"/>
      <c r="T23" s="59"/>
      <c r="U23" s="59"/>
      <c r="V23" s="59"/>
      <c r="W23" s="59"/>
      <c r="X23" s="59"/>
      <c r="Y23" s="59"/>
      <c r="Z23" s="59"/>
      <c r="AA23" s="59"/>
      <c r="AB23" s="54"/>
      <c r="AC23" s="59"/>
      <c r="AD23" s="59"/>
      <c r="AE23" s="59"/>
      <c r="AF23" s="59"/>
      <c r="AG23" s="59"/>
      <c r="AH23" s="58"/>
    </row>
    <row r="24" spans="1:34">
      <c r="A24" s="83">
        <f t="shared" si="1"/>
        <v>15</v>
      </c>
      <c r="B24" s="83"/>
      <c r="C24" s="83" t="s">
        <v>654</v>
      </c>
      <c r="D24" s="56"/>
      <c r="E24" s="83"/>
      <c r="F24" s="83"/>
      <c r="G24" s="83"/>
      <c r="H24" s="83"/>
      <c r="I24" s="54"/>
      <c r="J24" s="58"/>
      <c r="K24" s="83"/>
      <c r="L24" s="83"/>
      <c r="M24" s="589"/>
      <c r="N24" s="589"/>
      <c r="O24" s="589"/>
      <c r="P24" s="54"/>
      <c r="Q24" s="59"/>
      <c r="R24" s="59"/>
      <c r="S24" s="59"/>
      <c r="T24" s="59"/>
      <c r="U24" s="59"/>
      <c r="V24" s="59"/>
      <c r="W24" s="59"/>
      <c r="X24" s="59"/>
      <c r="Y24" s="59"/>
      <c r="Z24" s="59"/>
      <c r="AA24" s="59"/>
      <c r="AB24" s="54"/>
      <c r="AC24" s="59"/>
      <c r="AD24" s="59"/>
      <c r="AE24" s="59"/>
      <c r="AF24" s="59"/>
      <c r="AG24" s="59"/>
      <c r="AH24" s="58"/>
    </row>
    <row r="25" spans="1:34">
      <c r="A25" s="83">
        <f t="shared" si="1"/>
        <v>16</v>
      </c>
      <c r="B25" s="83"/>
      <c r="C25" s="83" t="s">
        <v>655</v>
      </c>
      <c r="D25" s="56"/>
      <c r="E25" s="83"/>
      <c r="F25" s="83"/>
      <c r="G25" s="83"/>
      <c r="H25" s="83"/>
      <c r="I25" s="54"/>
      <c r="J25" s="58"/>
      <c r="K25" s="83"/>
      <c r="L25" s="83"/>
      <c r="M25" s="589"/>
      <c r="N25" s="589"/>
      <c r="O25" s="589"/>
      <c r="P25" s="54"/>
      <c r="Q25" s="59"/>
      <c r="R25" s="59"/>
      <c r="S25" s="59"/>
      <c r="T25" s="59"/>
      <c r="U25" s="59"/>
      <c r="V25" s="59"/>
      <c r="W25" s="59"/>
      <c r="X25" s="59"/>
      <c r="Y25" s="59"/>
      <c r="Z25" s="59"/>
      <c r="AA25" s="59"/>
      <c r="AB25" s="54"/>
      <c r="AC25" s="59"/>
      <c r="AD25" s="59"/>
      <c r="AE25" s="59"/>
      <c r="AF25" s="59"/>
      <c r="AG25" s="59"/>
      <c r="AH25" s="58"/>
    </row>
    <row r="26" spans="1:34">
      <c r="A26" s="83">
        <f t="shared" si="1"/>
        <v>17</v>
      </c>
      <c r="B26" s="83"/>
      <c r="C26" s="83" t="s">
        <v>656</v>
      </c>
      <c r="D26" s="56"/>
      <c r="E26" s="83"/>
      <c r="F26" s="83"/>
      <c r="G26" s="83"/>
      <c r="H26" s="83"/>
      <c r="I26" s="54"/>
      <c r="J26" s="58"/>
      <c r="K26" s="83"/>
      <c r="L26" s="83"/>
      <c r="M26" s="589"/>
      <c r="N26" s="589"/>
      <c r="O26" s="589"/>
      <c r="P26" s="54"/>
      <c r="Q26" s="59"/>
      <c r="R26" s="59"/>
      <c r="S26" s="59"/>
      <c r="T26" s="59"/>
      <c r="U26" s="59"/>
      <c r="V26" s="59"/>
      <c r="W26" s="59"/>
      <c r="X26" s="59"/>
      <c r="Y26" s="59"/>
      <c r="Z26" s="59"/>
      <c r="AA26" s="59"/>
      <c r="AB26" s="54"/>
      <c r="AC26" s="59"/>
      <c r="AD26" s="59"/>
      <c r="AE26" s="59"/>
      <c r="AF26" s="59"/>
      <c r="AG26" s="59"/>
      <c r="AH26" s="58"/>
    </row>
    <row r="27" spans="1:34">
      <c r="A27" s="83">
        <f t="shared" si="1"/>
        <v>18</v>
      </c>
      <c r="B27" s="83"/>
      <c r="C27" s="83" t="s">
        <v>657</v>
      </c>
      <c r="D27" s="56"/>
      <c r="E27" s="83"/>
      <c r="F27" s="83"/>
      <c r="G27" s="83"/>
      <c r="H27" s="83"/>
      <c r="I27" s="54"/>
      <c r="J27" s="58"/>
      <c r="L27" s="83"/>
      <c r="M27" s="589"/>
      <c r="N27" s="589"/>
      <c r="O27" s="589"/>
      <c r="P27" s="54"/>
      <c r="Q27" s="59"/>
      <c r="R27" s="59"/>
      <c r="S27" s="59"/>
      <c r="T27" s="59"/>
      <c r="U27" s="59"/>
      <c r="V27" s="59"/>
      <c r="W27" s="59"/>
      <c r="X27" s="59"/>
      <c r="Y27" s="59"/>
      <c r="Z27" s="59"/>
      <c r="AA27" s="59"/>
      <c r="AB27" s="54"/>
      <c r="AC27" s="59"/>
      <c r="AD27" s="59"/>
      <c r="AE27" s="59"/>
      <c r="AF27" s="59"/>
      <c r="AG27" s="59"/>
      <c r="AH27" s="58"/>
    </row>
    <row r="28" spans="1:34">
      <c r="A28" s="83">
        <f t="shared" si="1"/>
        <v>19</v>
      </c>
      <c r="B28" s="83"/>
      <c r="C28" s="83" t="s">
        <v>677</v>
      </c>
      <c r="D28" s="56"/>
      <c r="E28" s="83"/>
      <c r="F28" s="83"/>
      <c r="G28" s="83"/>
      <c r="H28" s="83"/>
      <c r="I28" s="54"/>
      <c r="J28" s="58"/>
      <c r="K28" s="83"/>
      <c r="L28" s="83"/>
      <c r="M28" s="589"/>
      <c r="N28" s="589"/>
      <c r="O28" s="589"/>
      <c r="P28" s="54"/>
      <c r="Q28" s="59"/>
      <c r="R28" s="59"/>
      <c r="S28" s="59"/>
      <c r="T28" s="59"/>
      <c r="U28" s="59"/>
      <c r="V28" s="59"/>
      <c r="W28" s="59"/>
      <c r="X28" s="59"/>
      <c r="Y28" s="59"/>
      <c r="Z28" s="59"/>
      <c r="AA28" s="59"/>
      <c r="AB28" s="54"/>
      <c r="AC28" s="59"/>
      <c r="AD28" s="59"/>
      <c r="AE28" s="59"/>
      <c r="AF28" s="59"/>
      <c r="AG28" s="59"/>
      <c r="AH28" s="58"/>
    </row>
    <row r="29" spans="1:34">
      <c r="A29" s="83">
        <f t="shared" si="1"/>
        <v>20</v>
      </c>
      <c r="B29" s="83"/>
      <c r="C29" s="83" t="s">
        <v>658</v>
      </c>
      <c r="D29" s="56"/>
      <c r="E29" s="83"/>
      <c r="F29" s="83"/>
      <c r="G29" s="83"/>
      <c r="H29" s="83"/>
      <c r="I29" s="54"/>
      <c r="J29" s="58"/>
      <c r="K29" s="83"/>
      <c r="L29" s="83"/>
      <c r="M29" s="589"/>
      <c r="N29" s="589"/>
      <c r="O29" s="589"/>
      <c r="P29" s="54"/>
      <c r="Q29" s="59"/>
      <c r="R29" s="59"/>
      <c r="S29" s="59"/>
      <c r="T29" s="59"/>
      <c r="U29" s="59"/>
      <c r="V29" s="59"/>
      <c r="W29" s="59"/>
      <c r="X29" s="59"/>
      <c r="Y29" s="59"/>
      <c r="Z29" s="59"/>
      <c r="AA29" s="59"/>
      <c r="AB29" s="54"/>
      <c r="AC29" s="59"/>
      <c r="AD29" s="59"/>
      <c r="AE29" s="59"/>
      <c r="AF29" s="59"/>
      <c r="AG29" s="59"/>
      <c r="AH29" s="58"/>
    </row>
    <row r="30" spans="1:34">
      <c r="A30" s="83">
        <f t="shared" ref="A30:A36" si="2">+IF(C30&lt;&gt;"",ROW()-9,"")</f>
        <v>21</v>
      </c>
      <c r="B30" s="83"/>
      <c r="C30" s="83" t="s">
        <v>659</v>
      </c>
      <c r="D30" s="56"/>
      <c r="E30" s="83"/>
      <c r="F30" s="83"/>
      <c r="G30" s="83"/>
      <c r="H30" s="83"/>
      <c r="I30" s="54"/>
      <c r="J30" s="58"/>
      <c r="K30" s="83"/>
      <c r="L30" s="83"/>
      <c r="M30" s="589"/>
      <c r="N30" s="589"/>
      <c r="O30" s="589"/>
      <c r="P30" s="54"/>
      <c r="Q30" s="59"/>
      <c r="R30" s="59"/>
      <c r="S30" s="59"/>
      <c r="T30" s="59"/>
      <c r="U30" s="59"/>
      <c r="V30" s="59"/>
      <c r="W30" s="59"/>
      <c r="X30" s="59"/>
      <c r="Y30" s="59"/>
      <c r="Z30" s="59"/>
      <c r="AA30" s="59"/>
      <c r="AB30" s="54"/>
      <c r="AC30" s="59"/>
      <c r="AD30" s="59"/>
      <c r="AE30" s="59"/>
      <c r="AF30" s="59"/>
      <c r="AG30" s="59"/>
      <c r="AH30" s="58"/>
    </row>
    <row r="31" spans="1:34">
      <c r="A31" s="83">
        <f t="shared" si="2"/>
        <v>22</v>
      </c>
      <c r="B31" s="83"/>
      <c r="C31" s="83" t="s">
        <v>660</v>
      </c>
      <c r="D31" s="56"/>
      <c r="E31" s="83"/>
      <c r="F31" s="83"/>
      <c r="G31" s="83"/>
      <c r="H31" s="83"/>
      <c r="I31" s="54"/>
      <c r="J31" s="58"/>
      <c r="K31" s="83"/>
      <c r="L31" s="83"/>
      <c r="M31" s="589"/>
      <c r="N31" s="589"/>
      <c r="O31" s="589"/>
      <c r="P31" s="54"/>
      <c r="Q31" s="59"/>
      <c r="R31" s="59"/>
      <c r="S31" s="59"/>
      <c r="T31" s="59"/>
      <c r="U31" s="59"/>
      <c r="V31" s="59"/>
      <c r="W31" s="59"/>
      <c r="X31" s="59"/>
      <c r="Y31" s="59"/>
      <c r="Z31" s="59"/>
      <c r="AA31" s="59"/>
      <c r="AB31" s="54"/>
      <c r="AC31" s="59"/>
      <c r="AD31" s="59"/>
      <c r="AE31" s="59"/>
      <c r="AF31" s="59"/>
      <c r="AG31" s="59"/>
      <c r="AH31" s="58"/>
    </row>
    <row r="32" spans="1:34">
      <c r="A32" s="83">
        <f t="shared" si="2"/>
        <v>23</v>
      </c>
      <c r="B32" s="83"/>
      <c r="C32" s="83" t="s">
        <v>661</v>
      </c>
      <c r="D32" s="56"/>
      <c r="E32" s="83"/>
      <c r="F32" s="83"/>
      <c r="G32" s="83"/>
      <c r="H32" s="83"/>
      <c r="I32" s="54"/>
      <c r="J32" s="58"/>
      <c r="K32" s="83"/>
      <c r="L32" s="83"/>
      <c r="M32" s="589"/>
      <c r="N32" s="589"/>
      <c r="O32" s="589"/>
      <c r="P32" s="54"/>
      <c r="Q32" s="59"/>
      <c r="R32" s="59"/>
      <c r="S32" s="59"/>
      <c r="T32" s="59"/>
      <c r="U32" s="59"/>
      <c r="V32" s="59"/>
      <c r="W32" s="59"/>
      <c r="X32" s="59"/>
      <c r="Y32" s="59"/>
      <c r="Z32" s="59"/>
      <c r="AA32" s="59"/>
      <c r="AB32" s="54"/>
      <c r="AC32" s="59"/>
      <c r="AD32" s="59"/>
      <c r="AE32" s="59"/>
      <c r="AF32" s="59"/>
      <c r="AG32" s="59"/>
      <c r="AH32" s="58"/>
    </row>
    <row r="33" spans="1:34">
      <c r="A33" s="83">
        <f t="shared" si="2"/>
        <v>24</v>
      </c>
      <c r="B33" s="83"/>
      <c r="C33" s="83" t="s">
        <v>662</v>
      </c>
      <c r="D33" s="56"/>
      <c r="E33" s="83"/>
      <c r="F33" s="83"/>
      <c r="G33" s="83"/>
      <c r="H33" s="83"/>
      <c r="I33" s="54"/>
      <c r="J33" s="58"/>
      <c r="K33" s="83"/>
      <c r="L33" s="83"/>
      <c r="M33" s="589"/>
      <c r="N33" s="589"/>
      <c r="O33" s="589"/>
      <c r="P33" s="54"/>
      <c r="Q33" s="59"/>
      <c r="R33" s="59"/>
      <c r="S33" s="59"/>
      <c r="T33" s="59"/>
      <c r="U33" s="59"/>
      <c r="V33" s="59"/>
      <c r="W33" s="59"/>
      <c r="X33" s="59"/>
      <c r="Y33" s="59"/>
      <c r="Z33" s="59"/>
      <c r="AA33" s="59"/>
      <c r="AB33" s="54"/>
      <c r="AC33" s="59"/>
      <c r="AD33" s="59"/>
      <c r="AE33" s="59"/>
      <c r="AF33" s="59"/>
      <c r="AG33" s="59"/>
      <c r="AH33" s="58"/>
    </row>
    <row r="34" spans="1:34">
      <c r="A34" s="83">
        <f t="shared" si="2"/>
        <v>25</v>
      </c>
      <c r="B34" s="83"/>
      <c r="C34" s="83" t="s">
        <v>663</v>
      </c>
      <c r="D34" s="56"/>
      <c r="E34" s="83"/>
      <c r="F34" s="83"/>
      <c r="G34" s="83"/>
      <c r="H34" s="83"/>
      <c r="I34" s="54"/>
      <c r="J34" s="58"/>
      <c r="K34" s="83"/>
      <c r="L34" s="83"/>
      <c r="M34" s="589"/>
      <c r="N34" s="589"/>
      <c r="O34" s="589"/>
      <c r="P34" s="54"/>
      <c r="Q34" s="59"/>
      <c r="R34" s="59"/>
      <c r="S34" s="59"/>
      <c r="T34" s="59"/>
      <c r="U34" s="59"/>
      <c r="V34" s="59"/>
      <c r="W34" s="59"/>
      <c r="X34" s="59"/>
      <c r="Y34" s="59"/>
      <c r="Z34" s="59"/>
      <c r="AA34" s="59"/>
      <c r="AB34" s="54"/>
      <c r="AC34" s="59"/>
      <c r="AD34" s="59"/>
      <c r="AE34" s="59"/>
      <c r="AF34" s="59"/>
      <c r="AG34" s="59"/>
      <c r="AH34" s="58"/>
    </row>
    <row r="35" spans="1:34">
      <c r="A35" s="83">
        <f t="shared" si="2"/>
        <v>26</v>
      </c>
      <c r="B35" s="83"/>
      <c r="C35" s="83" t="s">
        <v>664</v>
      </c>
      <c r="D35" s="56"/>
      <c r="E35" s="83"/>
      <c r="F35" s="83"/>
      <c r="G35" s="83"/>
      <c r="H35" s="83"/>
      <c r="I35" s="54"/>
      <c r="J35" s="58"/>
      <c r="K35" s="83"/>
      <c r="L35" s="83"/>
      <c r="M35" s="589"/>
      <c r="N35" s="589"/>
      <c r="O35" s="589"/>
      <c r="P35" s="54"/>
      <c r="Q35" s="59"/>
      <c r="R35" s="59"/>
      <c r="S35" s="59"/>
      <c r="T35" s="59"/>
      <c r="U35" s="59"/>
      <c r="V35" s="59"/>
      <c r="W35" s="59"/>
      <c r="X35" s="59"/>
      <c r="Y35" s="59"/>
      <c r="Z35" s="59"/>
      <c r="AA35" s="59"/>
      <c r="AB35" s="54"/>
      <c r="AC35" s="59"/>
      <c r="AD35" s="59"/>
      <c r="AE35" s="59"/>
      <c r="AF35" s="59"/>
      <c r="AG35" s="59"/>
      <c r="AH35" s="58"/>
    </row>
    <row r="36" spans="1:34">
      <c r="A36" s="83">
        <f t="shared" si="2"/>
        <v>27</v>
      </c>
      <c r="B36" s="83"/>
      <c r="C36" s="83" t="s">
        <v>665</v>
      </c>
      <c r="D36" s="56"/>
      <c r="E36" s="83"/>
      <c r="F36" s="83"/>
      <c r="G36" s="83"/>
      <c r="H36" s="83"/>
      <c r="I36" s="54"/>
      <c r="J36" s="58"/>
      <c r="K36" s="83"/>
      <c r="L36" s="83"/>
      <c r="M36" s="589"/>
      <c r="N36" s="589"/>
      <c r="O36" s="589"/>
      <c r="P36" s="54"/>
      <c r="Q36" s="59"/>
      <c r="R36" s="59"/>
      <c r="S36" s="59"/>
      <c r="T36" s="59"/>
      <c r="U36" s="59"/>
      <c r="V36" s="59"/>
      <c r="W36" s="59"/>
      <c r="X36" s="59"/>
      <c r="Y36" s="59"/>
      <c r="Z36" s="59"/>
      <c r="AA36" s="59"/>
      <c r="AB36" s="54"/>
      <c r="AC36" s="59"/>
      <c r="AD36" s="59"/>
      <c r="AE36" s="59"/>
      <c r="AF36" s="59"/>
      <c r="AG36" s="59"/>
      <c r="AH36" s="58"/>
    </row>
    <row r="37" spans="1:34">
      <c r="A37" s="83">
        <f t="shared" ref="A37:A39" si="3">+IF(C37&lt;&gt;"",ROW()-9,"")</f>
        <v>28</v>
      </c>
      <c r="B37" s="83"/>
      <c r="C37" s="83" t="s">
        <v>666</v>
      </c>
      <c r="D37" s="56"/>
      <c r="E37" s="83"/>
      <c r="F37" s="83"/>
      <c r="G37" s="83"/>
      <c r="H37" s="83"/>
      <c r="I37" s="54"/>
      <c r="J37" s="58"/>
      <c r="K37" s="83"/>
      <c r="L37" s="83"/>
      <c r="M37" s="589"/>
      <c r="N37" s="589"/>
      <c r="O37" s="589"/>
      <c r="P37" s="54"/>
      <c r="Q37" s="59"/>
      <c r="R37" s="59"/>
      <c r="S37" s="59"/>
      <c r="T37" s="59"/>
      <c r="U37" s="59"/>
      <c r="V37" s="59"/>
      <c r="W37" s="59"/>
      <c r="X37" s="59"/>
      <c r="Y37" s="59"/>
      <c r="Z37" s="59"/>
      <c r="AA37" s="59"/>
      <c r="AB37" s="54"/>
      <c r="AC37" s="59"/>
      <c r="AD37" s="59"/>
      <c r="AE37" s="59"/>
      <c r="AF37" s="59"/>
      <c r="AG37" s="59"/>
      <c r="AH37" s="58"/>
    </row>
    <row r="38" spans="1:34">
      <c r="A38" s="83">
        <f t="shared" si="3"/>
        <v>29</v>
      </c>
      <c r="B38" s="83"/>
      <c r="C38" s="83" t="s">
        <v>667</v>
      </c>
      <c r="D38" s="56"/>
      <c r="E38" s="83"/>
      <c r="F38" s="83"/>
      <c r="G38" s="83"/>
      <c r="H38" s="83"/>
      <c r="I38" s="54"/>
      <c r="J38" s="58"/>
      <c r="K38" s="83"/>
      <c r="L38" s="83"/>
      <c r="M38" s="589"/>
      <c r="N38" s="589"/>
      <c r="O38" s="589"/>
      <c r="P38" s="54"/>
      <c r="Q38" s="59"/>
      <c r="R38" s="59"/>
      <c r="S38" s="59"/>
      <c r="T38" s="59"/>
      <c r="U38" s="59"/>
      <c r="V38" s="59"/>
      <c r="W38" s="59"/>
      <c r="X38" s="59"/>
      <c r="Y38" s="59"/>
      <c r="Z38" s="59"/>
      <c r="AA38" s="59"/>
      <c r="AB38" s="54"/>
      <c r="AC38" s="59"/>
      <c r="AD38" s="59"/>
      <c r="AE38" s="59"/>
      <c r="AF38" s="59"/>
      <c r="AG38" s="59"/>
      <c r="AH38" s="58"/>
    </row>
    <row r="39" spans="1:34">
      <c r="A39" s="83">
        <f t="shared" si="3"/>
        <v>30</v>
      </c>
      <c r="B39" s="83"/>
      <c r="C39" s="83" t="s">
        <v>668</v>
      </c>
      <c r="D39" s="56"/>
      <c r="E39" s="83"/>
      <c r="F39" s="83"/>
      <c r="G39" s="83"/>
      <c r="H39" s="83"/>
      <c r="I39" s="54"/>
      <c r="J39" s="58"/>
      <c r="K39" s="83"/>
      <c r="L39" s="83"/>
      <c r="M39" s="589"/>
      <c r="N39" s="589"/>
      <c r="O39" s="589"/>
      <c r="P39" s="54"/>
      <c r="Q39" s="59"/>
      <c r="R39" s="59"/>
      <c r="S39" s="59"/>
      <c r="T39" s="59"/>
      <c r="U39" s="59"/>
      <c r="V39" s="59"/>
      <c r="W39" s="59"/>
      <c r="X39" s="59"/>
      <c r="Y39" s="59"/>
      <c r="Z39" s="59"/>
      <c r="AA39" s="59"/>
      <c r="AB39" s="54"/>
      <c r="AC39" s="59"/>
      <c r="AD39" s="59"/>
      <c r="AE39" s="59"/>
      <c r="AF39" s="59"/>
      <c r="AG39" s="59"/>
      <c r="AH39" s="58"/>
    </row>
    <row r="40" spans="1:34">
      <c r="A40" s="83">
        <f t="shared" ref="A40:A42" si="4">+IF(C40&lt;&gt;"",ROW()-9,"")</f>
        <v>31</v>
      </c>
      <c r="B40" s="83"/>
      <c r="C40" s="83" t="s">
        <v>669</v>
      </c>
      <c r="D40" s="56"/>
      <c r="E40" s="83"/>
      <c r="F40" s="83"/>
      <c r="G40" s="83"/>
      <c r="H40" s="83"/>
      <c r="I40" s="54"/>
      <c r="J40" s="58"/>
      <c r="K40" s="83"/>
      <c r="L40" s="83"/>
      <c r="M40" s="589"/>
      <c r="N40" s="589"/>
      <c r="O40" s="589"/>
      <c r="P40" s="54"/>
      <c r="Q40" s="59"/>
      <c r="R40" s="59"/>
      <c r="S40" s="59"/>
      <c r="T40" s="59"/>
      <c r="U40" s="59"/>
      <c r="V40" s="59"/>
      <c r="W40" s="59"/>
      <c r="X40" s="59"/>
      <c r="Y40" s="59"/>
      <c r="Z40" s="59"/>
      <c r="AA40" s="59"/>
      <c r="AB40" s="54"/>
      <c r="AC40" s="59"/>
      <c r="AD40" s="59"/>
      <c r="AE40" s="59"/>
      <c r="AF40" s="59"/>
      <c r="AG40" s="59"/>
      <c r="AH40" s="58"/>
    </row>
    <row r="41" spans="1:34">
      <c r="A41" s="83">
        <f t="shared" si="4"/>
        <v>32</v>
      </c>
      <c r="B41" s="83"/>
      <c r="C41" s="83" t="s">
        <v>670</v>
      </c>
      <c r="D41" s="56"/>
      <c r="E41" s="83"/>
      <c r="F41" s="83"/>
      <c r="G41" s="83"/>
      <c r="H41" s="83"/>
      <c r="I41" s="54"/>
      <c r="J41" s="58"/>
      <c r="K41" s="83"/>
      <c r="L41" s="83"/>
      <c r="M41" s="589"/>
      <c r="N41" s="589"/>
      <c r="O41" s="589"/>
      <c r="P41" s="54"/>
      <c r="Q41" s="59"/>
      <c r="R41" s="59"/>
      <c r="S41" s="59"/>
      <c r="T41" s="59"/>
      <c r="U41" s="59"/>
      <c r="V41" s="59"/>
      <c r="W41" s="59"/>
      <c r="X41" s="59"/>
      <c r="Y41" s="59"/>
      <c r="Z41" s="59"/>
      <c r="AA41" s="59"/>
      <c r="AB41" s="54"/>
      <c r="AC41" s="59"/>
      <c r="AD41" s="59"/>
      <c r="AE41" s="59"/>
      <c r="AF41" s="59"/>
      <c r="AG41" s="59"/>
      <c r="AH41" s="58"/>
    </row>
    <row r="42" spans="1:34">
      <c r="A42" s="83">
        <f t="shared" si="4"/>
        <v>33</v>
      </c>
      <c r="B42" s="83"/>
      <c r="C42" s="83" t="s">
        <v>671</v>
      </c>
      <c r="D42" s="56"/>
      <c r="E42" s="83"/>
      <c r="F42" s="83"/>
      <c r="G42" s="83"/>
      <c r="H42" s="83"/>
      <c r="I42" s="54"/>
      <c r="J42" s="58"/>
      <c r="K42" s="83"/>
      <c r="L42" s="83"/>
      <c r="M42" s="589"/>
      <c r="N42" s="589"/>
      <c r="O42" s="589"/>
      <c r="P42" s="54"/>
      <c r="Q42" s="59"/>
      <c r="R42" s="59"/>
      <c r="S42" s="59"/>
      <c r="T42" s="59"/>
      <c r="U42" s="59"/>
      <c r="V42" s="59"/>
      <c r="W42" s="59"/>
      <c r="X42" s="59"/>
      <c r="Y42" s="59"/>
      <c r="Z42" s="59"/>
      <c r="AA42" s="59"/>
      <c r="AB42" s="54"/>
      <c r="AC42" s="59"/>
      <c r="AD42" s="59"/>
      <c r="AE42" s="59"/>
      <c r="AF42" s="59"/>
      <c r="AG42" s="59"/>
      <c r="AH42" s="58"/>
    </row>
    <row r="43" spans="1:34">
      <c r="A43" s="83">
        <f t="shared" ref="A43:A45" si="5">+IF(C43&lt;&gt;"",ROW()-9,"")</f>
        <v>34</v>
      </c>
      <c r="B43" s="83"/>
      <c r="C43" s="83" t="s">
        <v>672</v>
      </c>
      <c r="D43" s="56"/>
      <c r="E43" s="83"/>
      <c r="F43" s="83"/>
      <c r="G43" s="83"/>
      <c r="H43" s="83"/>
      <c r="I43" s="54"/>
      <c r="J43" s="58"/>
      <c r="K43" s="83"/>
      <c r="L43" s="83"/>
      <c r="M43" s="589"/>
      <c r="N43" s="589"/>
      <c r="O43" s="589"/>
      <c r="P43" s="54"/>
      <c r="Q43" s="59"/>
      <c r="R43" s="59"/>
      <c r="S43" s="59"/>
      <c r="T43" s="59"/>
      <c r="U43" s="59"/>
      <c r="V43" s="59"/>
      <c r="W43" s="59"/>
      <c r="X43" s="59"/>
      <c r="Y43" s="59"/>
      <c r="Z43" s="59"/>
      <c r="AA43" s="59"/>
      <c r="AB43" s="54"/>
      <c r="AC43" s="59"/>
      <c r="AD43" s="59"/>
      <c r="AE43" s="59"/>
      <c r="AF43" s="59"/>
      <c r="AG43" s="59"/>
      <c r="AH43" s="58"/>
    </row>
    <row r="44" spans="1:34">
      <c r="A44" s="83">
        <f t="shared" si="5"/>
        <v>35</v>
      </c>
      <c r="B44" s="83"/>
      <c r="C44" s="83" t="s">
        <v>673</v>
      </c>
      <c r="D44" s="56"/>
      <c r="E44" s="83"/>
      <c r="F44" s="83"/>
      <c r="G44" s="83"/>
      <c r="H44" s="83"/>
      <c r="I44" s="54"/>
      <c r="J44" s="58"/>
      <c r="K44" s="83"/>
      <c r="L44" s="83"/>
      <c r="M44" s="589"/>
      <c r="N44" s="589"/>
      <c r="O44" s="589"/>
      <c r="P44" s="54"/>
      <c r="Q44" s="59"/>
      <c r="R44" s="59"/>
      <c r="S44" s="59"/>
      <c r="T44" s="59"/>
      <c r="U44" s="59"/>
      <c r="V44" s="59"/>
      <c r="W44" s="59"/>
      <c r="X44" s="59"/>
      <c r="Y44" s="59"/>
      <c r="Z44" s="59"/>
      <c r="AA44" s="59"/>
      <c r="AB44" s="54"/>
      <c r="AC44" s="59"/>
      <c r="AD44" s="59"/>
      <c r="AE44" s="59"/>
      <c r="AF44" s="59"/>
      <c r="AG44" s="59"/>
      <c r="AH44" s="58"/>
    </row>
    <row r="45" spans="1:34">
      <c r="A45" s="83">
        <f t="shared" si="5"/>
        <v>36</v>
      </c>
      <c r="B45" s="83"/>
      <c r="C45" s="83" t="s">
        <v>674</v>
      </c>
      <c r="D45" s="56"/>
      <c r="E45" s="83"/>
      <c r="F45" s="83"/>
      <c r="G45" s="83"/>
      <c r="H45" s="83"/>
      <c r="I45" s="54"/>
      <c r="J45" s="58"/>
      <c r="K45" s="83"/>
      <c r="L45" s="83"/>
      <c r="M45" s="589"/>
      <c r="N45" s="589"/>
      <c r="O45" s="589"/>
      <c r="P45" s="54"/>
      <c r="Q45" s="59"/>
      <c r="R45" s="59"/>
      <c r="S45" s="59"/>
      <c r="T45" s="59"/>
      <c r="U45" s="59"/>
      <c r="V45" s="59"/>
      <c r="W45" s="59"/>
      <c r="X45" s="59"/>
      <c r="Y45" s="59"/>
      <c r="Z45" s="59"/>
      <c r="AA45" s="59"/>
      <c r="AB45" s="54"/>
      <c r="AC45" s="59"/>
      <c r="AD45" s="59"/>
      <c r="AE45" s="59"/>
      <c r="AF45" s="59"/>
      <c r="AG45" s="59"/>
      <c r="AH45" s="58"/>
    </row>
    <row r="46" spans="1:34">
      <c r="A46" s="83">
        <f t="shared" ref="A46:A47" si="6">+IF(C46&lt;&gt;"",ROW()-9,"")</f>
        <v>37</v>
      </c>
      <c r="B46" s="83"/>
      <c r="C46" s="83" t="s">
        <v>675</v>
      </c>
      <c r="D46" s="56"/>
      <c r="E46" s="83"/>
      <c r="F46" s="83"/>
      <c r="G46" s="83"/>
      <c r="H46" s="83"/>
      <c r="I46" s="54"/>
      <c r="J46" s="58"/>
      <c r="K46" s="83"/>
      <c r="L46" s="83"/>
      <c r="M46" s="589"/>
      <c r="N46" s="589"/>
      <c r="O46" s="589"/>
      <c r="P46" s="54"/>
      <c r="Q46" s="59"/>
      <c r="R46" s="59"/>
      <c r="S46" s="59"/>
      <c r="T46" s="59"/>
      <c r="U46" s="59"/>
      <c r="V46" s="59"/>
      <c r="W46" s="59"/>
      <c r="X46" s="59"/>
      <c r="Y46" s="59"/>
      <c r="Z46" s="59"/>
      <c r="AA46" s="59"/>
      <c r="AB46" s="54"/>
      <c r="AC46" s="59"/>
      <c r="AD46" s="59"/>
      <c r="AE46" s="59"/>
      <c r="AF46" s="59"/>
      <c r="AG46" s="59"/>
      <c r="AH46" s="58"/>
    </row>
    <row r="47" spans="1:34">
      <c r="A47" s="83">
        <f t="shared" si="6"/>
        <v>38</v>
      </c>
      <c r="B47" s="83"/>
      <c r="C47" s="83" t="s">
        <v>676</v>
      </c>
      <c r="D47" s="56"/>
      <c r="E47" s="83"/>
      <c r="F47" s="83"/>
      <c r="G47" s="83"/>
      <c r="H47" s="83"/>
      <c r="I47" s="54"/>
      <c r="J47" s="58"/>
      <c r="K47" s="83"/>
      <c r="L47" s="83"/>
      <c r="M47" s="589"/>
      <c r="N47" s="589"/>
      <c r="O47" s="589"/>
      <c r="P47" s="54"/>
      <c r="Q47" s="59"/>
      <c r="R47" s="59"/>
      <c r="S47" s="59"/>
      <c r="T47" s="59"/>
      <c r="U47" s="59"/>
      <c r="V47" s="59"/>
      <c r="W47" s="59"/>
      <c r="X47" s="59"/>
      <c r="Y47" s="59"/>
      <c r="Z47" s="59"/>
      <c r="AA47" s="59"/>
      <c r="AB47" s="54"/>
      <c r="AC47" s="59"/>
      <c r="AD47" s="59"/>
      <c r="AE47" s="59"/>
      <c r="AF47" s="59"/>
      <c r="AG47" s="59"/>
      <c r="AH47" s="58"/>
    </row>
    <row r="48" spans="1:34">
      <c r="A48" s="608" t="s">
        <v>37</v>
      </c>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10"/>
    </row>
    <row r="49" spans="1:34">
      <c r="A49" s="67"/>
      <c r="B49" s="84"/>
      <c r="C49" s="84"/>
      <c r="D49" s="69"/>
      <c r="E49" s="84"/>
      <c r="F49" s="84"/>
      <c r="G49" s="84"/>
      <c r="H49" s="84"/>
      <c r="I49" s="84"/>
      <c r="J49" s="84"/>
      <c r="K49" s="84"/>
      <c r="L49" s="84"/>
      <c r="M49" s="611"/>
      <c r="N49" s="611"/>
      <c r="O49" s="611"/>
      <c r="P49" s="84"/>
      <c r="Q49" s="84"/>
      <c r="R49" s="84"/>
      <c r="S49" s="84"/>
      <c r="T49" s="84"/>
      <c r="U49" s="84"/>
      <c r="V49" s="84"/>
      <c r="W49" s="84"/>
      <c r="X49" s="84"/>
      <c r="Y49" s="84"/>
      <c r="Z49" s="84"/>
      <c r="AA49" s="84"/>
      <c r="AB49" s="84"/>
      <c r="AC49" s="84"/>
      <c r="AD49" s="84"/>
      <c r="AE49" s="84"/>
      <c r="AF49" s="84"/>
      <c r="AG49" s="84"/>
      <c r="AH49" s="70"/>
    </row>
    <row r="50" spans="1:34">
      <c r="A50" s="71"/>
      <c r="B50" s="82" t="s">
        <v>38</v>
      </c>
      <c r="M50" s="612"/>
      <c r="N50" s="612"/>
      <c r="O50" s="612"/>
      <c r="AH50" s="72"/>
    </row>
    <row r="51" spans="1:34">
      <c r="A51" s="71"/>
      <c r="D51" s="85"/>
      <c r="M51" s="612"/>
      <c r="N51" s="612"/>
      <c r="O51" s="612"/>
      <c r="AH51" s="72"/>
    </row>
    <row r="52" spans="1:34">
      <c r="A52" s="71"/>
      <c r="D52" s="85"/>
      <c r="AH52" s="72"/>
    </row>
    <row r="53" spans="1:34">
      <c r="A53" s="71"/>
      <c r="M53" s="612"/>
      <c r="N53" s="612"/>
      <c r="O53" s="612"/>
      <c r="AH53" s="72"/>
    </row>
    <row r="54" spans="1:34">
      <c r="A54" s="71"/>
      <c r="B54" s="82" t="s">
        <v>39</v>
      </c>
      <c r="M54" s="612"/>
      <c r="N54" s="612"/>
      <c r="O54" s="612"/>
      <c r="AH54" s="72"/>
    </row>
    <row r="55" spans="1:34">
      <c r="A55" s="71"/>
      <c r="AH55" s="72"/>
    </row>
    <row r="56" spans="1:34">
      <c r="A56" s="71"/>
      <c r="AH56" s="72"/>
    </row>
    <row r="57" spans="1:34">
      <c r="A57" s="71"/>
      <c r="AH57" s="72"/>
    </row>
    <row r="58" spans="1:34">
      <c r="A58" s="71"/>
      <c r="B58" s="82" t="s">
        <v>41</v>
      </c>
      <c r="M58" s="612"/>
      <c r="N58" s="612"/>
      <c r="O58" s="612"/>
      <c r="AH58" s="72"/>
    </row>
    <row r="59" spans="1:34">
      <c r="A59" s="71"/>
      <c r="AH59" s="72"/>
    </row>
    <row r="60" spans="1:34">
      <c r="A60" s="608" t="s">
        <v>42</v>
      </c>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10"/>
    </row>
    <row r="61" spans="1:34">
      <c r="A61" s="71"/>
      <c r="M61" s="612"/>
      <c r="N61" s="612"/>
      <c r="O61" s="612"/>
      <c r="AH61" s="72"/>
    </row>
    <row r="62" spans="1:34">
      <c r="A62" s="71"/>
      <c r="M62" s="612"/>
      <c r="N62" s="612"/>
      <c r="O62" s="612"/>
      <c r="AH62" s="72"/>
    </row>
    <row r="63" spans="1:34">
      <c r="A63" s="71"/>
      <c r="M63" s="612"/>
      <c r="N63" s="612"/>
      <c r="O63" s="612"/>
      <c r="AH63" s="72"/>
    </row>
    <row r="64" spans="1:34">
      <c r="A64" s="71"/>
      <c r="AH64" s="72"/>
    </row>
    <row r="65" spans="1:34">
      <c r="A65" s="71"/>
      <c r="AH65" s="72"/>
    </row>
    <row r="66" spans="1:34">
      <c r="A66" s="71"/>
      <c r="AH66" s="72"/>
    </row>
    <row r="67" spans="1:34">
      <c r="A67" s="71"/>
      <c r="AH67" s="72"/>
    </row>
    <row r="68" spans="1:34">
      <c r="A68" s="71"/>
      <c r="AH68" s="72"/>
    </row>
    <row r="69" spans="1:34">
      <c r="A69" s="71"/>
      <c r="AH69" s="72"/>
    </row>
    <row r="70" spans="1:34">
      <c r="A70" s="71"/>
      <c r="AH70" s="72"/>
    </row>
    <row r="71" spans="1:34">
      <c r="A71" s="71"/>
      <c r="AH71" s="72"/>
    </row>
    <row r="72" spans="1:34">
      <c r="A72" s="71"/>
      <c r="AH72" s="72"/>
    </row>
    <row r="73" spans="1:34">
      <c r="A73" s="71"/>
      <c r="AH73" s="72"/>
    </row>
    <row r="74" spans="1:34">
      <c r="A74" s="71"/>
      <c r="AH74" s="72"/>
    </row>
    <row r="75" spans="1:34">
      <c r="A75" s="71"/>
      <c r="AH75" s="72"/>
    </row>
    <row r="76" spans="1:34">
      <c r="A76" s="71"/>
      <c r="AH76" s="72"/>
    </row>
    <row r="77" spans="1:34">
      <c r="A77" s="71"/>
      <c r="AH77" s="72"/>
    </row>
    <row r="78" spans="1:34">
      <c r="A78" s="71"/>
      <c r="AH78" s="72"/>
    </row>
    <row r="79" spans="1:34">
      <c r="A79" s="71"/>
      <c r="AH79" s="72"/>
    </row>
    <row r="80" spans="1:34">
      <c r="A80" s="71"/>
      <c r="AH80" s="72"/>
    </row>
    <row r="81" spans="1:34">
      <c r="A81" s="71"/>
      <c r="AH81" s="72"/>
    </row>
    <row r="82" spans="1:34">
      <c r="A82" s="71"/>
      <c r="AH82" s="72"/>
    </row>
    <row r="83" spans="1:34">
      <c r="A83" s="71"/>
      <c r="AH83" s="72"/>
    </row>
    <row r="84" spans="1:34">
      <c r="A84" s="71"/>
      <c r="M84" s="612"/>
      <c r="N84" s="612"/>
      <c r="O84" s="612"/>
      <c r="AH84" s="72"/>
    </row>
    <row r="85" spans="1:34">
      <c r="A85" s="71"/>
      <c r="AH85" s="72"/>
    </row>
    <row r="86" spans="1:34">
      <c r="A86" s="71"/>
      <c r="AH86" s="72"/>
    </row>
    <row r="87" spans="1:34">
      <c r="A87" s="71"/>
      <c r="AH87" s="72"/>
    </row>
    <row r="88" spans="1:34">
      <c r="A88" s="71"/>
      <c r="AH88" s="72"/>
    </row>
    <row r="89" spans="1:34">
      <c r="A89" s="608" t="s">
        <v>43</v>
      </c>
      <c r="B89" s="609"/>
      <c r="C89" s="609"/>
      <c r="D89" s="609"/>
      <c r="E89" s="609"/>
      <c r="F89" s="609"/>
      <c r="G89" s="609"/>
      <c r="H89" s="609"/>
      <c r="I89" s="609"/>
      <c r="J89" s="609"/>
      <c r="K89" s="609"/>
      <c r="L89" s="609"/>
      <c r="M89" s="609"/>
      <c r="N89" s="609"/>
      <c r="O89" s="609"/>
      <c r="P89" s="609"/>
      <c r="Q89" s="609"/>
      <c r="R89" s="609"/>
      <c r="S89" s="609"/>
      <c r="T89" s="609"/>
      <c r="U89" s="609"/>
      <c r="V89" s="609"/>
      <c r="W89" s="609"/>
      <c r="X89" s="609"/>
      <c r="Y89" s="609"/>
      <c r="Z89" s="609"/>
      <c r="AA89" s="609"/>
      <c r="AB89" s="609"/>
      <c r="AC89" s="609"/>
      <c r="AD89" s="609"/>
      <c r="AE89" s="609"/>
      <c r="AF89" s="609"/>
      <c r="AG89" s="609"/>
      <c r="AH89" s="610"/>
    </row>
    <row r="90" spans="1:34">
      <c r="A90" s="71"/>
      <c r="M90" s="612"/>
      <c r="N90" s="612"/>
      <c r="O90" s="612"/>
      <c r="AH90" s="72"/>
    </row>
    <row r="91" spans="1:34">
      <c r="A91" s="71"/>
      <c r="B91" s="82" t="s">
        <v>44</v>
      </c>
      <c r="AH91" s="72"/>
    </row>
    <row r="92" spans="1:34">
      <c r="A92" s="73"/>
      <c r="B92" s="81"/>
      <c r="C92" s="81"/>
      <c r="D92" s="81"/>
      <c r="E92" s="81"/>
      <c r="F92" s="81"/>
      <c r="G92" s="81"/>
      <c r="H92" s="81"/>
      <c r="I92" s="81"/>
      <c r="J92" s="81"/>
      <c r="K92" s="81"/>
      <c r="L92" s="81"/>
      <c r="M92" s="613"/>
      <c r="N92" s="613"/>
      <c r="O92" s="613"/>
      <c r="P92" s="81"/>
      <c r="Q92" s="81"/>
      <c r="R92" s="81"/>
      <c r="S92" s="81"/>
      <c r="T92" s="81"/>
      <c r="U92" s="81"/>
      <c r="V92" s="81"/>
      <c r="W92" s="81"/>
      <c r="X92" s="81"/>
      <c r="Y92" s="81"/>
      <c r="Z92" s="81"/>
      <c r="AA92" s="81"/>
      <c r="AB92" s="81"/>
      <c r="AC92" s="81"/>
      <c r="AD92" s="81"/>
      <c r="AE92" s="81"/>
      <c r="AF92" s="81"/>
      <c r="AG92" s="81"/>
      <c r="AH92" s="75"/>
    </row>
    <row r="93" spans="1:34" s="318" customFormat="1">
      <c r="A93" s="515" t="s">
        <v>678</v>
      </c>
      <c r="B93" s="516"/>
      <c r="C93" s="516"/>
      <c r="D93" s="516"/>
      <c r="E93" s="516"/>
      <c r="F93" s="516"/>
      <c r="G93" s="516"/>
      <c r="H93" s="516"/>
      <c r="I93" s="516"/>
      <c r="J93" s="516"/>
      <c r="K93" s="516"/>
      <c r="L93" s="516"/>
      <c r="M93" s="516"/>
      <c r="N93" s="516"/>
      <c r="O93" s="516"/>
      <c r="P93" s="516"/>
      <c r="Q93" s="516"/>
      <c r="R93" s="516"/>
      <c r="S93" s="516"/>
      <c r="T93" s="516"/>
      <c r="U93" s="516"/>
      <c r="V93" s="516"/>
      <c r="W93" s="516"/>
      <c r="X93" s="516"/>
      <c r="Y93" s="516"/>
      <c r="Z93" s="516"/>
      <c r="AA93" s="516"/>
      <c r="AB93" s="516"/>
      <c r="AC93" s="516"/>
      <c r="AD93" s="516"/>
      <c r="AE93" s="516"/>
      <c r="AF93" s="516"/>
      <c r="AG93" s="516"/>
      <c r="AH93" s="517"/>
    </row>
    <row r="94" spans="1:34" s="318" customFormat="1">
      <c r="A94" s="150"/>
      <c r="B94" s="319"/>
      <c r="C94" s="319"/>
      <c r="D94" s="152"/>
      <c r="E94" s="319"/>
      <c r="F94" s="319"/>
      <c r="G94" s="319"/>
      <c r="H94" s="319"/>
      <c r="I94" s="319"/>
      <c r="J94" s="319"/>
      <c r="K94" s="319"/>
      <c r="L94" s="319"/>
      <c r="M94" s="518"/>
      <c r="N94" s="518"/>
      <c r="O94" s="518"/>
      <c r="P94" s="319"/>
      <c r="Q94" s="319"/>
      <c r="R94" s="319"/>
      <c r="S94" s="319"/>
      <c r="T94" s="319"/>
      <c r="U94" s="319"/>
      <c r="V94" s="319"/>
      <c r="W94" s="319"/>
      <c r="X94" s="319"/>
      <c r="Y94" s="319"/>
      <c r="Z94" s="319"/>
      <c r="AA94" s="319"/>
      <c r="AB94" s="319"/>
      <c r="AC94" s="319"/>
      <c r="AD94" s="319"/>
      <c r="AE94" s="319"/>
      <c r="AF94" s="319"/>
      <c r="AG94" s="319"/>
      <c r="AH94" s="153"/>
    </row>
    <row r="95" spans="1:34" s="1" customFormat="1">
      <c r="A95" s="355"/>
      <c r="B95" s="355"/>
      <c r="C95" s="355"/>
      <c r="D95" s="355"/>
      <c r="E95" s="355"/>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c r="AH95" s="13"/>
    </row>
    <row r="96" spans="1:34" s="1" customForma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6"/>
    </row>
  </sheetData>
  <autoFilter ref="A9:AH77"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81">
    <mergeCell ref="M21:O21"/>
    <mergeCell ref="M28:O28"/>
    <mergeCell ref="M16:O16"/>
    <mergeCell ref="M17:O17"/>
    <mergeCell ref="M18:O18"/>
    <mergeCell ref="M19:O19"/>
    <mergeCell ref="M20:O20"/>
    <mergeCell ref="M27:O27"/>
    <mergeCell ref="M11:O11"/>
    <mergeCell ref="M12:O12"/>
    <mergeCell ref="M13:O13"/>
    <mergeCell ref="M14:O14"/>
    <mergeCell ref="M15:O15"/>
    <mergeCell ref="M33:O33"/>
    <mergeCell ref="M34:O34"/>
    <mergeCell ref="M35:O35"/>
    <mergeCell ref="M30:O30"/>
    <mergeCell ref="M31:O31"/>
    <mergeCell ref="A48:AH48"/>
    <mergeCell ref="M49:O49"/>
    <mergeCell ref="M50:O50"/>
    <mergeCell ref="M92:O92"/>
    <mergeCell ref="M51:O51"/>
    <mergeCell ref="M53:O53"/>
    <mergeCell ref="M54:O54"/>
    <mergeCell ref="M58:O58"/>
    <mergeCell ref="A60:AH60"/>
    <mergeCell ref="M61:O61"/>
    <mergeCell ref="M62:O62"/>
    <mergeCell ref="M63:O63"/>
    <mergeCell ref="M84:O84"/>
    <mergeCell ref="A89:AH89"/>
    <mergeCell ref="M90:O90"/>
    <mergeCell ref="M10:O10"/>
    <mergeCell ref="M46:O46"/>
    <mergeCell ref="M47:O47"/>
    <mergeCell ref="M41:O41"/>
    <mergeCell ref="M42:O42"/>
    <mergeCell ref="M37:O37"/>
    <mergeCell ref="M38:O38"/>
    <mergeCell ref="M39:O39"/>
    <mergeCell ref="M36:O36"/>
    <mergeCell ref="M22:O22"/>
    <mergeCell ref="M23:O23"/>
    <mergeCell ref="M24:O24"/>
    <mergeCell ref="M25:O25"/>
    <mergeCell ref="M26:O26"/>
    <mergeCell ref="M29:O29"/>
    <mergeCell ref="M32:O32"/>
    <mergeCell ref="M45:O45"/>
    <mergeCell ref="M40:O40"/>
    <mergeCell ref="A6:B6"/>
    <mergeCell ref="C6:D6"/>
    <mergeCell ref="E6:F6"/>
    <mergeCell ref="G6:AH6"/>
    <mergeCell ref="A8:A9"/>
    <mergeCell ref="B8:C9"/>
    <mergeCell ref="D8:D9"/>
    <mergeCell ref="E8:E9"/>
    <mergeCell ref="F8:H8"/>
    <mergeCell ref="J8:J9"/>
    <mergeCell ref="K8:O8"/>
    <mergeCell ref="P8:AA9"/>
    <mergeCell ref="AB8:AH9"/>
    <mergeCell ref="M9:O9"/>
    <mergeCell ref="A93:AH93"/>
    <mergeCell ref="M94:O94"/>
    <mergeCell ref="AC1:AH1"/>
    <mergeCell ref="A4:B4"/>
    <mergeCell ref="M4:Q4"/>
    <mergeCell ref="R4:W4"/>
    <mergeCell ref="X4:AB4"/>
    <mergeCell ref="AC4:AH4"/>
    <mergeCell ref="A1:B1"/>
    <mergeCell ref="C1:D1"/>
    <mergeCell ref="E1:L4"/>
    <mergeCell ref="M1:Q1"/>
    <mergeCell ref="R1:W1"/>
    <mergeCell ref="X1:AB1"/>
    <mergeCell ref="M43:O43"/>
    <mergeCell ref="M44:O44"/>
  </mergeCells>
  <phoneticPr fontId="15"/>
  <dataValidations count="1">
    <dataValidation imeMode="on" allowBlank="1" showInputMessage="1" showErrorMessage="1" sqref="C90:C92 C49:C54 C61:C88 C58:C59 C10:C47 C94" xr:uid="{54BB1C68-A4E1-496E-978A-AE071628A4A2}"/>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C175-D927-4E8B-B6BF-32E1DB3BE143}">
  <sheetPr>
    <tabColor theme="0" tint="-0.499984740745262"/>
    <pageSetUpPr fitToPage="1"/>
  </sheetPr>
  <dimension ref="A1:AH604"/>
  <sheetViews>
    <sheetView showGridLines="0" view="pageBreakPreview" zoomScale="85" zoomScaleNormal="70" zoomScaleSheetLayoutView="85" workbookViewId="0">
      <pane ySplit="6" topLeftCell="A7" activePane="bottomLeft" state="frozen"/>
      <selection activeCell="A7" sqref="A7"/>
      <selection pane="bottomLeft" activeCell="A7" sqref="A7"/>
    </sheetView>
  </sheetViews>
  <sheetFormatPr defaultColWidth="9" defaultRowHeight="15.75"/>
  <cols>
    <col min="1" max="1" width="4.375" style="320" customWidth="1"/>
    <col min="2" max="2" width="48.75" style="320" bestFit="1" customWidth="1"/>
    <col min="3" max="3" width="25.75" style="320" bestFit="1" customWidth="1"/>
    <col min="4" max="4" width="22.75" style="320" bestFit="1" customWidth="1"/>
    <col min="5" max="5" width="29.625" style="320" bestFit="1" customWidth="1"/>
    <col min="6" max="6" width="5.875" style="320" customWidth="1"/>
    <col min="7" max="7" width="3.875" style="320" customWidth="1"/>
    <col min="8" max="8" width="9" style="320" customWidth="1"/>
    <col min="9" max="9" width="1.125" style="320" customWidth="1"/>
    <col min="10" max="10" width="9" style="320" customWidth="1"/>
    <col min="11" max="11" width="11.75" style="320" customWidth="1"/>
    <col min="12" max="12" width="9" style="320" customWidth="1"/>
    <col min="13" max="34" width="3.125" style="320" customWidth="1"/>
    <col min="35" max="16384" width="9" style="320"/>
  </cols>
  <sheetData>
    <row r="1" spans="1:34" ht="15.75" customHeight="1">
      <c r="A1" s="615"/>
      <c r="B1" s="615"/>
      <c r="C1" s="617"/>
      <c r="D1" s="617"/>
      <c r="E1" s="618"/>
      <c r="F1" s="618"/>
      <c r="G1" s="618"/>
      <c r="H1" s="618"/>
      <c r="I1" s="618"/>
      <c r="J1" s="618"/>
      <c r="K1" s="618"/>
      <c r="L1" s="618"/>
      <c r="M1" s="615"/>
      <c r="N1" s="615"/>
      <c r="O1" s="615"/>
      <c r="P1" s="615"/>
      <c r="Q1" s="615"/>
      <c r="R1" s="619"/>
      <c r="S1" s="614"/>
      <c r="T1" s="614"/>
      <c r="U1" s="614"/>
      <c r="V1" s="614"/>
      <c r="W1" s="614"/>
      <c r="X1" s="615"/>
      <c r="Y1" s="615"/>
      <c r="Z1" s="615"/>
      <c r="AA1" s="615"/>
      <c r="AB1" s="615"/>
      <c r="AC1" s="614"/>
      <c r="AD1" s="614"/>
      <c r="AE1" s="614"/>
      <c r="AF1" s="614"/>
      <c r="AG1" s="614"/>
      <c r="AH1" s="614"/>
    </row>
    <row r="2" spans="1:34" ht="15.75" customHeight="1">
      <c r="A2" s="321"/>
      <c r="B2" s="321"/>
      <c r="C2" s="322"/>
      <c r="D2" s="322"/>
      <c r="E2" s="618"/>
      <c r="F2" s="618"/>
      <c r="G2" s="618"/>
      <c r="H2" s="618"/>
      <c r="I2" s="618"/>
      <c r="J2" s="618"/>
      <c r="K2" s="618"/>
      <c r="L2" s="618"/>
      <c r="M2" s="321"/>
      <c r="N2" s="321"/>
      <c r="O2" s="321"/>
      <c r="P2" s="321"/>
      <c r="Q2" s="321"/>
      <c r="R2" s="323"/>
      <c r="S2" s="324"/>
      <c r="T2" s="324"/>
      <c r="U2" s="324"/>
      <c r="V2" s="324"/>
      <c r="W2" s="324"/>
      <c r="X2" s="321"/>
      <c r="Y2" s="321"/>
      <c r="Z2" s="321"/>
      <c r="AA2" s="321"/>
      <c r="AB2" s="321"/>
      <c r="AC2" s="324"/>
      <c r="AD2" s="324"/>
      <c r="AE2" s="324"/>
      <c r="AF2" s="324"/>
      <c r="AG2" s="324"/>
      <c r="AH2" s="324"/>
    </row>
    <row r="3" spans="1:34" ht="15.75" customHeight="1">
      <c r="A3" s="321"/>
      <c r="B3" s="321"/>
      <c r="C3" s="322"/>
      <c r="D3" s="322"/>
      <c r="E3" s="618"/>
      <c r="F3" s="618"/>
      <c r="G3" s="618"/>
      <c r="H3" s="618"/>
      <c r="I3" s="618"/>
      <c r="J3" s="618"/>
      <c r="K3" s="618"/>
      <c r="L3" s="618"/>
      <c r="M3" s="321"/>
      <c r="N3" s="321"/>
      <c r="O3" s="321"/>
      <c r="P3" s="321"/>
      <c r="Q3" s="321"/>
      <c r="R3" s="323"/>
      <c r="S3" s="324"/>
      <c r="T3" s="324"/>
      <c r="U3" s="324"/>
      <c r="V3" s="324"/>
      <c r="W3" s="324"/>
      <c r="X3" s="321"/>
      <c r="Y3" s="321"/>
      <c r="Z3" s="321"/>
      <c r="AA3" s="321"/>
      <c r="AB3" s="321"/>
      <c r="AC3" s="324"/>
      <c r="AD3" s="324"/>
      <c r="AE3" s="324"/>
      <c r="AF3" s="324"/>
      <c r="AG3" s="324"/>
      <c r="AH3" s="324"/>
    </row>
    <row r="4" spans="1:34" ht="15.75" customHeight="1">
      <c r="A4" s="615"/>
      <c r="B4" s="615"/>
      <c r="C4" s="324"/>
      <c r="E4" s="618"/>
      <c r="F4" s="618"/>
      <c r="G4" s="618"/>
      <c r="H4" s="618"/>
      <c r="I4" s="618"/>
      <c r="J4" s="618"/>
      <c r="K4" s="618"/>
      <c r="L4" s="618"/>
      <c r="M4" s="615"/>
      <c r="N4" s="615"/>
      <c r="O4" s="615"/>
      <c r="P4" s="615"/>
      <c r="Q4" s="615"/>
      <c r="R4" s="616"/>
      <c r="S4" s="614"/>
      <c r="T4" s="614"/>
      <c r="U4" s="614"/>
      <c r="V4" s="614"/>
      <c r="W4" s="614"/>
      <c r="X4" s="615"/>
      <c r="Y4" s="615"/>
      <c r="Z4" s="615"/>
      <c r="AA4" s="615"/>
      <c r="AB4" s="615"/>
      <c r="AC4" s="614"/>
      <c r="AD4" s="614"/>
      <c r="AE4" s="614"/>
      <c r="AF4" s="614"/>
      <c r="AG4" s="614"/>
      <c r="AH4" s="614"/>
    </row>
    <row r="5" spans="1:34" ht="5.25" customHeight="1"/>
    <row r="6" spans="1:34">
      <c r="A6" s="620" t="s">
        <v>20</v>
      </c>
      <c r="B6" s="621"/>
      <c r="C6" s="622" t="s">
        <v>45</v>
      </c>
      <c r="D6" s="623"/>
      <c r="E6" s="624" t="s">
        <v>21</v>
      </c>
      <c r="F6" s="624"/>
      <c r="G6" s="325" t="s">
        <v>46</v>
      </c>
      <c r="H6" s="326"/>
      <c r="I6" s="326"/>
      <c r="J6" s="326"/>
      <c r="K6" s="326"/>
      <c r="L6" s="326"/>
      <c r="M6" s="326"/>
      <c r="N6" s="326"/>
      <c r="O6" s="326"/>
      <c r="P6" s="326"/>
      <c r="Q6" s="326"/>
      <c r="R6" s="326"/>
      <c r="S6" s="326"/>
      <c r="T6" s="326"/>
      <c r="U6" s="326"/>
      <c r="V6" s="326"/>
      <c r="W6" s="326"/>
      <c r="X6" s="326"/>
      <c r="Y6" s="326"/>
      <c r="Z6" s="326"/>
      <c r="AA6" s="326"/>
      <c r="AB6" s="326"/>
      <c r="AC6" s="326"/>
      <c r="AD6" s="326"/>
      <c r="AE6" s="326"/>
      <c r="AF6" s="326"/>
      <c r="AG6" s="326"/>
      <c r="AH6" s="327"/>
    </row>
    <row r="7" spans="1:34" ht="5.25" customHeight="1"/>
    <row r="8" spans="1:34">
      <c r="A8" s="625" t="s">
        <v>22</v>
      </c>
      <c r="B8" s="625" t="s">
        <v>23</v>
      </c>
      <c r="C8" s="625"/>
      <c r="D8" s="625" t="s">
        <v>24</v>
      </c>
      <c r="E8" s="627" t="s">
        <v>25</v>
      </c>
      <c r="F8" s="625" t="s">
        <v>26</v>
      </c>
      <c r="G8" s="625"/>
      <c r="H8" s="625"/>
      <c r="I8" s="328"/>
      <c r="J8" s="630" t="s">
        <v>27</v>
      </c>
      <c r="K8" s="625" t="s">
        <v>28</v>
      </c>
      <c r="L8" s="625"/>
      <c r="M8" s="625"/>
      <c r="N8" s="625"/>
      <c r="O8" s="625"/>
      <c r="P8" s="632" t="s">
        <v>29</v>
      </c>
      <c r="Q8" s="632"/>
      <c r="R8" s="632"/>
      <c r="S8" s="632"/>
      <c r="T8" s="632"/>
      <c r="U8" s="632"/>
      <c r="V8" s="632"/>
      <c r="W8" s="632"/>
      <c r="X8" s="632"/>
      <c r="Y8" s="632"/>
      <c r="Z8" s="632"/>
      <c r="AA8" s="632"/>
      <c r="AB8" s="632" t="s">
        <v>30</v>
      </c>
      <c r="AC8" s="632"/>
      <c r="AD8" s="632"/>
      <c r="AE8" s="632"/>
      <c r="AF8" s="632"/>
      <c r="AG8" s="632"/>
      <c r="AH8" s="632"/>
    </row>
    <row r="9" spans="1:34" ht="16.5" thickBot="1">
      <c r="A9" s="626"/>
      <c r="B9" s="626"/>
      <c r="C9" s="626"/>
      <c r="D9" s="626"/>
      <c r="E9" s="628"/>
      <c r="F9" s="329" t="s">
        <v>31</v>
      </c>
      <c r="G9" s="330" t="s">
        <v>32</v>
      </c>
      <c r="H9" s="331" t="s">
        <v>33</v>
      </c>
      <c r="I9" s="332"/>
      <c r="J9" s="631"/>
      <c r="K9" s="329" t="s">
        <v>34</v>
      </c>
      <c r="L9" s="330" t="s">
        <v>35</v>
      </c>
      <c r="M9" s="634" t="s">
        <v>36</v>
      </c>
      <c r="N9" s="634"/>
      <c r="O9" s="635"/>
      <c r="P9" s="633"/>
      <c r="Q9" s="633"/>
      <c r="R9" s="633"/>
      <c r="S9" s="633"/>
      <c r="T9" s="633"/>
      <c r="U9" s="633"/>
      <c r="V9" s="633"/>
      <c r="W9" s="633"/>
      <c r="X9" s="633"/>
      <c r="Y9" s="633"/>
      <c r="Z9" s="633"/>
      <c r="AA9" s="633"/>
      <c r="AB9" s="633"/>
      <c r="AC9" s="633"/>
      <c r="AD9" s="633"/>
      <c r="AE9" s="633"/>
      <c r="AF9" s="633"/>
      <c r="AG9" s="633"/>
      <c r="AH9" s="633"/>
    </row>
    <row r="10" spans="1:34" ht="16.5" thickTop="1">
      <c r="A10" s="333">
        <f>+IF(C10&lt;&gt;"",ROW()-9,"")</f>
        <v>1</v>
      </c>
      <c r="B10" s="334" t="s">
        <v>227</v>
      </c>
      <c r="C10" s="334" t="s">
        <v>219</v>
      </c>
      <c r="D10" s="335" t="b">
        <v>0</v>
      </c>
      <c r="E10" s="336">
        <v>1</v>
      </c>
      <c r="F10" s="336">
        <v>7</v>
      </c>
      <c r="G10" s="336">
        <v>0</v>
      </c>
      <c r="H10" s="336">
        <v>0</v>
      </c>
      <c r="I10" s="333"/>
      <c r="J10" s="337" t="s">
        <v>130</v>
      </c>
      <c r="K10" s="336"/>
      <c r="L10" s="336"/>
      <c r="M10" s="629"/>
      <c r="N10" s="629"/>
      <c r="O10" s="629"/>
      <c r="P10" s="338"/>
      <c r="Q10" s="338"/>
      <c r="R10" s="338"/>
      <c r="S10" s="338"/>
      <c r="T10" s="338"/>
      <c r="U10" s="338"/>
      <c r="V10" s="338"/>
      <c r="W10" s="338"/>
      <c r="X10" s="338"/>
      <c r="Y10" s="338"/>
      <c r="Z10" s="338"/>
      <c r="AA10" s="338"/>
      <c r="AB10" s="339"/>
      <c r="AC10" s="338"/>
      <c r="AD10" s="338"/>
      <c r="AE10" s="338"/>
      <c r="AF10" s="338"/>
      <c r="AG10" s="338"/>
      <c r="AH10" s="337"/>
    </row>
    <row r="11" spans="1:34">
      <c r="A11" s="336">
        <f t="shared" ref="A11:A31" si="0">+IF(C11&lt;&gt;"",ROW()-9,"")</f>
        <v>2</v>
      </c>
      <c r="B11" s="336" t="s">
        <v>228</v>
      </c>
      <c r="C11" s="336" t="s">
        <v>108</v>
      </c>
      <c r="D11" s="335" t="b">
        <v>0</v>
      </c>
      <c r="E11" s="336">
        <v>0</v>
      </c>
      <c r="F11" s="336">
        <v>7</v>
      </c>
      <c r="G11" s="336">
        <v>0</v>
      </c>
      <c r="H11" s="336">
        <f t="shared" ref="H11:H31" si="1">IF(C11="","",0)</f>
        <v>0</v>
      </c>
      <c r="I11" s="333"/>
      <c r="J11" s="337" t="s">
        <v>129</v>
      </c>
      <c r="K11" s="336"/>
      <c r="L11" s="336"/>
      <c r="M11" s="629"/>
      <c r="N11" s="629"/>
      <c r="O11" s="629"/>
      <c r="P11" s="333"/>
      <c r="Q11" s="338"/>
      <c r="R11" s="338"/>
      <c r="S11" s="338"/>
      <c r="T11" s="338"/>
      <c r="U11" s="338"/>
      <c r="V11" s="338"/>
      <c r="W11" s="338"/>
      <c r="X11" s="338"/>
      <c r="Y11" s="338"/>
      <c r="Z11" s="338"/>
      <c r="AA11" s="338"/>
      <c r="AB11" s="333"/>
      <c r="AC11" s="338"/>
      <c r="AD11" s="338"/>
      <c r="AE11" s="338"/>
      <c r="AF11" s="338"/>
      <c r="AG11" s="338"/>
      <c r="AH11" s="337"/>
    </row>
    <row r="12" spans="1:34">
      <c r="A12" s="336">
        <f t="shared" si="0"/>
        <v>3</v>
      </c>
      <c r="B12" s="336" t="s">
        <v>229</v>
      </c>
      <c r="C12" s="336" t="s">
        <v>109</v>
      </c>
      <c r="D12" s="335" t="b">
        <v>1</v>
      </c>
      <c r="E12" s="336">
        <v>0</v>
      </c>
      <c r="F12" s="336">
        <v>100</v>
      </c>
      <c r="G12" s="336">
        <v>0</v>
      </c>
      <c r="H12" s="336">
        <f t="shared" si="1"/>
        <v>0</v>
      </c>
      <c r="I12" s="333"/>
      <c r="J12" s="337" t="s">
        <v>132</v>
      </c>
      <c r="K12" s="336"/>
      <c r="L12" s="336"/>
      <c r="M12" s="629"/>
      <c r="N12" s="629"/>
      <c r="O12" s="629"/>
      <c r="P12" s="333"/>
      <c r="Q12" s="338"/>
      <c r="R12" s="338"/>
      <c r="S12" s="338"/>
      <c r="T12" s="338"/>
      <c r="U12" s="338"/>
      <c r="V12" s="338"/>
      <c r="W12" s="338"/>
      <c r="X12" s="338"/>
      <c r="Y12" s="338"/>
      <c r="Z12" s="338"/>
      <c r="AA12" s="338"/>
      <c r="AB12" s="333"/>
      <c r="AC12" s="338"/>
      <c r="AD12" s="338"/>
      <c r="AE12" s="338"/>
      <c r="AF12" s="338"/>
      <c r="AG12" s="338"/>
      <c r="AH12" s="337"/>
    </row>
    <row r="13" spans="1:34">
      <c r="A13" s="336">
        <f t="shared" si="0"/>
        <v>4</v>
      </c>
      <c r="B13" s="336" t="s">
        <v>230</v>
      </c>
      <c r="C13" s="336" t="s">
        <v>110</v>
      </c>
      <c r="D13" s="335" t="b">
        <v>1</v>
      </c>
      <c r="E13" s="336">
        <v>0</v>
      </c>
      <c r="F13" s="336">
        <v>8</v>
      </c>
      <c r="G13" s="336">
        <v>0</v>
      </c>
      <c r="H13" s="336">
        <f t="shared" si="1"/>
        <v>0</v>
      </c>
      <c r="I13" s="333"/>
      <c r="J13" s="337" t="s">
        <v>130</v>
      </c>
      <c r="K13" s="336"/>
      <c r="L13" s="336"/>
      <c r="M13" s="629"/>
      <c r="N13" s="629"/>
      <c r="O13" s="629"/>
      <c r="P13" s="333"/>
      <c r="Q13" s="338"/>
      <c r="R13" s="338"/>
      <c r="S13" s="338"/>
      <c r="T13" s="338"/>
      <c r="U13" s="338"/>
      <c r="V13" s="338"/>
      <c r="W13" s="338"/>
      <c r="X13" s="338"/>
      <c r="Y13" s="338"/>
      <c r="Z13" s="338"/>
      <c r="AA13" s="338"/>
      <c r="AB13" s="333"/>
      <c r="AC13" s="338"/>
      <c r="AD13" s="338"/>
      <c r="AE13" s="338"/>
      <c r="AF13" s="338"/>
      <c r="AG13" s="338"/>
      <c r="AH13" s="337"/>
    </row>
    <row r="14" spans="1:34">
      <c r="A14" s="336">
        <f t="shared" si="0"/>
        <v>5</v>
      </c>
      <c r="B14" s="336" t="s">
        <v>231</v>
      </c>
      <c r="C14" s="336" t="s">
        <v>111</v>
      </c>
      <c r="D14" s="335" t="b">
        <v>1</v>
      </c>
      <c r="E14" s="336">
        <v>0</v>
      </c>
      <c r="F14" s="336">
        <v>60</v>
      </c>
      <c r="G14" s="336">
        <v>0</v>
      </c>
      <c r="H14" s="336">
        <f t="shared" si="1"/>
        <v>0</v>
      </c>
      <c r="I14" s="333"/>
      <c r="J14" s="337" t="s">
        <v>132</v>
      </c>
      <c r="K14" s="336"/>
      <c r="L14" s="336"/>
      <c r="M14" s="629"/>
      <c r="N14" s="629"/>
      <c r="O14" s="629"/>
      <c r="P14" s="333"/>
      <c r="Q14" s="338"/>
      <c r="R14" s="338"/>
      <c r="S14" s="338"/>
      <c r="T14" s="338"/>
      <c r="U14" s="338"/>
      <c r="V14" s="338"/>
      <c r="W14" s="338"/>
      <c r="X14" s="338"/>
      <c r="Y14" s="338"/>
      <c r="Z14" s="338"/>
      <c r="AA14" s="338"/>
      <c r="AB14" s="333"/>
      <c r="AC14" s="338"/>
      <c r="AD14" s="338"/>
      <c r="AE14" s="338"/>
      <c r="AF14" s="338"/>
      <c r="AG14" s="338"/>
      <c r="AH14" s="337"/>
    </row>
    <row r="15" spans="1:34">
      <c r="A15" s="336">
        <f t="shared" si="0"/>
        <v>6</v>
      </c>
      <c r="B15" s="336" t="s">
        <v>469</v>
      </c>
      <c r="C15" s="336" t="s">
        <v>112</v>
      </c>
      <c r="D15" s="335" t="b">
        <v>1</v>
      </c>
      <c r="E15" s="336">
        <v>0</v>
      </c>
      <c r="F15" s="336">
        <v>100</v>
      </c>
      <c r="G15" s="336">
        <v>0</v>
      </c>
      <c r="H15" s="336">
        <f t="shared" si="1"/>
        <v>0</v>
      </c>
      <c r="I15" s="333"/>
      <c r="J15" s="337" t="s">
        <v>132</v>
      </c>
      <c r="K15" s="336"/>
      <c r="L15" s="336"/>
      <c r="M15" s="629"/>
      <c r="N15" s="629"/>
      <c r="O15" s="629"/>
      <c r="P15" s="333"/>
      <c r="Q15" s="338"/>
      <c r="R15" s="338"/>
      <c r="S15" s="338"/>
      <c r="T15" s="338"/>
      <c r="U15" s="338"/>
      <c r="V15" s="338"/>
      <c r="W15" s="338"/>
      <c r="X15" s="338"/>
      <c r="Y15" s="338"/>
      <c r="Z15" s="338"/>
      <c r="AA15" s="338"/>
      <c r="AB15" s="333"/>
      <c r="AC15" s="338"/>
      <c r="AD15" s="338"/>
      <c r="AE15" s="338"/>
      <c r="AF15" s="338"/>
      <c r="AG15" s="338"/>
      <c r="AH15" s="337"/>
    </row>
    <row r="16" spans="1:34">
      <c r="A16" s="336">
        <f t="shared" si="0"/>
        <v>7</v>
      </c>
      <c r="B16" s="336" t="s">
        <v>471</v>
      </c>
      <c r="C16" s="336" t="s">
        <v>113</v>
      </c>
      <c r="D16" s="335" t="b">
        <v>1</v>
      </c>
      <c r="E16" s="336">
        <v>0</v>
      </c>
      <c r="F16" s="336">
        <v>100</v>
      </c>
      <c r="G16" s="336">
        <v>0</v>
      </c>
      <c r="H16" s="336">
        <f t="shared" si="1"/>
        <v>0</v>
      </c>
      <c r="I16" s="333"/>
      <c r="J16" s="337" t="s">
        <v>131</v>
      </c>
      <c r="K16" s="336"/>
      <c r="L16" s="336"/>
      <c r="M16" s="629"/>
      <c r="N16" s="629"/>
      <c r="O16" s="629"/>
      <c r="P16" s="333"/>
      <c r="Q16" s="338"/>
      <c r="R16" s="338"/>
      <c r="S16" s="338"/>
      <c r="T16" s="338"/>
      <c r="U16" s="338"/>
      <c r="V16" s="338"/>
      <c r="W16" s="338"/>
      <c r="X16" s="338"/>
      <c r="Y16" s="338"/>
      <c r="Z16" s="338"/>
      <c r="AA16" s="338"/>
      <c r="AB16" s="333"/>
      <c r="AC16" s="338"/>
      <c r="AD16" s="338"/>
      <c r="AE16" s="338"/>
      <c r="AF16" s="338"/>
      <c r="AG16" s="338"/>
      <c r="AH16" s="337"/>
    </row>
    <row r="17" spans="1:34">
      <c r="A17" s="336">
        <f t="shared" si="0"/>
        <v>8</v>
      </c>
      <c r="B17" s="336" t="s">
        <v>473</v>
      </c>
      <c r="C17" s="336" t="s">
        <v>114</v>
      </c>
      <c r="D17" s="335" t="b">
        <v>1</v>
      </c>
      <c r="E17" s="336">
        <v>0</v>
      </c>
      <c r="F17" s="336">
        <v>100</v>
      </c>
      <c r="G17" s="336">
        <v>0</v>
      </c>
      <c r="H17" s="336">
        <f t="shared" si="1"/>
        <v>0</v>
      </c>
      <c r="I17" s="333"/>
      <c r="J17" s="337" t="s">
        <v>131</v>
      </c>
      <c r="K17" s="336"/>
      <c r="L17" s="336"/>
      <c r="M17" s="629"/>
      <c r="N17" s="629"/>
      <c r="O17" s="629"/>
      <c r="P17" s="333"/>
      <c r="Q17" s="338"/>
      <c r="R17" s="338"/>
      <c r="S17" s="338"/>
      <c r="T17" s="338"/>
      <c r="U17" s="338"/>
      <c r="V17" s="338"/>
      <c r="W17" s="338"/>
      <c r="X17" s="338"/>
      <c r="Y17" s="338"/>
      <c r="Z17" s="338"/>
      <c r="AA17" s="338"/>
      <c r="AB17" s="333"/>
      <c r="AC17" s="338"/>
      <c r="AD17" s="338"/>
      <c r="AE17" s="338"/>
      <c r="AF17" s="338"/>
      <c r="AG17" s="338"/>
      <c r="AH17" s="337"/>
    </row>
    <row r="18" spans="1:34">
      <c r="A18" s="336">
        <f t="shared" si="0"/>
        <v>9</v>
      </c>
      <c r="B18" s="336" t="s">
        <v>232</v>
      </c>
      <c r="C18" s="336" t="s">
        <v>115</v>
      </c>
      <c r="D18" s="335" t="b">
        <v>1</v>
      </c>
      <c r="E18" s="336">
        <v>0</v>
      </c>
      <c r="F18" s="336">
        <v>120</v>
      </c>
      <c r="G18" s="336">
        <v>0</v>
      </c>
      <c r="H18" s="336">
        <f t="shared" si="1"/>
        <v>0</v>
      </c>
      <c r="I18" s="333"/>
      <c r="J18" s="337" t="s">
        <v>131</v>
      </c>
      <c r="K18" s="336"/>
      <c r="L18" s="336"/>
      <c r="M18" s="629"/>
      <c r="N18" s="629"/>
      <c r="O18" s="629"/>
      <c r="P18" s="333"/>
      <c r="Q18" s="338"/>
      <c r="R18" s="338"/>
      <c r="S18" s="338"/>
      <c r="T18" s="338"/>
      <c r="U18" s="338"/>
      <c r="V18" s="338"/>
      <c r="W18" s="338"/>
      <c r="X18" s="338"/>
      <c r="Y18" s="338"/>
      <c r="Z18" s="338"/>
      <c r="AA18" s="338"/>
      <c r="AB18" s="333"/>
      <c r="AC18" s="338"/>
      <c r="AD18" s="338"/>
      <c r="AE18" s="338"/>
      <c r="AF18" s="338"/>
      <c r="AG18" s="338"/>
      <c r="AH18" s="337"/>
    </row>
    <row r="19" spans="1:34">
      <c r="A19" s="336">
        <f t="shared" si="0"/>
        <v>10</v>
      </c>
      <c r="B19" s="336" t="s">
        <v>233</v>
      </c>
      <c r="C19" s="336" t="s">
        <v>116</v>
      </c>
      <c r="D19" s="335" t="b">
        <v>1</v>
      </c>
      <c r="E19" s="336">
        <v>0</v>
      </c>
      <c r="F19" s="336">
        <v>20</v>
      </c>
      <c r="G19" s="336">
        <v>0</v>
      </c>
      <c r="H19" s="336">
        <f t="shared" si="1"/>
        <v>0</v>
      </c>
      <c r="I19" s="333"/>
      <c r="J19" s="337" t="s">
        <v>131</v>
      </c>
      <c r="K19" s="336"/>
      <c r="L19" s="336"/>
      <c r="M19" s="629"/>
      <c r="N19" s="629"/>
      <c r="O19" s="629"/>
      <c r="P19" s="333"/>
      <c r="Q19" s="338"/>
      <c r="R19" s="338"/>
      <c r="S19" s="338"/>
      <c r="T19" s="338"/>
      <c r="U19" s="338"/>
      <c r="V19" s="338"/>
      <c r="W19" s="338"/>
      <c r="X19" s="338"/>
      <c r="Y19" s="338"/>
      <c r="Z19" s="338"/>
      <c r="AA19" s="338"/>
      <c r="AB19" s="333"/>
      <c r="AC19" s="338"/>
      <c r="AD19" s="338"/>
      <c r="AE19" s="338"/>
      <c r="AF19" s="338"/>
      <c r="AG19" s="338"/>
      <c r="AH19" s="337"/>
    </row>
    <row r="20" spans="1:34">
      <c r="A20" s="336">
        <f t="shared" si="0"/>
        <v>11</v>
      </c>
      <c r="B20" s="336" t="s">
        <v>234</v>
      </c>
      <c r="C20" s="336" t="s">
        <v>117</v>
      </c>
      <c r="D20" s="335" t="b">
        <v>1</v>
      </c>
      <c r="E20" s="336">
        <v>0</v>
      </c>
      <c r="F20" s="336">
        <v>15</v>
      </c>
      <c r="G20" s="336">
        <v>0</v>
      </c>
      <c r="H20" s="336">
        <f t="shared" si="1"/>
        <v>0</v>
      </c>
      <c r="I20" s="333"/>
      <c r="J20" s="337" t="s">
        <v>130</v>
      </c>
      <c r="K20" s="336"/>
      <c r="L20" s="336"/>
      <c r="M20" s="629"/>
      <c r="N20" s="629"/>
      <c r="O20" s="629"/>
      <c r="P20" s="333"/>
      <c r="Q20" s="338"/>
      <c r="R20" s="338"/>
      <c r="S20" s="338"/>
      <c r="T20" s="338"/>
      <c r="U20" s="338"/>
      <c r="V20" s="338"/>
      <c r="W20" s="338"/>
      <c r="X20" s="338"/>
      <c r="Y20" s="338"/>
      <c r="Z20" s="338"/>
      <c r="AA20" s="338"/>
      <c r="AB20" s="333"/>
      <c r="AC20" s="338"/>
      <c r="AD20" s="338"/>
      <c r="AE20" s="338"/>
      <c r="AF20" s="338"/>
      <c r="AG20" s="338"/>
      <c r="AH20" s="337"/>
    </row>
    <row r="21" spans="1:34">
      <c r="A21" s="336">
        <f t="shared" si="0"/>
        <v>12</v>
      </c>
      <c r="B21" s="336" t="s">
        <v>235</v>
      </c>
      <c r="C21" s="336" t="s">
        <v>118</v>
      </c>
      <c r="D21" s="335" t="b">
        <v>1</v>
      </c>
      <c r="E21" s="336">
        <v>0</v>
      </c>
      <c r="F21" s="336">
        <v>9</v>
      </c>
      <c r="G21" s="336">
        <v>0</v>
      </c>
      <c r="H21" s="336">
        <f t="shared" si="1"/>
        <v>0</v>
      </c>
      <c r="I21" s="333"/>
      <c r="J21" s="337" t="s">
        <v>129</v>
      </c>
      <c r="K21" s="336"/>
      <c r="L21" s="336"/>
      <c r="M21" s="629"/>
      <c r="N21" s="629"/>
      <c r="O21" s="629"/>
      <c r="P21" s="333"/>
      <c r="Q21" s="338"/>
      <c r="R21" s="338"/>
      <c r="S21" s="338"/>
      <c r="T21" s="338"/>
      <c r="U21" s="338"/>
      <c r="V21" s="338"/>
      <c r="W21" s="338"/>
      <c r="X21" s="338"/>
      <c r="Y21" s="338"/>
      <c r="Z21" s="338"/>
      <c r="AA21" s="338"/>
      <c r="AB21" s="333"/>
      <c r="AC21" s="338"/>
      <c r="AD21" s="338"/>
      <c r="AE21" s="338"/>
      <c r="AF21" s="338"/>
      <c r="AG21" s="338"/>
      <c r="AH21" s="337"/>
    </row>
    <row r="22" spans="1:34">
      <c r="A22" s="336">
        <f t="shared" si="0"/>
        <v>13</v>
      </c>
      <c r="B22" s="336" t="s">
        <v>236</v>
      </c>
      <c r="C22" s="336" t="s">
        <v>119</v>
      </c>
      <c r="D22" s="335" t="b">
        <v>1</v>
      </c>
      <c r="E22" s="336">
        <v>0</v>
      </c>
      <c r="F22" s="336">
        <v>0</v>
      </c>
      <c r="G22" s="336">
        <v>0</v>
      </c>
      <c r="H22" s="336">
        <f t="shared" si="1"/>
        <v>0</v>
      </c>
      <c r="I22" s="333"/>
      <c r="J22" s="337" t="s">
        <v>134</v>
      </c>
      <c r="K22" s="336"/>
      <c r="L22" s="336"/>
      <c r="M22" s="629"/>
      <c r="N22" s="629"/>
      <c r="O22" s="629"/>
      <c r="P22" s="333"/>
      <c r="Q22" s="338"/>
      <c r="R22" s="338"/>
      <c r="S22" s="338"/>
      <c r="T22" s="338"/>
      <c r="U22" s="338"/>
      <c r="V22" s="338"/>
      <c r="W22" s="338"/>
      <c r="X22" s="338"/>
      <c r="Y22" s="338"/>
      <c r="Z22" s="338"/>
      <c r="AA22" s="338"/>
      <c r="AB22" s="333"/>
      <c r="AC22" s="338"/>
      <c r="AD22" s="338"/>
      <c r="AE22" s="338"/>
      <c r="AF22" s="338"/>
      <c r="AG22" s="338"/>
      <c r="AH22" s="337"/>
    </row>
    <row r="23" spans="1:34">
      <c r="A23" s="336">
        <f t="shared" si="0"/>
        <v>14</v>
      </c>
      <c r="B23" s="336" t="s">
        <v>237</v>
      </c>
      <c r="C23" s="336" t="s">
        <v>120</v>
      </c>
      <c r="D23" s="335" t="b">
        <v>1</v>
      </c>
      <c r="E23" s="336">
        <v>0</v>
      </c>
      <c r="F23" s="336">
        <v>0</v>
      </c>
      <c r="G23" s="336">
        <v>0</v>
      </c>
      <c r="H23" s="336">
        <f t="shared" si="1"/>
        <v>0</v>
      </c>
      <c r="I23" s="333"/>
      <c r="J23" s="337" t="s">
        <v>133</v>
      </c>
      <c r="K23" s="336"/>
      <c r="L23" s="336"/>
      <c r="M23" s="629"/>
      <c r="N23" s="629"/>
      <c r="O23" s="629"/>
      <c r="P23" s="333"/>
      <c r="Q23" s="338"/>
      <c r="R23" s="338"/>
      <c r="S23" s="338"/>
      <c r="T23" s="338"/>
      <c r="U23" s="338"/>
      <c r="V23" s="338"/>
      <c r="W23" s="338"/>
      <c r="X23" s="338"/>
      <c r="Y23" s="338"/>
      <c r="Z23" s="338"/>
      <c r="AA23" s="338"/>
      <c r="AB23" s="333"/>
      <c r="AC23" s="338"/>
      <c r="AD23" s="338"/>
      <c r="AE23" s="338"/>
      <c r="AF23" s="338"/>
      <c r="AG23" s="338"/>
      <c r="AH23" s="337"/>
    </row>
    <row r="24" spans="1:34">
      <c r="A24" s="336">
        <f t="shared" si="0"/>
        <v>15</v>
      </c>
      <c r="B24" s="336" t="s">
        <v>238</v>
      </c>
      <c r="C24" s="336" t="s">
        <v>121</v>
      </c>
      <c r="D24" s="335" t="b">
        <v>1</v>
      </c>
      <c r="E24" s="336">
        <v>0</v>
      </c>
      <c r="F24" s="336">
        <v>0</v>
      </c>
      <c r="G24" s="336">
        <v>0</v>
      </c>
      <c r="H24" s="336">
        <f t="shared" si="1"/>
        <v>0</v>
      </c>
      <c r="I24" s="333"/>
      <c r="J24" s="337" t="s">
        <v>133</v>
      </c>
      <c r="K24" s="336"/>
      <c r="L24" s="336"/>
      <c r="M24" s="629"/>
      <c r="N24" s="629"/>
      <c r="O24" s="629"/>
      <c r="P24" s="333"/>
      <c r="Q24" s="338"/>
      <c r="R24" s="338"/>
      <c r="S24" s="338"/>
      <c r="T24" s="338"/>
      <c r="U24" s="338"/>
      <c r="V24" s="338"/>
      <c r="W24" s="338"/>
      <c r="X24" s="338"/>
      <c r="Y24" s="338"/>
      <c r="Z24" s="338"/>
      <c r="AA24" s="338"/>
      <c r="AB24" s="333"/>
      <c r="AC24" s="338"/>
      <c r="AD24" s="338"/>
      <c r="AE24" s="338"/>
      <c r="AF24" s="338"/>
      <c r="AG24" s="338"/>
      <c r="AH24" s="337"/>
    </row>
    <row r="25" spans="1:34">
      <c r="A25" s="336">
        <f t="shared" si="0"/>
        <v>16</v>
      </c>
      <c r="B25" s="336" t="s">
        <v>239</v>
      </c>
      <c r="C25" s="336" t="s">
        <v>122</v>
      </c>
      <c r="D25" s="335" t="b">
        <v>1</v>
      </c>
      <c r="E25" s="336">
        <v>0</v>
      </c>
      <c r="F25" s="336">
        <v>0</v>
      </c>
      <c r="G25" s="336">
        <v>0</v>
      </c>
      <c r="H25" s="336">
        <f t="shared" si="1"/>
        <v>0</v>
      </c>
      <c r="I25" s="333"/>
      <c r="J25" s="337" t="s">
        <v>133</v>
      </c>
      <c r="K25" s="336"/>
      <c r="L25" s="336"/>
      <c r="M25" s="629"/>
      <c r="N25" s="629"/>
      <c r="O25" s="629"/>
      <c r="P25" s="333"/>
      <c r="Q25" s="338"/>
      <c r="R25" s="338"/>
      <c r="S25" s="338"/>
      <c r="T25" s="338"/>
      <c r="U25" s="338"/>
      <c r="V25" s="338"/>
      <c r="W25" s="338"/>
      <c r="X25" s="338"/>
      <c r="Y25" s="338"/>
      <c r="Z25" s="338"/>
      <c r="AA25" s="338"/>
      <c r="AB25" s="333"/>
      <c r="AC25" s="338"/>
      <c r="AD25" s="338"/>
      <c r="AE25" s="338"/>
      <c r="AF25" s="338"/>
      <c r="AG25" s="338"/>
      <c r="AH25" s="337"/>
    </row>
    <row r="26" spans="1:34">
      <c r="A26" s="336">
        <f t="shared" si="0"/>
        <v>17</v>
      </c>
      <c r="B26" s="336" t="s">
        <v>475</v>
      </c>
      <c r="C26" s="340" t="s">
        <v>123</v>
      </c>
      <c r="D26" s="335" t="b">
        <v>1</v>
      </c>
      <c r="E26" s="336">
        <v>0</v>
      </c>
      <c r="F26" s="336">
        <v>100</v>
      </c>
      <c r="G26" s="336">
        <v>0</v>
      </c>
      <c r="H26" s="336">
        <f t="shared" si="1"/>
        <v>0</v>
      </c>
      <c r="I26" s="333"/>
      <c r="J26" s="337" t="s">
        <v>131</v>
      </c>
      <c r="K26" s="336"/>
      <c r="L26" s="336"/>
      <c r="M26" s="629"/>
      <c r="N26" s="629"/>
      <c r="O26" s="629"/>
      <c r="P26" s="333"/>
      <c r="Q26" s="338"/>
      <c r="R26" s="338"/>
      <c r="S26" s="338"/>
      <c r="T26" s="338"/>
      <c r="U26" s="338"/>
      <c r="V26" s="338"/>
      <c r="W26" s="338"/>
      <c r="X26" s="338"/>
      <c r="Y26" s="338"/>
      <c r="Z26" s="338"/>
      <c r="AA26" s="338"/>
      <c r="AB26" s="333"/>
      <c r="AC26" s="338"/>
      <c r="AD26" s="338"/>
      <c r="AE26" s="338"/>
      <c r="AF26" s="338"/>
      <c r="AG26" s="338"/>
      <c r="AH26" s="337"/>
    </row>
    <row r="27" spans="1:34">
      <c r="A27" s="336">
        <f t="shared" si="0"/>
        <v>18</v>
      </c>
      <c r="B27" s="336" t="s">
        <v>477</v>
      </c>
      <c r="C27" s="340" t="s">
        <v>124</v>
      </c>
      <c r="D27" s="335" t="b">
        <v>1</v>
      </c>
      <c r="E27" s="336">
        <v>0</v>
      </c>
      <c r="F27" s="336">
        <v>100</v>
      </c>
      <c r="G27" s="336">
        <v>0</v>
      </c>
      <c r="H27" s="336">
        <f t="shared" si="1"/>
        <v>0</v>
      </c>
      <c r="I27" s="333"/>
      <c r="J27" s="337" t="s">
        <v>131</v>
      </c>
      <c r="K27" s="336"/>
      <c r="L27" s="336"/>
      <c r="M27" s="629"/>
      <c r="N27" s="629"/>
      <c r="O27" s="629"/>
      <c r="P27" s="333"/>
      <c r="Q27" s="338"/>
      <c r="R27" s="338"/>
      <c r="S27" s="338"/>
      <c r="T27" s="338"/>
      <c r="U27" s="338"/>
      <c r="V27" s="338"/>
      <c r="W27" s="338"/>
      <c r="X27" s="338"/>
      <c r="Y27" s="338"/>
      <c r="Z27" s="338"/>
      <c r="AA27" s="338"/>
      <c r="AB27" s="333"/>
      <c r="AC27" s="338"/>
      <c r="AD27" s="338"/>
      <c r="AE27" s="338"/>
      <c r="AF27" s="338"/>
      <c r="AG27" s="338"/>
      <c r="AH27" s="337"/>
    </row>
    <row r="28" spans="1:34">
      <c r="A28" s="336">
        <f t="shared" si="0"/>
        <v>19</v>
      </c>
      <c r="B28" s="336" t="s">
        <v>240</v>
      </c>
      <c r="C28" s="336" t="s">
        <v>125</v>
      </c>
      <c r="D28" s="335" t="b">
        <v>1</v>
      </c>
      <c r="E28" s="336">
        <v>0</v>
      </c>
      <c r="F28" s="336">
        <v>80</v>
      </c>
      <c r="G28" s="336">
        <v>0</v>
      </c>
      <c r="H28" s="336">
        <f t="shared" si="1"/>
        <v>0</v>
      </c>
      <c r="I28" s="333"/>
      <c r="J28" s="337" t="s">
        <v>131</v>
      </c>
      <c r="K28" s="336"/>
      <c r="L28" s="336"/>
      <c r="M28" s="629"/>
      <c r="N28" s="629"/>
      <c r="O28" s="629"/>
      <c r="P28" s="333"/>
      <c r="Q28" s="338"/>
      <c r="R28" s="338"/>
      <c r="S28" s="338"/>
      <c r="T28" s="338"/>
      <c r="U28" s="338"/>
      <c r="V28" s="338"/>
      <c r="W28" s="338"/>
      <c r="X28" s="338"/>
      <c r="Y28" s="338"/>
      <c r="Z28" s="338"/>
      <c r="AA28" s="338"/>
      <c r="AB28" s="333"/>
      <c r="AC28" s="338"/>
      <c r="AD28" s="338"/>
      <c r="AE28" s="338"/>
      <c r="AF28" s="338"/>
      <c r="AG28" s="338"/>
      <c r="AH28" s="337"/>
    </row>
    <row r="29" spans="1:34">
      <c r="A29" s="336">
        <f t="shared" si="0"/>
        <v>20</v>
      </c>
      <c r="B29" s="336" t="s">
        <v>241</v>
      </c>
      <c r="C29" s="336" t="s">
        <v>126</v>
      </c>
      <c r="D29" s="335" t="b">
        <v>1</v>
      </c>
      <c r="E29" s="336">
        <v>0</v>
      </c>
      <c r="F29" s="336">
        <v>30</v>
      </c>
      <c r="G29" s="336">
        <v>0</v>
      </c>
      <c r="H29" s="336">
        <f t="shared" si="1"/>
        <v>0</v>
      </c>
      <c r="I29" s="333"/>
      <c r="J29" s="337" t="s">
        <v>131</v>
      </c>
      <c r="K29" s="336"/>
      <c r="L29" s="336"/>
      <c r="M29" s="629"/>
      <c r="N29" s="629"/>
      <c r="O29" s="629"/>
      <c r="P29" s="333"/>
      <c r="Q29" s="338"/>
      <c r="R29" s="338"/>
      <c r="S29" s="338"/>
      <c r="T29" s="338"/>
      <c r="U29" s="338"/>
      <c r="V29" s="338"/>
      <c r="W29" s="338"/>
      <c r="X29" s="338"/>
      <c r="Y29" s="338"/>
      <c r="Z29" s="338"/>
      <c r="AA29" s="338"/>
      <c r="AB29" s="333"/>
      <c r="AC29" s="338"/>
      <c r="AD29" s="338"/>
      <c r="AE29" s="338"/>
      <c r="AF29" s="338"/>
      <c r="AG29" s="338"/>
      <c r="AH29" s="337"/>
    </row>
    <row r="30" spans="1:34">
      <c r="A30" s="336">
        <f t="shared" si="0"/>
        <v>21</v>
      </c>
      <c r="B30" s="336" t="s">
        <v>242</v>
      </c>
      <c r="C30" s="336" t="s">
        <v>127</v>
      </c>
      <c r="D30" s="335" t="b">
        <v>1</v>
      </c>
      <c r="E30" s="336">
        <v>0</v>
      </c>
      <c r="F30" s="336">
        <v>42</v>
      </c>
      <c r="G30" s="336">
        <v>0</v>
      </c>
      <c r="H30" s="336">
        <f t="shared" si="1"/>
        <v>0</v>
      </c>
      <c r="I30" s="333"/>
      <c r="J30" s="337" t="s">
        <v>131</v>
      </c>
      <c r="K30" s="336"/>
      <c r="L30" s="336"/>
      <c r="M30" s="629"/>
      <c r="N30" s="629"/>
      <c r="O30" s="629"/>
      <c r="P30" s="333"/>
      <c r="Q30" s="338"/>
      <c r="R30" s="338"/>
      <c r="S30" s="338"/>
      <c r="T30" s="338"/>
      <c r="U30" s="338"/>
      <c r="V30" s="338"/>
      <c r="W30" s="338"/>
      <c r="X30" s="338"/>
      <c r="Y30" s="338"/>
      <c r="Z30" s="338"/>
      <c r="AA30" s="338"/>
      <c r="AB30" s="333"/>
      <c r="AC30" s="338"/>
      <c r="AD30" s="338"/>
      <c r="AE30" s="338"/>
      <c r="AF30" s="338"/>
      <c r="AG30" s="338"/>
      <c r="AH30" s="337"/>
    </row>
    <row r="31" spans="1:34">
      <c r="A31" s="336">
        <f t="shared" si="0"/>
        <v>22</v>
      </c>
      <c r="B31" s="336" t="s">
        <v>243</v>
      </c>
      <c r="C31" s="336" t="s">
        <v>128</v>
      </c>
      <c r="D31" s="335" t="b">
        <v>1</v>
      </c>
      <c r="E31" s="336">
        <v>0</v>
      </c>
      <c r="F31" s="336">
        <v>513</v>
      </c>
      <c r="G31" s="336">
        <v>0</v>
      </c>
      <c r="H31" s="336">
        <f t="shared" si="1"/>
        <v>0</v>
      </c>
      <c r="I31" s="333"/>
      <c r="J31" s="337" t="s">
        <v>131</v>
      </c>
      <c r="K31" s="336"/>
      <c r="L31" s="336"/>
      <c r="M31" s="629"/>
      <c r="N31" s="629"/>
      <c r="O31" s="629"/>
      <c r="P31" s="333"/>
      <c r="Q31" s="338"/>
      <c r="R31" s="338"/>
      <c r="S31" s="338"/>
      <c r="T31" s="338"/>
      <c r="U31" s="338"/>
      <c r="V31" s="338"/>
      <c r="W31" s="338"/>
      <c r="X31" s="338"/>
      <c r="Y31" s="338"/>
      <c r="Z31" s="338"/>
      <c r="AA31" s="338"/>
      <c r="AB31" s="333"/>
      <c r="AC31" s="338"/>
      <c r="AD31" s="338"/>
      <c r="AE31" s="338"/>
      <c r="AF31" s="338"/>
      <c r="AG31" s="338"/>
      <c r="AH31" s="337"/>
    </row>
    <row r="32" spans="1:34">
      <c r="A32" s="637" t="s">
        <v>37</v>
      </c>
      <c r="B32" s="638"/>
      <c r="C32" s="638"/>
      <c r="D32" s="638"/>
      <c r="E32" s="638"/>
      <c r="F32" s="638"/>
      <c r="G32" s="638"/>
      <c r="H32" s="638"/>
      <c r="I32" s="638"/>
      <c r="J32" s="638"/>
      <c r="K32" s="638"/>
      <c r="L32" s="638"/>
      <c r="M32" s="638"/>
      <c r="N32" s="638"/>
      <c r="O32" s="638"/>
      <c r="P32" s="638"/>
      <c r="Q32" s="638"/>
      <c r="R32" s="638"/>
      <c r="S32" s="638"/>
      <c r="T32" s="638"/>
      <c r="U32" s="638"/>
      <c r="V32" s="638"/>
      <c r="W32" s="638"/>
      <c r="X32" s="638"/>
      <c r="Y32" s="638"/>
      <c r="Z32" s="638"/>
      <c r="AA32" s="638"/>
      <c r="AB32" s="638"/>
      <c r="AC32" s="638"/>
      <c r="AD32" s="638"/>
      <c r="AE32" s="638"/>
      <c r="AF32" s="638"/>
      <c r="AG32" s="638"/>
      <c r="AH32" s="639"/>
    </row>
    <row r="33" spans="1:34">
      <c r="A33" s="341"/>
      <c r="B33" s="342"/>
      <c r="C33" s="342"/>
      <c r="D33" s="343"/>
      <c r="E33" s="342"/>
      <c r="F33" s="342"/>
      <c r="G33" s="342"/>
      <c r="H33" s="342"/>
      <c r="I33" s="342"/>
      <c r="J33" s="342"/>
      <c r="K33" s="342"/>
      <c r="L33" s="342"/>
      <c r="M33" s="640"/>
      <c r="N33" s="640"/>
      <c r="O33" s="640"/>
      <c r="P33" s="342"/>
      <c r="Q33" s="342"/>
      <c r="R33" s="342"/>
      <c r="S33" s="342"/>
      <c r="T33" s="342"/>
      <c r="U33" s="342"/>
      <c r="V33" s="342"/>
      <c r="W33" s="342"/>
      <c r="X33" s="342"/>
      <c r="Y33" s="342"/>
      <c r="Z33" s="342"/>
      <c r="AA33" s="342"/>
      <c r="AB33" s="342"/>
      <c r="AC33" s="342"/>
      <c r="AD33" s="342"/>
      <c r="AE33" s="342"/>
      <c r="AF33" s="342"/>
      <c r="AG33" s="342"/>
      <c r="AH33" s="344"/>
    </row>
    <row r="34" spans="1:34">
      <c r="A34" s="345"/>
      <c r="B34" s="320" t="s">
        <v>38</v>
      </c>
      <c r="M34" s="636"/>
      <c r="N34" s="636"/>
      <c r="O34" s="636"/>
      <c r="AH34" s="346"/>
    </row>
    <row r="35" spans="1:34">
      <c r="A35" s="345"/>
      <c r="B35" s="320" t="s">
        <v>47</v>
      </c>
      <c r="D35" s="324"/>
      <c r="M35" s="636"/>
      <c r="N35" s="636"/>
      <c r="O35" s="636"/>
      <c r="AH35" s="346"/>
    </row>
    <row r="36" spans="1:34">
      <c r="A36" s="345"/>
      <c r="B36" s="320" t="s">
        <v>60</v>
      </c>
      <c r="D36" s="324"/>
      <c r="AH36" s="346"/>
    </row>
    <row r="37" spans="1:34">
      <c r="A37" s="345"/>
      <c r="B37" s="320" t="s">
        <v>48</v>
      </c>
      <c r="D37" s="324"/>
      <c r="AH37" s="346"/>
    </row>
    <row r="38" spans="1:34">
      <c r="A38" s="345"/>
      <c r="B38" s="320" t="s">
        <v>606</v>
      </c>
      <c r="D38" s="324"/>
      <c r="AH38" s="346"/>
    </row>
    <row r="39" spans="1:34">
      <c r="A39" s="345"/>
      <c r="B39" s="320" t="s">
        <v>49</v>
      </c>
      <c r="D39" s="324"/>
      <c r="AH39" s="346"/>
    </row>
    <row r="40" spans="1:34">
      <c r="A40" s="345"/>
      <c r="B40" s="320" t="s">
        <v>213</v>
      </c>
      <c r="D40" s="324"/>
      <c r="AH40" s="346"/>
    </row>
    <row r="41" spans="1:34">
      <c r="A41" s="345"/>
      <c r="B41" s="320" t="s">
        <v>214</v>
      </c>
      <c r="D41" s="324"/>
      <c r="AH41" s="346"/>
    </row>
    <row r="42" spans="1:34">
      <c r="A42" s="345"/>
      <c r="B42" s="320" t="s">
        <v>215</v>
      </c>
      <c r="D42" s="324"/>
      <c r="AH42" s="346"/>
    </row>
    <row r="43" spans="1:34">
      <c r="A43" s="345"/>
      <c r="B43" s="320" t="s">
        <v>216</v>
      </c>
      <c r="D43" s="324"/>
      <c r="AH43" s="346"/>
    </row>
    <row r="44" spans="1:34">
      <c r="A44" s="345"/>
      <c r="B44" s="347" t="s">
        <v>51</v>
      </c>
      <c r="D44" s="324"/>
      <c r="AH44" s="346"/>
    </row>
    <row r="45" spans="1:34">
      <c r="A45" s="345"/>
      <c r="B45" s="347" t="s">
        <v>50</v>
      </c>
      <c r="D45" s="324"/>
      <c r="AH45" s="346"/>
    </row>
    <row r="46" spans="1:34">
      <c r="A46" s="345"/>
      <c r="B46" s="320" t="s">
        <v>58</v>
      </c>
      <c r="D46" s="324"/>
      <c r="AH46" s="346"/>
    </row>
    <row r="47" spans="1:34">
      <c r="A47" s="345"/>
      <c r="B47" s="320" t="s">
        <v>52</v>
      </c>
      <c r="D47" s="324"/>
      <c r="AH47" s="346"/>
    </row>
    <row r="48" spans="1:34">
      <c r="A48" s="345"/>
      <c r="B48" s="320" t="s">
        <v>54</v>
      </c>
      <c r="D48" s="324"/>
      <c r="AH48" s="346"/>
    </row>
    <row r="49" spans="1:34">
      <c r="A49" s="345"/>
      <c r="B49" s="320" t="s">
        <v>57</v>
      </c>
      <c r="D49" s="324"/>
      <c r="AH49" s="346"/>
    </row>
    <row r="50" spans="1:34">
      <c r="A50" s="345"/>
      <c r="B50" s="320" t="s">
        <v>55</v>
      </c>
      <c r="D50" s="324"/>
      <c r="AH50" s="346"/>
    </row>
    <row r="51" spans="1:34">
      <c r="A51" s="345"/>
      <c r="B51" s="320" t="s">
        <v>59</v>
      </c>
      <c r="D51" s="324"/>
      <c r="AH51" s="346"/>
    </row>
    <row r="52" spans="1:34">
      <c r="A52" s="345"/>
      <c r="B52" s="320" t="s">
        <v>217</v>
      </c>
      <c r="D52" s="324"/>
      <c r="AH52" s="346"/>
    </row>
    <row r="53" spans="1:34">
      <c r="A53" s="345"/>
      <c r="B53" s="347" t="s">
        <v>53</v>
      </c>
      <c r="D53" s="324"/>
      <c r="AH53" s="346"/>
    </row>
    <row r="54" spans="1:34">
      <c r="A54" s="345"/>
      <c r="B54" s="347" t="s">
        <v>56</v>
      </c>
      <c r="D54" s="324"/>
      <c r="AH54" s="346"/>
    </row>
    <row r="55" spans="1:34">
      <c r="A55" s="345"/>
      <c r="D55" s="324"/>
      <c r="AH55" s="346"/>
    </row>
    <row r="56" spans="1:34">
      <c r="A56" s="345"/>
      <c r="B56" s="320" t="s">
        <v>39</v>
      </c>
      <c r="M56" s="636"/>
      <c r="N56" s="636"/>
      <c r="O56" s="636"/>
      <c r="AH56" s="346"/>
    </row>
    <row r="57" spans="1:34">
      <c r="A57" s="345"/>
      <c r="B57" s="320" t="s">
        <v>61</v>
      </c>
      <c r="AH57" s="346"/>
    </row>
    <row r="58" spans="1:34">
      <c r="A58" s="345"/>
      <c r="B58" s="320" t="s">
        <v>62</v>
      </c>
      <c r="C58" s="320" t="s">
        <v>40</v>
      </c>
      <c r="D58" s="320" t="s">
        <v>63</v>
      </c>
      <c r="AH58" s="346"/>
    </row>
    <row r="59" spans="1:34">
      <c r="A59" s="345"/>
      <c r="AH59" s="346"/>
    </row>
    <row r="60" spans="1:34">
      <c r="A60" s="345"/>
      <c r="B60" s="320" t="s">
        <v>526</v>
      </c>
      <c r="AH60" s="346"/>
    </row>
    <row r="61" spans="1:34">
      <c r="A61" s="345"/>
      <c r="B61" s="320" t="s">
        <v>64</v>
      </c>
      <c r="C61" s="320" t="s">
        <v>40</v>
      </c>
      <c r="D61" s="320" t="s">
        <v>65</v>
      </c>
      <c r="AH61" s="346"/>
    </row>
    <row r="62" spans="1:34">
      <c r="A62" s="345"/>
      <c r="AH62" s="346"/>
    </row>
    <row r="63" spans="1:34">
      <c r="A63" s="345"/>
      <c r="B63" s="320" t="s">
        <v>66</v>
      </c>
      <c r="AH63" s="346"/>
    </row>
    <row r="64" spans="1:34">
      <c r="A64" s="345"/>
      <c r="B64" s="320" t="s">
        <v>67</v>
      </c>
      <c r="C64" s="320" t="s">
        <v>40</v>
      </c>
      <c r="D64" s="320" t="s">
        <v>68</v>
      </c>
      <c r="AH64" s="346"/>
    </row>
    <row r="65" spans="1:34">
      <c r="A65" s="345"/>
      <c r="B65" s="320" t="s">
        <v>73</v>
      </c>
      <c r="C65" s="320" t="s">
        <v>40</v>
      </c>
      <c r="D65" s="348" t="s">
        <v>76</v>
      </c>
      <c r="AH65" s="346"/>
    </row>
    <row r="66" spans="1:34">
      <c r="A66" s="345"/>
      <c r="AH66" s="346"/>
    </row>
    <row r="67" spans="1:34">
      <c r="A67" s="345"/>
      <c r="B67" s="320" t="s">
        <v>71</v>
      </c>
      <c r="AH67" s="346"/>
    </row>
    <row r="68" spans="1:34">
      <c r="A68" s="345"/>
      <c r="B68" s="320" t="s">
        <v>75</v>
      </c>
      <c r="C68" s="320" t="s">
        <v>40</v>
      </c>
      <c r="D68" s="320" t="s">
        <v>74</v>
      </c>
      <c r="AH68" s="346"/>
    </row>
    <row r="69" spans="1:34">
      <c r="A69" s="345"/>
      <c r="B69" s="320" t="s">
        <v>83</v>
      </c>
      <c r="C69" s="320" t="s">
        <v>78</v>
      </c>
      <c r="D69" s="348" t="s">
        <v>79</v>
      </c>
      <c r="AH69" s="346"/>
    </row>
    <row r="70" spans="1:34">
      <c r="A70" s="345"/>
      <c r="B70" s="320" t="s">
        <v>84</v>
      </c>
      <c r="C70" s="320" t="s">
        <v>81</v>
      </c>
      <c r="D70" s="348" t="s">
        <v>79</v>
      </c>
      <c r="AH70" s="346"/>
    </row>
    <row r="71" spans="1:34">
      <c r="A71" s="345"/>
      <c r="AH71" s="346"/>
    </row>
    <row r="72" spans="1:34">
      <c r="A72" s="345"/>
      <c r="B72" s="320" t="s">
        <v>72</v>
      </c>
      <c r="AH72" s="346"/>
    </row>
    <row r="73" spans="1:34">
      <c r="A73" s="345"/>
      <c r="B73" s="320" t="s">
        <v>75</v>
      </c>
      <c r="C73" s="320" t="s">
        <v>40</v>
      </c>
      <c r="D73" s="320" t="s">
        <v>82</v>
      </c>
      <c r="AH73" s="346"/>
    </row>
    <row r="74" spans="1:34">
      <c r="A74" s="345"/>
      <c r="B74" s="320" t="s">
        <v>77</v>
      </c>
      <c r="C74" s="320" t="s">
        <v>78</v>
      </c>
      <c r="D74" s="348" t="s">
        <v>79</v>
      </c>
      <c r="AH74" s="346"/>
    </row>
    <row r="75" spans="1:34">
      <c r="A75" s="345"/>
      <c r="B75" s="320" t="s">
        <v>80</v>
      </c>
      <c r="C75" s="320" t="s">
        <v>81</v>
      </c>
      <c r="D75" s="348" t="s">
        <v>79</v>
      </c>
      <c r="AH75" s="346"/>
    </row>
    <row r="76" spans="1:34">
      <c r="A76" s="345"/>
      <c r="AH76" s="346"/>
    </row>
    <row r="77" spans="1:34">
      <c r="A77" s="345"/>
      <c r="B77" s="320" t="s">
        <v>527</v>
      </c>
      <c r="AH77" s="346"/>
    </row>
    <row r="78" spans="1:34">
      <c r="A78" s="345"/>
      <c r="B78" s="320" t="s">
        <v>67</v>
      </c>
      <c r="C78" s="320" t="s">
        <v>40</v>
      </c>
      <c r="D78" s="320" t="s">
        <v>85</v>
      </c>
      <c r="AH78" s="346"/>
    </row>
    <row r="79" spans="1:34">
      <c r="A79" s="345"/>
      <c r="B79" s="320" t="s">
        <v>97</v>
      </c>
      <c r="C79" s="320" t="s">
        <v>78</v>
      </c>
      <c r="D79" s="348" t="s">
        <v>79</v>
      </c>
      <c r="AH79" s="346"/>
    </row>
    <row r="80" spans="1:34">
      <c r="A80" s="345"/>
      <c r="B80" s="320" t="s">
        <v>96</v>
      </c>
      <c r="C80" s="320" t="s">
        <v>81</v>
      </c>
      <c r="D80" s="348" t="s">
        <v>79</v>
      </c>
      <c r="AH80" s="346"/>
    </row>
    <row r="81" spans="1:34">
      <c r="A81" s="345"/>
      <c r="D81" s="348"/>
      <c r="AH81" s="346"/>
    </row>
    <row r="82" spans="1:34">
      <c r="A82" s="345"/>
      <c r="B82" s="347" t="s">
        <v>71</v>
      </c>
      <c r="C82" s="347"/>
      <c r="D82" s="347"/>
      <c r="E82" s="347"/>
      <c r="F82" s="347"/>
      <c r="G82" s="347"/>
      <c r="AH82" s="346"/>
    </row>
    <row r="83" spans="1:34">
      <c r="A83" s="345"/>
      <c r="B83" s="347" t="s">
        <v>86</v>
      </c>
      <c r="C83" s="347" t="s">
        <v>40</v>
      </c>
      <c r="D83" s="347" t="s">
        <v>87</v>
      </c>
      <c r="E83" s="347"/>
      <c r="F83" s="347"/>
      <c r="G83" s="347"/>
      <c r="AH83" s="346"/>
    </row>
    <row r="84" spans="1:34">
      <c r="A84" s="345"/>
      <c r="D84" s="348"/>
      <c r="AH84" s="346"/>
    </row>
    <row r="85" spans="1:34">
      <c r="A85" s="345"/>
      <c r="B85" s="320" t="s">
        <v>528</v>
      </c>
      <c r="AH85" s="346"/>
    </row>
    <row r="86" spans="1:34">
      <c r="A86" s="345"/>
      <c r="B86" s="320" t="s">
        <v>67</v>
      </c>
      <c r="C86" s="320" t="s">
        <v>40</v>
      </c>
      <c r="D86" s="320" t="s">
        <v>88</v>
      </c>
      <c r="AH86" s="346"/>
    </row>
    <row r="87" spans="1:34">
      <c r="A87" s="345"/>
      <c r="B87" s="320" t="s">
        <v>94</v>
      </c>
      <c r="C87" s="320" t="s">
        <v>78</v>
      </c>
      <c r="D87" s="348" t="s">
        <v>79</v>
      </c>
      <c r="AH87" s="346"/>
    </row>
    <row r="88" spans="1:34">
      <c r="A88" s="345"/>
      <c r="B88" s="320" t="s">
        <v>95</v>
      </c>
      <c r="C88" s="320" t="s">
        <v>81</v>
      </c>
      <c r="D88" s="348" t="s">
        <v>79</v>
      </c>
      <c r="AH88" s="346"/>
    </row>
    <row r="89" spans="1:34">
      <c r="A89" s="345"/>
      <c r="D89" s="348"/>
      <c r="AH89" s="346"/>
    </row>
    <row r="90" spans="1:34">
      <c r="A90" s="345"/>
      <c r="B90" s="347" t="s">
        <v>71</v>
      </c>
      <c r="C90" s="347"/>
      <c r="D90" s="347"/>
      <c r="E90" s="347"/>
      <c r="F90" s="347"/>
      <c r="G90" s="347"/>
      <c r="H90" s="347"/>
      <c r="AH90" s="346"/>
    </row>
    <row r="91" spans="1:34">
      <c r="A91" s="345"/>
      <c r="B91" s="347" t="s">
        <v>90</v>
      </c>
      <c r="C91" s="347" t="s">
        <v>40</v>
      </c>
      <c r="D91" s="347" t="s">
        <v>89</v>
      </c>
      <c r="E91" s="347"/>
      <c r="F91" s="347"/>
      <c r="G91" s="347"/>
      <c r="H91" s="347"/>
      <c r="AH91" s="346"/>
    </row>
    <row r="92" spans="1:34">
      <c r="A92" s="345"/>
      <c r="D92" s="348"/>
      <c r="AH92" s="346"/>
    </row>
    <row r="93" spans="1:34">
      <c r="A93" s="345"/>
      <c r="B93" s="320" t="s">
        <v>529</v>
      </c>
      <c r="AH93" s="346"/>
    </row>
    <row r="94" spans="1:34">
      <c r="A94" s="345"/>
      <c r="B94" s="320" t="s">
        <v>67</v>
      </c>
      <c r="C94" s="320" t="s">
        <v>40</v>
      </c>
      <c r="D94" s="320" t="s">
        <v>91</v>
      </c>
      <c r="AH94" s="346"/>
    </row>
    <row r="95" spans="1:34">
      <c r="A95" s="345"/>
      <c r="B95" s="320" t="s">
        <v>93</v>
      </c>
      <c r="C95" s="320" t="s">
        <v>78</v>
      </c>
      <c r="D95" s="348" t="s">
        <v>79</v>
      </c>
      <c r="AH95" s="346"/>
    </row>
    <row r="96" spans="1:34">
      <c r="A96" s="345"/>
      <c r="B96" s="320" t="s">
        <v>92</v>
      </c>
      <c r="C96" s="320" t="s">
        <v>81</v>
      </c>
      <c r="D96" s="348" t="s">
        <v>79</v>
      </c>
      <c r="AH96" s="346"/>
    </row>
    <row r="97" spans="1:34">
      <c r="A97" s="345"/>
      <c r="D97" s="348"/>
      <c r="AH97" s="346"/>
    </row>
    <row r="98" spans="1:34">
      <c r="A98" s="345"/>
      <c r="B98" s="320" t="s">
        <v>530</v>
      </c>
      <c r="AH98" s="346"/>
    </row>
    <row r="99" spans="1:34">
      <c r="A99" s="345"/>
      <c r="B99" s="320" t="s">
        <v>99</v>
      </c>
      <c r="C99" s="320" t="s">
        <v>40</v>
      </c>
      <c r="D99" s="320" t="s">
        <v>98</v>
      </c>
      <c r="AH99" s="346"/>
    </row>
    <row r="100" spans="1:34">
      <c r="A100" s="345"/>
      <c r="B100" s="320" t="s">
        <v>100</v>
      </c>
      <c r="C100" s="320" t="s">
        <v>40</v>
      </c>
      <c r="D100" s="348" t="s">
        <v>76</v>
      </c>
      <c r="AH100" s="346"/>
    </row>
    <row r="101" spans="1:34">
      <c r="A101" s="345"/>
      <c r="D101" s="348"/>
      <c r="AH101" s="346"/>
    </row>
    <row r="102" spans="1:34">
      <c r="A102" s="345"/>
      <c r="B102" s="320" t="s">
        <v>531</v>
      </c>
      <c r="AH102" s="346"/>
    </row>
    <row r="103" spans="1:34">
      <c r="A103" s="345"/>
      <c r="B103" s="320" t="s">
        <v>102</v>
      </c>
      <c r="C103" s="320" t="s">
        <v>40</v>
      </c>
      <c r="D103" s="320" t="s">
        <v>101</v>
      </c>
      <c r="AH103" s="346"/>
    </row>
    <row r="104" spans="1:34">
      <c r="A104" s="345"/>
      <c r="B104" s="320" t="s">
        <v>103</v>
      </c>
      <c r="C104" s="320" t="s">
        <v>40</v>
      </c>
      <c r="D104" s="348" t="s">
        <v>76</v>
      </c>
      <c r="AH104" s="346"/>
    </row>
    <row r="105" spans="1:34">
      <c r="A105" s="345"/>
      <c r="D105" s="348"/>
      <c r="AH105" s="346"/>
    </row>
    <row r="106" spans="1:34">
      <c r="A106" s="345"/>
      <c r="B106" s="320" t="s">
        <v>532</v>
      </c>
      <c r="AH106" s="346"/>
    </row>
    <row r="107" spans="1:34">
      <c r="A107" s="345"/>
      <c r="B107" s="320" t="s">
        <v>70</v>
      </c>
      <c r="C107" s="320" t="s">
        <v>40</v>
      </c>
      <c r="D107" s="320" t="s">
        <v>69</v>
      </c>
      <c r="AH107" s="346"/>
    </row>
    <row r="108" spans="1:34">
      <c r="A108" s="345"/>
      <c r="B108" s="320" t="s">
        <v>104</v>
      </c>
      <c r="C108" s="320" t="s">
        <v>40</v>
      </c>
      <c r="D108" s="348" t="s">
        <v>76</v>
      </c>
      <c r="AH108" s="346"/>
    </row>
    <row r="109" spans="1:34">
      <c r="A109" s="345"/>
      <c r="D109" s="348"/>
      <c r="AH109" s="346"/>
    </row>
    <row r="110" spans="1:34">
      <c r="A110" s="345"/>
      <c r="B110" s="320" t="s">
        <v>533</v>
      </c>
      <c r="AH110" s="346"/>
    </row>
    <row r="111" spans="1:34">
      <c r="A111" s="345"/>
      <c r="B111" s="320" t="s">
        <v>144</v>
      </c>
      <c r="AH111" s="346"/>
    </row>
    <row r="112" spans="1:34">
      <c r="A112" s="345"/>
      <c r="B112" s="320" t="s">
        <v>136</v>
      </c>
      <c r="AH112" s="346"/>
    </row>
    <row r="113" spans="1:34">
      <c r="A113" s="345"/>
      <c r="B113" s="320" t="s">
        <v>137</v>
      </c>
      <c r="AH113" s="346"/>
    </row>
    <row r="114" spans="1:34">
      <c r="A114" s="345"/>
      <c r="B114" s="320" t="s">
        <v>138</v>
      </c>
      <c r="AH114" s="346"/>
    </row>
    <row r="115" spans="1:34">
      <c r="A115" s="345"/>
      <c r="B115" s="320" t="s">
        <v>139</v>
      </c>
      <c r="AH115" s="346"/>
    </row>
    <row r="116" spans="1:34">
      <c r="A116" s="345"/>
      <c r="B116" s="320" t="s">
        <v>142</v>
      </c>
      <c r="AH116" s="346"/>
    </row>
    <row r="117" spans="1:34">
      <c r="A117" s="345"/>
      <c r="B117" s="320" t="s">
        <v>141</v>
      </c>
      <c r="AH117" s="346"/>
    </row>
    <row r="118" spans="1:34">
      <c r="A118" s="345"/>
      <c r="B118" s="320" t="s">
        <v>140</v>
      </c>
      <c r="AH118" s="346"/>
    </row>
    <row r="119" spans="1:34">
      <c r="A119" s="345"/>
      <c r="B119" s="320" t="s">
        <v>143</v>
      </c>
      <c r="AH119" s="346"/>
    </row>
    <row r="120" spans="1:34">
      <c r="A120" s="345"/>
      <c r="B120" s="320" t="s">
        <v>145</v>
      </c>
      <c r="AH120" s="346"/>
    </row>
    <row r="121" spans="1:34">
      <c r="A121" s="345"/>
      <c r="AH121" s="346"/>
    </row>
    <row r="122" spans="1:34">
      <c r="A122" s="345"/>
      <c r="B122" s="320" t="s">
        <v>146</v>
      </c>
      <c r="C122" s="320" t="s">
        <v>40</v>
      </c>
      <c r="D122" s="320" t="s">
        <v>147</v>
      </c>
      <c r="AH122" s="346"/>
    </row>
    <row r="123" spans="1:34">
      <c r="A123" s="345"/>
      <c r="AH123" s="346"/>
    </row>
    <row r="124" spans="1:34">
      <c r="A124" s="345"/>
      <c r="B124" s="320" t="s">
        <v>41</v>
      </c>
      <c r="M124" s="636"/>
      <c r="N124" s="636"/>
      <c r="O124" s="636"/>
      <c r="AH124" s="346"/>
    </row>
    <row r="125" spans="1:34">
      <c r="A125" s="345"/>
      <c r="B125" s="320" t="s">
        <v>220</v>
      </c>
      <c r="AH125" s="346"/>
    </row>
    <row r="126" spans="1:34">
      <c r="A126" s="345"/>
      <c r="B126" s="349" t="s">
        <v>135</v>
      </c>
      <c r="AH126" s="346"/>
    </row>
    <row r="127" spans="1:34">
      <c r="A127" s="345"/>
      <c r="B127" s="350" t="s">
        <v>149</v>
      </c>
      <c r="AH127" s="346"/>
    </row>
    <row r="128" spans="1:34">
      <c r="A128" s="345"/>
      <c r="B128" s="320" t="s">
        <v>148</v>
      </c>
      <c r="AH128" s="346"/>
    </row>
    <row r="129" spans="1:34">
      <c r="A129" s="345"/>
      <c r="B129" s="350" t="s">
        <v>163</v>
      </c>
      <c r="AH129" s="346"/>
    </row>
    <row r="130" spans="1:34">
      <c r="A130" s="345"/>
      <c r="B130" s="320" t="s">
        <v>151</v>
      </c>
      <c r="AH130" s="346"/>
    </row>
    <row r="131" spans="1:34">
      <c r="A131" s="345"/>
      <c r="B131" s="320" t="s">
        <v>152</v>
      </c>
      <c r="AH131" s="346"/>
    </row>
    <row r="132" spans="1:34">
      <c r="A132" s="345"/>
      <c r="B132" s="320" t="s">
        <v>154</v>
      </c>
      <c r="AH132" s="346"/>
    </row>
    <row r="133" spans="1:34">
      <c r="A133" s="345"/>
      <c r="B133" s="320" t="s">
        <v>155</v>
      </c>
      <c r="AH133" s="346"/>
    </row>
    <row r="134" spans="1:34">
      <c r="A134" s="345"/>
      <c r="B134" s="320" t="s">
        <v>156</v>
      </c>
      <c r="AH134" s="346"/>
    </row>
    <row r="135" spans="1:34">
      <c r="A135" s="345"/>
      <c r="B135" s="320" t="s">
        <v>157</v>
      </c>
      <c r="AH135" s="346"/>
    </row>
    <row r="136" spans="1:34">
      <c r="A136" s="345"/>
      <c r="B136" s="320" t="s">
        <v>158</v>
      </c>
      <c r="AH136" s="346"/>
    </row>
    <row r="137" spans="1:34">
      <c r="A137" s="345"/>
      <c r="B137" s="320" t="s">
        <v>159</v>
      </c>
      <c r="AH137" s="346"/>
    </row>
    <row r="138" spans="1:34">
      <c r="A138" s="345"/>
      <c r="B138" s="320" t="s">
        <v>161</v>
      </c>
      <c r="AH138" s="346"/>
    </row>
    <row r="139" spans="1:34">
      <c r="A139" s="345"/>
      <c r="B139" s="320" t="s">
        <v>162</v>
      </c>
      <c r="AH139" s="346"/>
    </row>
    <row r="140" spans="1:34">
      <c r="A140" s="345"/>
      <c r="B140" s="350" t="s">
        <v>164</v>
      </c>
      <c r="AH140" s="346"/>
    </row>
    <row r="141" spans="1:34">
      <c r="A141" s="345"/>
      <c r="B141" s="320" t="s">
        <v>150</v>
      </c>
      <c r="AH141" s="346"/>
    </row>
    <row r="142" spans="1:34">
      <c r="A142" s="345"/>
      <c r="B142" s="320" t="s">
        <v>165</v>
      </c>
      <c r="AH142" s="346"/>
    </row>
    <row r="143" spans="1:34">
      <c r="A143" s="345"/>
      <c r="B143" s="320" t="s">
        <v>153</v>
      </c>
      <c r="AH143" s="346"/>
    </row>
    <row r="144" spans="1:34">
      <c r="A144" s="345"/>
      <c r="B144" s="320" t="s">
        <v>166</v>
      </c>
      <c r="AH144" s="346"/>
    </row>
    <row r="145" spans="1:34">
      <c r="A145" s="345"/>
      <c r="B145" s="320" t="s">
        <v>167</v>
      </c>
      <c r="AH145" s="346"/>
    </row>
    <row r="146" spans="1:34">
      <c r="A146" s="345"/>
      <c r="B146" s="320" t="s">
        <v>212</v>
      </c>
      <c r="AH146" s="346"/>
    </row>
    <row r="147" spans="1:34">
      <c r="A147" s="345"/>
      <c r="B147" s="320" t="s">
        <v>168</v>
      </c>
      <c r="AH147" s="346"/>
    </row>
    <row r="148" spans="1:34">
      <c r="A148" s="345"/>
      <c r="B148" s="320" t="s">
        <v>169</v>
      </c>
      <c r="AH148" s="346"/>
    </row>
    <row r="149" spans="1:34">
      <c r="A149" s="345"/>
      <c r="B149" s="320" t="s">
        <v>170</v>
      </c>
      <c r="AH149" s="346"/>
    </row>
    <row r="150" spans="1:34">
      <c r="A150" s="345"/>
      <c r="B150" s="320" t="s">
        <v>171</v>
      </c>
      <c r="AH150" s="346"/>
    </row>
    <row r="151" spans="1:34">
      <c r="A151" s="345"/>
      <c r="B151" s="320" t="s">
        <v>172</v>
      </c>
      <c r="AH151" s="346"/>
    </row>
    <row r="152" spans="1:34">
      <c r="A152" s="345"/>
      <c r="B152" s="320" t="s">
        <v>182</v>
      </c>
      <c r="AH152" s="346"/>
    </row>
    <row r="153" spans="1:34">
      <c r="A153" s="345"/>
      <c r="B153" s="320" t="s">
        <v>173</v>
      </c>
      <c r="AH153" s="346"/>
    </row>
    <row r="154" spans="1:34">
      <c r="A154" s="345"/>
      <c r="B154" s="320" t="s">
        <v>174</v>
      </c>
      <c r="AH154" s="346"/>
    </row>
    <row r="155" spans="1:34">
      <c r="A155" s="345"/>
      <c r="B155" s="320" t="s">
        <v>175</v>
      </c>
      <c r="AH155" s="346"/>
    </row>
    <row r="156" spans="1:34">
      <c r="A156" s="345"/>
      <c r="B156" s="320" t="s">
        <v>176</v>
      </c>
      <c r="AH156" s="346"/>
    </row>
    <row r="157" spans="1:34">
      <c r="A157" s="345"/>
      <c r="B157" s="320" t="s">
        <v>177</v>
      </c>
      <c r="AH157" s="346"/>
    </row>
    <row r="158" spans="1:34">
      <c r="A158" s="345"/>
      <c r="B158" s="320" t="s">
        <v>160</v>
      </c>
      <c r="AH158" s="346"/>
    </row>
    <row r="159" spans="1:34">
      <c r="A159" s="345"/>
      <c r="B159" s="320" t="s">
        <v>178</v>
      </c>
      <c r="AH159" s="346"/>
    </row>
    <row r="160" spans="1:34">
      <c r="A160" s="345"/>
      <c r="B160" s="349" t="s">
        <v>179</v>
      </c>
      <c r="AH160" s="346"/>
    </row>
    <row r="161" spans="1:34">
      <c r="A161" s="345"/>
      <c r="B161" s="320" t="s">
        <v>180</v>
      </c>
      <c r="AH161" s="346"/>
    </row>
    <row r="162" spans="1:34">
      <c r="A162" s="345"/>
      <c r="B162" s="320" t="s">
        <v>181</v>
      </c>
      <c r="AH162" s="346"/>
    </row>
    <row r="163" spans="1:34">
      <c r="A163" s="345"/>
      <c r="B163" s="320" t="s">
        <v>184</v>
      </c>
      <c r="AH163" s="346"/>
    </row>
    <row r="164" spans="1:34">
      <c r="A164" s="345"/>
      <c r="B164" s="320" t="s">
        <v>183</v>
      </c>
      <c r="AH164" s="346"/>
    </row>
    <row r="165" spans="1:34">
      <c r="A165" s="345"/>
      <c r="AH165" s="346"/>
    </row>
    <row r="166" spans="1:34">
      <c r="A166" s="345"/>
      <c r="B166" s="320" t="s">
        <v>221</v>
      </c>
      <c r="AH166" s="346"/>
    </row>
    <row r="167" spans="1:34">
      <c r="A167" s="345"/>
      <c r="B167" s="320" t="s">
        <v>186</v>
      </c>
      <c r="AH167" s="346"/>
    </row>
    <row r="168" spans="1:34">
      <c r="A168" s="345"/>
      <c r="AH168" s="346"/>
    </row>
    <row r="169" spans="1:34">
      <c r="A169" s="345"/>
      <c r="B169" s="320" t="s">
        <v>222</v>
      </c>
      <c r="AH169" s="346"/>
    </row>
    <row r="170" spans="1:34">
      <c r="A170" s="345"/>
      <c r="B170" s="320" t="s">
        <v>185</v>
      </c>
      <c r="AH170" s="346"/>
    </row>
    <row r="171" spans="1:34">
      <c r="A171" s="345"/>
      <c r="AH171" s="346"/>
    </row>
    <row r="172" spans="1:34">
      <c r="A172" s="345"/>
      <c r="B172" s="320" t="s">
        <v>222</v>
      </c>
      <c r="AH172" s="346"/>
    </row>
    <row r="173" spans="1:34">
      <c r="A173" s="345"/>
      <c r="B173" s="320" t="s">
        <v>187</v>
      </c>
      <c r="AH173" s="346"/>
    </row>
    <row r="174" spans="1:34">
      <c r="A174" s="345"/>
      <c r="AH174" s="346"/>
    </row>
    <row r="175" spans="1:34">
      <c r="A175" s="345"/>
      <c r="B175" s="320" t="s">
        <v>223</v>
      </c>
      <c r="AH175" s="346"/>
    </row>
    <row r="176" spans="1:34">
      <c r="A176" s="345"/>
      <c r="B176" s="320" t="s">
        <v>188</v>
      </c>
      <c r="AH176" s="346"/>
    </row>
    <row r="177" spans="1:34">
      <c r="A177" s="345"/>
      <c r="AH177" s="346"/>
    </row>
    <row r="178" spans="1:34">
      <c r="A178" s="345"/>
      <c r="B178" s="320" t="s">
        <v>224</v>
      </c>
      <c r="AH178" s="346"/>
    </row>
    <row r="179" spans="1:34">
      <c r="A179" s="345"/>
      <c r="B179" s="320" t="s">
        <v>189</v>
      </c>
      <c r="AH179" s="346"/>
    </row>
    <row r="180" spans="1:34">
      <c r="A180" s="345"/>
      <c r="AH180" s="346"/>
    </row>
    <row r="181" spans="1:34">
      <c r="A181" s="345"/>
      <c r="B181" s="320" t="s">
        <v>225</v>
      </c>
      <c r="AH181" s="346"/>
    </row>
    <row r="182" spans="1:34">
      <c r="A182" s="345"/>
      <c r="B182" s="320" t="s">
        <v>546</v>
      </c>
      <c r="C182" s="320" t="s">
        <v>190</v>
      </c>
      <c r="AH182" s="346"/>
    </row>
    <row r="183" spans="1:34">
      <c r="A183" s="345"/>
      <c r="B183" s="320" t="s">
        <v>547</v>
      </c>
      <c r="C183" s="320" t="s">
        <v>191</v>
      </c>
      <c r="AH183" s="346"/>
    </row>
    <row r="184" spans="1:34">
      <c r="A184" s="345"/>
      <c r="B184" s="320" t="s">
        <v>548</v>
      </c>
      <c r="C184" s="320" t="s">
        <v>192</v>
      </c>
      <c r="AH184" s="346"/>
    </row>
    <row r="185" spans="1:34">
      <c r="A185" s="345"/>
      <c r="B185" s="320" t="s">
        <v>549</v>
      </c>
      <c r="C185" s="320" t="s">
        <v>211</v>
      </c>
      <c r="AH185" s="346"/>
    </row>
    <row r="186" spans="1:34">
      <c r="A186" s="345"/>
      <c r="B186" s="320" t="s">
        <v>550</v>
      </c>
      <c r="C186" s="320" t="s">
        <v>193</v>
      </c>
      <c r="M186" s="636"/>
      <c r="N186" s="636"/>
      <c r="O186" s="636"/>
      <c r="AH186" s="346"/>
    </row>
    <row r="187" spans="1:34">
      <c r="A187" s="345"/>
      <c r="B187" s="320" t="s">
        <v>551</v>
      </c>
      <c r="C187" s="320" t="s">
        <v>194</v>
      </c>
      <c r="AH187" s="346"/>
    </row>
    <row r="188" spans="1:34">
      <c r="A188" s="345"/>
      <c r="B188" s="320" t="s">
        <v>552</v>
      </c>
      <c r="C188" s="320" t="s">
        <v>195</v>
      </c>
      <c r="M188" s="636"/>
      <c r="N188" s="636"/>
      <c r="O188" s="636"/>
      <c r="AH188" s="346"/>
    </row>
    <row r="189" spans="1:34">
      <c r="A189" s="345"/>
      <c r="B189" s="320" t="s">
        <v>553</v>
      </c>
      <c r="C189" s="320" t="s">
        <v>196</v>
      </c>
      <c r="AH189" s="346"/>
    </row>
    <row r="190" spans="1:34">
      <c r="A190" s="345"/>
      <c r="B190" s="320" t="s">
        <v>554</v>
      </c>
      <c r="C190" s="320" t="s">
        <v>197</v>
      </c>
      <c r="M190" s="636"/>
      <c r="N190" s="636"/>
      <c r="O190" s="636"/>
      <c r="AH190" s="346"/>
    </row>
    <row r="191" spans="1:34">
      <c r="A191" s="345"/>
      <c r="B191" s="320" t="s">
        <v>555</v>
      </c>
      <c r="C191" s="320" t="s">
        <v>198</v>
      </c>
      <c r="AH191" s="346"/>
    </row>
    <row r="192" spans="1:34">
      <c r="A192" s="345"/>
      <c r="B192" s="320" t="s">
        <v>556</v>
      </c>
      <c r="C192" s="320" t="s">
        <v>199</v>
      </c>
      <c r="M192" s="636"/>
      <c r="N192" s="636"/>
      <c r="O192" s="636"/>
      <c r="AH192" s="346"/>
    </row>
    <row r="193" spans="1:34">
      <c r="A193" s="345"/>
      <c r="B193" s="320" t="s">
        <v>557</v>
      </c>
      <c r="C193" s="320" t="s">
        <v>200</v>
      </c>
      <c r="AH193" s="346"/>
    </row>
    <row r="194" spans="1:34">
      <c r="A194" s="345"/>
      <c r="B194" s="320" t="s">
        <v>558</v>
      </c>
      <c r="C194" s="320" t="s">
        <v>201</v>
      </c>
      <c r="AH194" s="346"/>
    </row>
    <row r="195" spans="1:34">
      <c r="A195" s="345"/>
      <c r="B195" s="320" t="s">
        <v>559</v>
      </c>
      <c r="C195" s="320" t="s">
        <v>202</v>
      </c>
      <c r="M195" s="636"/>
      <c r="N195" s="636"/>
      <c r="O195" s="636"/>
      <c r="AH195" s="346"/>
    </row>
    <row r="196" spans="1:34">
      <c r="A196" s="345"/>
      <c r="B196" s="320" t="s">
        <v>560</v>
      </c>
      <c r="C196" s="320" t="s">
        <v>203</v>
      </c>
      <c r="AH196" s="346"/>
    </row>
    <row r="197" spans="1:34">
      <c r="A197" s="345"/>
      <c r="B197" s="320" t="s">
        <v>561</v>
      </c>
      <c r="C197" s="320" t="s">
        <v>204</v>
      </c>
      <c r="AH197" s="346"/>
    </row>
    <row r="198" spans="1:34">
      <c r="A198" s="345"/>
      <c r="B198" s="320" t="s">
        <v>562</v>
      </c>
      <c r="C198" s="320" t="s">
        <v>205</v>
      </c>
      <c r="M198" s="636"/>
      <c r="N198" s="636"/>
      <c r="O198" s="636"/>
      <c r="AH198" s="346"/>
    </row>
    <row r="199" spans="1:34">
      <c r="A199" s="345"/>
      <c r="B199" s="320" t="s">
        <v>563</v>
      </c>
      <c r="C199" s="320" t="s">
        <v>206</v>
      </c>
      <c r="AH199" s="346"/>
    </row>
    <row r="200" spans="1:34">
      <c r="A200" s="345"/>
      <c r="B200" s="320" t="s">
        <v>564</v>
      </c>
      <c r="C200" s="320" t="s">
        <v>207</v>
      </c>
      <c r="AH200" s="346"/>
    </row>
    <row r="201" spans="1:34">
      <c r="A201" s="345"/>
      <c r="B201" s="320" t="s">
        <v>565</v>
      </c>
      <c r="C201" s="320" t="s">
        <v>208</v>
      </c>
      <c r="M201" s="636"/>
      <c r="N201" s="636"/>
      <c r="O201" s="636"/>
      <c r="AH201" s="346"/>
    </row>
    <row r="202" spans="1:34">
      <c r="A202" s="345"/>
      <c r="B202" s="320" t="s">
        <v>566</v>
      </c>
      <c r="C202" s="320" t="s">
        <v>209</v>
      </c>
      <c r="AH202" s="346"/>
    </row>
    <row r="203" spans="1:34">
      <c r="A203" s="345"/>
      <c r="B203" s="320" t="s">
        <v>567</v>
      </c>
      <c r="C203" s="320" t="s">
        <v>210</v>
      </c>
      <c r="AH203" s="346"/>
    </row>
    <row r="204" spans="1:34">
      <c r="A204" s="345"/>
      <c r="B204" s="320" t="s">
        <v>568</v>
      </c>
      <c r="C204" s="320" t="s">
        <v>218</v>
      </c>
      <c r="AH204" s="346"/>
    </row>
    <row r="205" spans="1:34">
      <c r="A205" s="345"/>
      <c r="M205" s="636"/>
      <c r="N205" s="636"/>
      <c r="O205" s="636"/>
      <c r="AH205" s="346"/>
    </row>
    <row r="206" spans="1:34">
      <c r="A206" s="637" t="s">
        <v>42</v>
      </c>
      <c r="B206" s="638"/>
      <c r="C206" s="638"/>
      <c r="D206" s="638"/>
      <c r="E206" s="638"/>
      <c r="F206" s="638"/>
      <c r="G206" s="638"/>
      <c r="H206" s="638"/>
      <c r="I206" s="638"/>
      <c r="J206" s="638"/>
      <c r="K206" s="638"/>
      <c r="L206" s="638"/>
      <c r="M206" s="638"/>
      <c r="N206" s="638"/>
      <c r="O206" s="638"/>
      <c r="P206" s="638"/>
      <c r="Q206" s="638"/>
      <c r="R206" s="638"/>
      <c r="S206" s="638"/>
      <c r="T206" s="638"/>
      <c r="U206" s="638"/>
      <c r="V206" s="638"/>
      <c r="W206" s="638"/>
      <c r="X206" s="638"/>
      <c r="Y206" s="638"/>
      <c r="Z206" s="638"/>
      <c r="AA206" s="638"/>
      <c r="AB206" s="638"/>
      <c r="AC206" s="638"/>
      <c r="AD206" s="638"/>
      <c r="AE206" s="638"/>
      <c r="AF206" s="638"/>
      <c r="AG206" s="638"/>
      <c r="AH206" s="639"/>
    </row>
    <row r="207" spans="1:34">
      <c r="A207" s="345"/>
      <c r="M207" s="636"/>
      <c r="N207" s="636"/>
      <c r="O207" s="636"/>
      <c r="AH207" s="346"/>
    </row>
    <row r="208" spans="1:34">
      <c r="A208" s="345"/>
      <c r="B208" s="320" t="s">
        <v>226</v>
      </c>
      <c r="D208" s="320" t="s">
        <v>577</v>
      </c>
      <c r="E208" s="320" t="s">
        <v>578</v>
      </c>
      <c r="F208" s="320" t="s">
        <v>678</v>
      </c>
      <c r="M208" s="636"/>
      <c r="N208" s="636"/>
      <c r="O208" s="636"/>
      <c r="AH208" s="346"/>
    </row>
    <row r="209" spans="1:34">
      <c r="A209" s="345"/>
      <c r="AH209" s="346"/>
    </row>
    <row r="210" spans="1:34">
      <c r="A210" s="345"/>
      <c r="B210" s="320" t="s">
        <v>227</v>
      </c>
      <c r="C210" s="320" t="s">
        <v>219</v>
      </c>
      <c r="D210" s="320" t="s">
        <v>581</v>
      </c>
      <c r="E210" s="320" t="s">
        <v>582</v>
      </c>
      <c r="AH210" s="346"/>
    </row>
    <row r="211" spans="1:34">
      <c r="A211" s="345"/>
      <c r="B211" s="320" t="s">
        <v>228</v>
      </c>
      <c r="C211" s="320" t="s">
        <v>108</v>
      </c>
      <c r="D211" s="320" t="s">
        <v>581</v>
      </c>
      <c r="E211" s="320" t="s">
        <v>583</v>
      </c>
      <c r="AH211" s="346"/>
    </row>
    <row r="212" spans="1:34">
      <c r="A212" s="345"/>
      <c r="B212" s="320" t="s">
        <v>229</v>
      </c>
      <c r="C212" s="320" t="s">
        <v>109</v>
      </c>
      <c r="D212" s="320" t="s">
        <v>584</v>
      </c>
      <c r="E212" s="320" t="s">
        <v>585</v>
      </c>
      <c r="AH212" s="346"/>
    </row>
    <row r="213" spans="1:34">
      <c r="A213" s="345"/>
      <c r="B213" s="320" t="s">
        <v>230</v>
      </c>
      <c r="C213" s="320" t="s">
        <v>572</v>
      </c>
      <c r="D213" s="320" t="s">
        <v>581</v>
      </c>
      <c r="E213" s="320" t="s">
        <v>572</v>
      </c>
      <c r="AH213" s="346"/>
    </row>
    <row r="214" spans="1:34">
      <c r="A214" s="345"/>
      <c r="B214" s="320" t="s">
        <v>231</v>
      </c>
      <c r="C214" s="320" t="s">
        <v>111</v>
      </c>
      <c r="D214" s="320" t="s">
        <v>586</v>
      </c>
      <c r="E214" s="320" t="s">
        <v>587</v>
      </c>
      <c r="AH214" s="346"/>
    </row>
    <row r="215" spans="1:34">
      <c r="A215" s="345"/>
      <c r="B215" s="320" t="s">
        <v>468</v>
      </c>
      <c r="C215" s="320" t="s">
        <v>112</v>
      </c>
      <c r="D215" s="320" t="s">
        <v>584</v>
      </c>
      <c r="E215" s="320" t="s">
        <v>585</v>
      </c>
      <c r="AH215" s="346"/>
    </row>
    <row r="216" spans="1:34">
      <c r="A216" s="345"/>
      <c r="B216" s="320" t="s">
        <v>470</v>
      </c>
      <c r="C216" s="320" t="s">
        <v>113</v>
      </c>
      <c r="D216" s="320" t="s">
        <v>584</v>
      </c>
      <c r="E216" s="320" t="s">
        <v>585</v>
      </c>
      <c r="AH216" s="346"/>
    </row>
    <row r="217" spans="1:34">
      <c r="A217" s="345"/>
      <c r="B217" s="320" t="s">
        <v>472</v>
      </c>
      <c r="C217" s="320" t="s">
        <v>114</v>
      </c>
      <c r="D217" s="320" t="s">
        <v>584</v>
      </c>
      <c r="E217" s="320" t="s">
        <v>585</v>
      </c>
      <c r="AH217" s="346"/>
    </row>
    <row r="218" spans="1:34" ht="31.5">
      <c r="A218" s="345"/>
      <c r="B218" s="320" t="s">
        <v>232</v>
      </c>
      <c r="C218" s="320" t="s">
        <v>115</v>
      </c>
      <c r="D218" s="351" t="s">
        <v>589</v>
      </c>
      <c r="E218" s="351" t="s">
        <v>590</v>
      </c>
      <c r="F218" s="320" t="s">
        <v>680</v>
      </c>
      <c r="AH218" s="346"/>
    </row>
    <row r="219" spans="1:34">
      <c r="A219" s="345"/>
      <c r="B219" s="320" t="s">
        <v>233</v>
      </c>
      <c r="C219" s="320" t="s">
        <v>573</v>
      </c>
      <c r="D219" s="320" t="s">
        <v>588</v>
      </c>
      <c r="E219" s="320" t="s">
        <v>591</v>
      </c>
      <c r="F219" s="320" t="s">
        <v>681</v>
      </c>
      <c r="AH219" s="346"/>
    </row>
    <row r="220" spans="1:34">
      <c r="A220" s="345"/>
      <c r="B220" s="320" t="s">
        <v>234</v>
      </c>
      <c r="C220" s="320" t="s">
        <v>574</v>
      </c>
      <c r="D220" s="320" t="s">
        <v>588</v>
      </c>
      <c r="E220" s="320" t="s">
        <v>592</v>
      </c>
      <c r="F220" s="320" t="s">
        <v>682</v>
      </c>
      <c r="AH220" s="346"/>
    </row>
    <row r="221" spans="1:34">
      <c r="A221" s="345"/>
      <c r="B221" s="320" t="s">
        <v>235</v>
      </c>
      <c r="C221" s="320" t="s">
        <v>575</v>
      </c>
      <c r="D221" s="320" t="s">
        <v>588</v>
      </c>
      <c r="E221" s="320" t="s">
        <v>593</v>
      </c>
      <c r="F221" s="320" t="s">
        <v>683</v>
      </c>
      <c r="AH221" s="346"/>
    </row>
    <row r="222" spans="1:34">
      <c r="A222" s="345"/>
      <c r="B222" s="320" t="s">
        <v>236</v>
      </c>
      <c r="C222" s="320" t="s">
        <v>576</v>
      </c>
      <c r="D222" s="320" t="s">
        <v>594</v>
      </c>
      <c r="E222" s="320" t="s">
        <v>595</v>
      </c>
      <c r="AH222" s="346"/>
    </row>
    <row r="223" spans="1:34">
      <c r="A223" s="345"/>
      <c r="B223" s="320" t="s">
        <v>237</v>
      </c>
      <c r="C223" s="320" t="s">
        <v>120</v>
      </c>
      <c r="D223" s="320" t="s">
        <v>581</v>
      </c>
      <c r="E223" s="320" t="s">
        <v>596</v>
      </c>
      <c r="AH223" s="346"/>
    </row>
    <row r="224" spans="1:34">
      <c r="A224" s="345"/>
      <c r="B224" s="320" t="s">
        <v>238</v>
      </c>
      <c r="C224" s="320" t="s">
        <v>121</v>
      </c>
      <c r="D224" s="320" t="s">
        <v>581</v>
      </c>
      <c r="E224" s="320" t="s">
        <v>597</v>
      </c>
      <c r="AH224" s="346"/>
    </row>
    <row r="225" spans="1:34">
      <c r="A225" s="345"/>
      <c r="B225" s="320" t="s">
        <v>239</v>
      </c>
      <c r="C225" s="320" t="s">
        <v>122</v>
      </c>
      <c r="D225" s="320" t="s">
        <v>581</v>
      </c>
      <c r="E225" s="320" t="s">
        <v>598</v>
      </c>
      <c r="AH225" s="346"/>
    </row>
    <row r="226" spans="1:34">
      <c r="A226" s="345"/>
      <c r="B226" s="320" t="s">
        <v>474</v>
      </c>
      <c r="C226" s="320" t="s">
        <v>123</v>
      </c>
      <c r="D226" s="320" t="s">
        <v>584</v>
      </c>
      <c r="E226" s="320" t="s">
        <v>585</v>
      </c>
      <c r="F226" s="320" t="s">
        <v>680</v>
      </c>
      <c r="AH226" s="346"/>
    </row>
    <row r="227" spans="1:34">
      <c r="A227" s="345"/>
      <c r="B227" s="320" t="s">
        <v>476</v>
      </c>
      <c r="C227" s="320" t="s">
        <v>124</v>
      </c>
      <c r="D227" s="320" t="s">
        <v>584</v>
      </c>
      <c r="E227" s="320" t="s">
        <v>585</v>
      </c>
      <c r="F227" s="320" t="s">
        <v>680</v>
      </c>
      <c r="AH227" s="346"/>
    </row>
    <row r="228" spans="1:34">
      <c r="A228" s="345"/>
      <c r="B228" s="320" t="s">
        <v>240</v>
      </c>
      <c r="C228" s="320" t="s">
        <v>125</v>
      </c>
      <c r="D228" s="320" t="s">
        <v>599</v>
      </c>
      <c r="E228" s="320" t="s">
        <v>600</v>
      </c>
      <c r="AH228" s="346"/>
    </row>
    <row r="229" spans="1:34">
      <c r="A229" s="345"/>
      <c r="B229" s="320" t="s">
        <v>241</v>
      </c>
      <c r="C229" s="320" t="s">
        <v>126</v>
      </c>
      <c r="D229" s="320" t="s">
        <v>601</v>
      </c>
      <c r="E229" s="320" t="s">
        <v>602</v>
      </c>
      <c r="AH229" s="346"/>
    </row>
    <row r="230" spans="1:34">
      <c r="A230" s="345"/>
      <c r="B230" s="320" t="s">
        <v>242</v>
      </c>
      <c r="C230" s="320" t="s">
        <v>127</v>
      </c>
      <c r="D230" s="320" t="s">
        <v>603</v>
      </c>
      <c r="E230" s="320" t="s">
        <v>604</v>
      </c>
      <c r="AH230" s="346"/>
    </row>
    <row r="231" spans="1:34" ht="31.5">
      <c r="A231" s="345"/>
      <c r="B231" s="320" t="s">
        <v>243</v>
      </c>
      <c r="C231" s="320" t="s">
        <v>128</v>
      </c>
      <c r="D231" s="320" t="s">
        <v>581</v>
      </c>
      <c r="E231" s="351" t="s">
        <v>605</v>
      </c>
      <c r="F231" s="320" t="s">
        <v>679</v>
      </c>
      <c r="AH231" s="346"/>
    </row>
    <row r="232" spans="1:34">
      <c r="A232" s="345"/>
      <c r="AH232" s="346"/>
    </row>
    <row r="233" spans="1:34">
      <c r="A233" s="345"/>
      <c r="B233" s="320" t="s">
        <v>579</v>
      </c>
      <c r="AH233" s="346"/>
    </row>
    <row r="234" spans="1:34">
      <c r="A234" s="345"/>
      <c r="AH234" s="346"/>
    </row>
    <row r="235" spans="1:34">
      <c r="A235" s="345"/>
      <c r="B235" s="320" t="s">
        <v>580</v>
      </c>
      <c r="AH235" s="346"/>
    </row>
    <row r="236" spans="1:34" hidden="1">
      <c r="A236" s="345"/>
      <c r="AH236" s="346"/>
    </row>
    <row r="237" spans="1:34" hidden="1">
      <c r="A237" s="345"/>
      <c r="AH237" s="346"/>
    </row>
    <row r="238" spans="1:34" hidden="1">
      <c r="A238" s="345"/>
      <c r="B238" s="320" t="s">
        <v>478</v>
      </c>
      <c r="AH238" s="346"/>
    </row>
    <row r="239" spans="1:34" hidden="1">
      <c r="A239" s="345"/>
      <c r="B239" s="320" t="s">
        <v>525</v>
      </c>
      <c r="AH239" s="346"/>
    </row>
    <row r="240" spans="1:34" hidden="1">
      <c r="A240" s="345"/>
      <c r="B240" s="320" t="s">
        <v>537</v>
      </c>
      <c r="AH240" s="346"/>
    </row>
    <row r="241" spans="1:34" hidden="1">
      <c r="A241" s="345"/>
      <c r="B241" s="320" t="s">
        <v>541</v>
      </c>
      <c r="AH241" s="346"/>
    </row>
    <row r="242" spans="1:34" hidden="1">
      <c r="A242" s="345"/>
      <c r="B242" s="320" t="s">
        <v>538</v>
      </c>
      <c r="AH242" s="346"/>
    </row>
    <row r="243" spans="1:34" hidden="1">
      <c r="A243" s="345"/>
      <c r="B243" s="320" t="s">
        <v>545</v>
      </c>
      <c r="AH243" s="346"/>
    </row>
    <row r="244" spans="1:34" hidden="1">
      <c r="A244" s="345"/>
      <c r="B244" s="320" t="s">
        <v>539</v>
      </c>
      <c r="AH244" s="346"/>
    </row>
    <row r="245" spans="1:34" hidden="1">
      <c r="A245" s="345"/>
      <c r="B245" s="320" t="s">
        <v>542</v>
      </c>
      <c r="AH245" s="346"/>
    </row>
    <row r="246" spans="1:34" hidden="1">
      <c r="A246" s="345"/>
      <c r="B246" s="320" t="s">
        <v>544</v>
      </c>
      <c r="AH246" s="346"/>
    </row>
    <row r="247" spans="1:34" hidden="1">
      <c r="A247" s="345"/>
      <c r="B247" s="320" t="s">
        <v>540</v>
      </c>
      <c r="AH247" s="346"/>
    </row>
    <row r="248" spans="1:34" hidden="1">
      <c r="A248" s="345"/>
      <c r="B248" s="320" t="s">
        <v>543</v>
      </c>
      <c r="AH248" s="346"/>
    </row>
    <row r="249" spans="1:34" hidden="1">
      <c r="A249" s="345"/>
      <c r="B249" s="320" t="s">
        <v>570</v>
      </c>
      <c r="AH249" s="346"/>
    </row>
    <row r="250" spans="1:34" hidden="1">
      <c r="A250" s="345"/>
      <c r="B250" s="320" t="s">
        <v>571</v>
      </c>
      <c r="AH250" s="346"/>
    </row>
    <row r="251" spans="1:34" hidden="1">
      <c r="A251" s="345"/>
      <c r="B251" s="320" t="s">
        <v>534</v>
      </c>
      <c r="AH251" s="346"/>
    </row>
    <row r="252" spans="1:34" hidden="1">
      <c r="A252" s="345"/>
      <c r="B252" s="320" t="s">
        <v>534</v>
      </c>
      <c r="AH252" s="346"/>
    </row>
    <row r="253" spans="1:34" hidden="1">
      <c r="A253" s="345"/>
      <c r="B253" s="320" t="s">
        <v>534</v>
      </c>
      <c r="AH253" s="346"/>
    </row>
    <row r="254" spans="1:34" hidden="1">
      <c r="A254" s="345"/>
      <c r="B254" s="320" t="s">
        <v>479</v>
      </c>
      <c r="AH254" s="346"/>
    </row>
    <row r="255" spans="1:34" hidden="1">
      <c r="A255" s="345"/>
      <c r="B255" s="320" t="s">
        <v>480</v>
      </c>
      <c r="AH255" s="346"/>
    </row>
    <row r="256" spans="1:34" hidden="1">
      <c r="A256" s="345"/>
      <c r="B256" s="320" t="s">
        <v>481</v>
      </c>
      <c r="AH256" s="346"/>
    </row>
    <row r="257" spans="1:34" hidden="1">
      <c r="A257" s="345"/>
      <c r="B257" s="320" t="s">
        <v>482</v>
      </c>
      <c r="AH257" s="346"/>
    </row>
    <row r="258" spans="1:34" hidden="1">
      <c r="A258" s="345"/>
      <c r="B258" s="320" t="s">
        <v>483</v>
      </c>
      <c r="AH258" s="346"/>
    </row>
    <row r="259" spans="1:34" hidden="1">
      <c r="A259" s="345"/>
      <c r="B259" s="320" t="s">
        <v>484</v>
      </c>
      <c r="AH259" s="346"/>
    </row>
    <row r="260" spans="1:34" hidden="1">
      <c r="A260" s="345"/>
      <c r="B260" s="320" t="s">
        <v>485</v>
      </c>
      <c r="AH260" s="346"/>
    </row>
    <row r="261" spans="1:34" hidden="1">
      <c r="A261" s="345"/>
      <c r="B261" s="320" t="s">
        <v>486</v>
      </c>
      <c r="AH261" s="346"/>
    </row>
    <row r="262" spans="1:34" hidden="1">
      <c r="A262" s="345"/>
      <c r="B262" s="320" t="s">
        <v>487</v>
      </c>
      <c r="AH262" s="346"/>
    </row>
    <row r="263" spans="1:34" hidden="1">
      <c r="A263" s="345"/>
      <c r="B263" s="320" t="s">
        <v>488</v>
      </c>
      <c r="AH263" s="346"/>
    </row>
    <row r="264" spans="1:34" hidden="1">
      <c r="A264" s="345"/>
      <c r="B264" s="320" t="s">
        <v>245</v>
      </c>
      <c r="AH264" s="346"/>
    </row>
    <row r="265" spans="1:34" hidden="1">
      <c r="A265" s="345"/>
      <c r="B265" s="320" t="s">
        <v>489</v>
      </c>
      <c r="AH265" s="346"/>
    </row>
    <row r="266" spans="1:34" hidden="1">
      <c r="A266" s="345"/>
      <c r="B266" s="320" t="s">
        <v>490</v>
      </c>
      <c r="AH266" s="346"/>
    </row>
    <row r="267" spans="1:34" hidden="1">
      <c r="A267" s="345"/>
      <c r="B267" s="320" t="s">
        <v>491</v>
      </c>
      <c r="AH267" s="346"/>
    </row>
    <row r="268" spans="1:34" hidden="1">
      <c r="A268" s="345"/>
      <c r="B268" s="320" t="s">
        <v>492</v>
      </c>
      <c r="AH268" s="346"/>
    </row>
    <row r="269" spans="1:34" hidden="1">
      <c r="A269" s="345"/>
      <c r="B269" s="320" t="s">
        <v>493</v>
      </c>
      <c r="AH269" s="346"/>
    </row>
    <row r="270" spans="1:34" hidden="1">
      <c r="A270" s="345"/>
      <c r="B270" s="320" t="s">
        <v>494</v>
      </c>
      <c r="AH270" s="346"/>
    </row>
    <row r="271" spans="1:34" hidden="1">
      <c r="A271" s="345"/>
      <c r="B271" s="320" t="s">
        <v>246</v>
      </c>
      <c r="AH271" s="346"/>
    </row>
    <row r="272" spans="1:34" hidden="1">
      <c r="A272" s="345"/>
      <c r="B272" s="320" t="s">
        <v>495</v>
      </c>
      <c r="AH272" s="346"/>
    </row>
    <row r="273" spans="1:34" hidden="1">
      <c r="A273" s="345"/>
      <c r="B273" s="320" t="s">
        <v>496</v>
      </c>
      <c r="AH273" s="346"/>
    </row>
    <row r="274" spans="1:34" hidden="1">
      <c r="A274" s="345"/>
      <c r="B274" s="320" t="s">
        <v>497</v>
      </c>
      <c r="AH274" s="346"/>
    </row>
    <row r="275" spans="1:34" hidden="1">
      <c r="A275" s="345"/>
      <c r="B275" s="320" t="s">
        <v>498</v>
      </c>
      <c r="AH275" s="346"/>
    </row>
    <row r="276" spans="1:34" hidden="1">
      <c r="A276" s="345"/>
      <c r="B276" s="320" t="s">
        <v>499</v>
      </c>
      <c r="AH276" s="346"/>
    </row>
    <row r="277" spans="1:34" hidden="1">
      <c r="A277" s="345"/>
      <c r="B277" s="320" t="s">
        <v>500</v>
      </c>
      <c r="AH277" s="346"/>
    </row>
    <row r="278" spans="1:34" hidden="1">
      <c r="A278" s="345"/>
      <c r="B278" s="320" t="s">
        <v>501</v>
      </c>
      <c r="AH278" s="346"/>
    </row>
    <row r="279" spans="1:34" hidden="1">
      <c r="A279" s="345"/>
      <c r="B279" s="320" t="s">
        <v>502</v>
      </c>
      <c r="AH279" s="346"/>
    </row>
    <row r="280" spans="1:34" hidden="1">
      <c r="A280" s="345"/>
      <c r="B280" s="320" t="s">
        <v>503</v>
      </c>
      <c r="AH280" s="346"/>
    </row>
    <row r="281" spans="1:34" hidden="1">
      <c r="A281" s="345"/>
      <c r="B281" s="320" t="s">
        <v>504</v>
      </c>
      <c r="AH281" s="346"/>
    </row>
    <row r="282" spans="1:34" hidden="1">
      <c r="A282" s="345"/>
      <c r="B282" s="320" t="s">
        <v>505</v>
      </c>
      <c r="AH282" s="346"/>
    </row>
    <row r="283" spans="1:34" hidden="1">
      <c r="A283" s="345"/>
      <c r="B283" s="320" t="s">
        <v>506</v>
      </c>
      <c r="AH283" s="346"/>
    </row>
    <row r="284" spans="1:34" hidden="1">
      <c r="A284" s="345"/>
      <c r="B284" s="320" t="s">
        <v>507</v>
      </c>
      <c r="AH284" s="346"/>
    </row>
    <row r="285" spans="1:34" hidden="1">
      <c r="A285" s="345"/>
      <c r="B285" s="320" t="s">
        <v>508</v>
      </c>
      <c r="AH285" s="346"/>
    </row>
    <row r="286" spans="1:34" hidden="1">
      <c r="A286" s="345"/>
      <c r="B286" s="320" t="s">
        <v>509</v>
      </c>
      <c r="AH286" s="346"/>
    </row>
    <row r="287" spans="1:34" hidden="1">
      <c r="A287" s="345"/>
      <c r="B287" s="320" t="s">
        <v>510</v>
      </c>
      <c r="AH287" s="346"/>
    </row>
    <row r="288" spans="1:34" hidden="1">
      <c r="A288" s="345"/>
      <c r="B288" s="320" t="s">
        <v>247</v>
      </c>
      <c r="AH288" s="346"/>
    </row>
    <row r="289" spans="1:34" hidden="1">
      <c r="A289" s="345"/>
      <c r="B289" s="320" t="s">
        <v>511</v>
      </c>
      <c r="AH289" s="346"/>
    </row>
    <row r="290" spans="1:34" hidden="1">
      <c r="A290" s="345"/>
      <c r="B290" s="320" t="s">
        <v>512</v>
      </c>
      <c r="AH290" s="346"/>
    </row>
    <row r="291" spans="1:34" hidden="1">
      <c r="A291" s="345"/>
      <c r="B291" s="320" t="s">
        <v>513</v>
      </c>
      <c r="AH291" s="346"/>
    </row>
    <row r="292" spans="1:34" hidden="1">
      <c r="A292" s="345"/>
      <c r="B292" s="320" t="s">
        <v>514</v>
      </c>
      <c r="AH292" s="346"/>
    </row>
    <row r="293" spans="1:34" hidden="1">
      <c r="A293" s="345"/>
      <c r="B293" s="320" t="s">
        <v>515</v>
      </c>
      <c r="AH293" s="346"/>
    </row>
    <row r="294" spans="1:34" hidden="1">
      <c r="A294" s="345"/>
      <c r="B294" s="320" t="s">
        <v>516</v>
      </c>
      <c r="AH294" s="346"/>
    </row>
    <row r="295" spans="1:34" hidden="1">
      <c r="A295" s="345"/>
      <c r="B295" s="320" t="s">
        <v>517</v>
      </c>
      <c r="AH295" s="346"/>
    </row>
    <row r="296" spans="1:34" hidden="1">
      <c r="A296" s="345"/>
      <c r="B296" s="320" t="s">
        <v>518</v>
      </c>
      <c r="AH296" s="346"/>
    </row>
    <row r="297" spans="1:34" hidden="1">
      <c r="A297" s="345"/>
      <c r="B297" s="320" t="s">
        <v>519</v>
      </c>
      <c r="AH297" s="346"/>
    </row>
    <row r="298" spans="1:34" hidden="1">
      <c r="A298" s="345"/>
      <c r="B298" s="320" t="s">
        <v>520</v>
      </c>
      <c r="AH298" s="346"/>
    </row>
    <row r="299" spans="1:34" hidden="1">
      <c r="A299" s="345"/>
      <c r="B299" s="320" t="s">
        <v>521</v>
      </c>
      <c r="AH299" s="346"/>
    </row>
    <row r="300" spans="1:34" hidden="1">
      <c r="A300" s="345"/>
      <c r="B300" s="320" t="s">
        <v>522</v>
      </c>
      <c r="AH300" s="346"/>
    </row>
    <row r="301" spans="1:34" hidden="1">
      <c r="A301" s="345"/>
      <c r="B301" s="320" t="s">
        <v>523</v>
      </c>
      <c r="AH301" s="346"/>
    </row>
    <row r="302" spans="1:34" hidden="1">
      <c r="A302" s="345"/>
      <c r="B302" s="320" t="s">
        <v>524</v>
      </c>
      <c r="AH302" s="346"/>
    </row>
    <row r="303" spans="1:34" hidden="1">
      <c r="A303" s="345"/>
      <c r="B303" s="320" t="s">
        <v>535</v>
      </c>
      <c r="AH303" s="346"/>
    </row>
    <row r="304" spans="1:34" hidden="1">
      <c r="A304" s="345"/>
      <c r="B304" s="320" t="s">
        <v>536</v>
      </c>
      <c r="AH304" s="346"/>
    </row>
    <row r="305" spans="1:34" hidden="1">
      <c r="A305" s="345"/>
      <c r="B305" s="320" t="s">
        <v>569</v>
      </c>
      <c r="AH305" s="346"/>
    </row>
    <row r="306" spans="1:34" hidden="1">
      <c r="A306" s="345"/>
      <c r="AH306" s="346"/>
    </row>
    <row r="307" spans="1:34" hidden="1">
      <c r="A307" s="345"/>
      <c r="B307" s="320" t="s">
        <v>248</v>
      </c>
      <c r="AH307" s="346"/>
    </row>
    <row r="308" spans="1:34" hidden="1">
      <c r="A308" s="345"/>
      <c r="AH308" s="346"/>
    </row>
    <row r="309" spans="1:34" hidden="1">
      <c r="A309" s="345"/>
      <c r="B309" s="320" t="s">
        <v>249</v>
      </c>
      <c r="AH309" s="346"/>
    </row>
    <row r="310" spans="1:34" hidden="1">
      <c r="A310" s="345"/>
      <c r="B310" s="320" t="s">
        <v>250</v>
      </c>
      <c r="AH310" s="346"/>
    </row>
    <row r="311" spans="1:34" hidden="1">
      <c r="A311" s="345"/>
      <c r="B311" s="320" t="s">
        <v>251</v>
      </c>
      <c r="AH311" s="346"/>
    </row>
    <row r="312" spans="1:34" hidden="1">
      <c r="A312" s="345"/>
      <c r="B312" s="320" t="s">
        <v>252</v>
      </c>
      <c r="AH312" s="346"/>
    </row>
    <row r="313" spans="1:34" hidden="1">
      <c r="A313" s="345"/>
      <c r="B313" s="320" t="s">
        <v>253</v>
      </c>
      <c r="AH313" s="346"/>
    </row>
    <row r="314" spans="1:34" hidden="1">
      <c r="A314" s="345"/>
      <c r="B314" s="320" t="s">
        <v>254</v>
      </c>
      <c r="AH314" s="346"/>
    </row>
    <row r="315" spans="1:34" hidden="1">
      <c r="A315" s="345"/>
      <c r="B315" s="320" t="s">
        <v>255</v>
      </c>
      <c r="AH315" s="346"/>
    </row>
    <row r="316" spans="1:34" hidden="1">
      <c r="A316" s="345"/>
      <c r="B316" s="320" t="s">
        <v>256</v>
      </c>
      <c r="AH316" s="346"/>
    </row>
    <row r="317" spans="1:34" hidden="1">
      <c r="A317" s="345"/>
      <c r="B317" s="320" t="s">
        <v>257</v>
      </c>
      <c r="AH317" s="346"/>
    </row>
    <row r="318" spans="1:34" hidden="1">
      <c r="A318" s="345"/>
      <c r="B318" s="320" t="s">
        <v>258</v>
      </c>
      <c r="AH318" s="346"/>
    </row>
    <row r="319" spans="1:34" hidden="1">
      <c r="A319" s="345"/>
      <c r="B319" s="320" t="s">
        <v>259</v>
      </c>
      <c r="AH319" s="346"/>
    </row>
    <row r="320" spans="1:34" hidden="1">
      <c r="A320" s="345"/>
      <c r="B320" s="320" t="s">
        <v>260</v>
      </c>
      <c r="AH320" s="346"/>
    </row>
    <row r="321" spans="1:34" hidden="1">
      <c r="A321" s="345"/>
      <c r="AH321" s="346"/>
    </row>
    <row r="322" spans="1:34" hidden="1">
      <c r="A322" s="345"/>
      <c r="B322" s="320" t="s">
        <v>261</v>
      </c>
      <c r="AH322" s="346"/>
    </row>
    <row r="323" spans="1:34" hidden="1">
      <c r="A323" s="345"/>
      <c r="B323" s="320" t="s">
        <v>262</v>
      </c>
      <c r="AH323" s="346"/>
    </row>
    <row r="324" spans="1:34" hidden="1">
      <c r="A324" s="345"/>
      <c r="B324" s="320" t="s">
        <v>263</v>
      </c>
      <c r="AH324" s="346"/>
    </row>
    <row r="325" spans="1:34" hidden="1">
      <c r="A325" s="345"/>
      <c r="B325" s="320" t="s">
        <v>264</v>
      </c>
      <c r="AH325" s="346"/>
    </row>
    <row r="326" spans="1:34" hidden="1">
      <c r="A326" s="345"/>
      <c r="B326" s="320" t="s">
        <v>265</v>
      </c>
      <c r="AH326" s="346"/>
    </row>
    <row r="327" spans="1:34" hidden="1">
      <c r="A327" s="345"/>
      <c r="B327" s="320" t="s">
        <v>266</v>
      </c>
      <c r="AH327" s="346"/>
    </row>
    <row r="328" spans="1:34" hidden="1">
      <c r="A328" s="345"/>
      <c r="B328" s="320" t="s">
        <v>267</v>
      </c>
      <c r="AH328" s="346"/>
    </row>
    <row r="329" spans="1:34" hidden="1">
      <c r="A329" s="345"/>
      <c r="B329" s="320" t="s">
        <v>268</v>
      </c>
      <c r="AH329" s="346"/>
    </row>
    <row r="330" spans="1:34" hidden="1">
      <c r="A330" s="345"/>
      <c r="B330" s="320" t="s">
        <v>269</v>
      </c>
      <c r="AH330" s="346"/>
    </row>
    <row r="331" spans="1:34" hidden="1">
      <c r="A331" s="345"/>
      <c r="B331" s="320" t="s">
        <v>270</v>
      </c>
      <c r="AH331" s="346"/>
    </row>
    <row r="332" spans="1:34" hidden="1">
      <c r="A332" s="345"/>
      <c r="B332" s="320" t="s">
        <v>271</v>
      </c>
      <c r="AH332" s="346"/>
    </row>
    <row r="333" spans="1:34" hidden="1">
      <c r="A333" s="345"/>
      <c r="B333" s="320" t="s">
        <v>272</v>
      </c>
      <c r="AH333" s="346"/>
    </row>
    <row r="334" spans="1:34" hidden="1">
      <c r="A334" s="345"/>
      <c r="AH334" s="346"/>
    </row>
    <row r="335" spans="1:34" hidden="1">
      <c r="A335" s="345"/>
      <c r="B335" s="320" t="s">
        <v>273</v>
      </c>
      <c r="AH335" s="346"/>
    </row>
    <row r="336" spans="1:34" hidden="1">
      <c r="A336" s="345"/>
      <c r="B336" s="320" t="s">
        <v>274</v>
      </c>
      <c r="AH336" s="346"/>
    </row>
    <row r="337" spans="1:34" hidden="1">
      <c r="A337" s="345"/>
      <c r="B337" s="320" t="s">
        <v>275</v>
      </c>
      <c r="AH337" s="346"/>
    </row>
    <row r="338" spans="1:34" hidden="1">
      <c r="A338" s="345"/>
      <c r="B338" s="320" t="s">
        <v>276</v>
      </c>
      <c r="AH338" s="346"/>
    </row>
    <row r="339" spans="1:34" hidden="1">
      <c r="A339" s="345"/>
      <c r="B339" s="320" t="s">
        <v>277</v>
      </c>
      <c r="AH339" s="346"/>
    </row>
    <row r="340" spans="1:34" hidden="1">
      <c r="A340" s="345"/>
      <c r="B340" s="320" t="s">
        <v>278</v>
      </c>
      <c r="AH340" s="346"/>
    </row>
    <row r="341" spans="1:34" hidden="1">
      <c r="A341" s="345"/>
      <c r="B341" s="320" t="s">
        <v>279</v>
      </c>
      <c r="AH341" s="346"/>
    </row>
    <row r="342" spans="1:34" hidden="1">
      <c r="A342" s="345"/>
      <c r="B342" s="320" t="s">
        <v>280</v>
      </c>
      <c r="AH342" s="346"/>
    </row>
    <row r="343" spans="1:34" hidden="1">
      <c r="A343" s="345"/>
      <c r="B343" s="320" t="s">
        <v>281</v>
      </c>
      <c r="AH343" s="346"/>
    </row>
    <row r="344" spans="1:34" hidden="1">
      <c r="A344" s="345"/>
      <c r="B344" s="320" t="s">
        <v>282</v>
      </c>
      <c r="AH344" s="346"/>
    </row>
    <row r="345" spans="1:34" hidden="1">
      <c r="A345" s="345"/>
      <c r="B345" s="320" t="s">
        <v>283</v>
      </c>
      <c r="AH345" s="346"/>
    </row>
    <row r="346" spans="1:34" hidden="1">
      <c r="A346" s="345"/>
      <c r="B346" s="320" t="s">
        <v>284</v>
      </c>
      <c r="AH346" s="346"/>
    </row>
    <row r="347" spans="1:34" hidden="1">
      <c r="A347" s="345"/>
      <c r="B347" s="320" t="s">
        <v>285</v>
      </c>
      <c r="AH347" s="346"/>
    </row>
    <row r="348" spans="1:34" hidden="1">
      <c r="A348" s="345"/>
      <c r="B348" s="320" t="s">
        <v>286</v>
      </c>
      <c r="AH348" s="346"/>
    </row>
    <row r="349" spans="1:34" hidden="1">
      <c r="A349" s="345"/>
      <c r="B349" s="320" t="s">
        <v>287</v>
      </c>
      <c r="AH349" s="346"/>
    </row>
    <row r="350" spans="1:34" hidden="1">
      <c r="A350" s="345"/>
      <c r="B350" s="320" t="s">
        <v>288</v>
      </c>
      <c r="AH350" s="346"/>
    </row>
    <row r="351" spans="1:34" hidden="1">
      <c r="A351" s="345"/>
      <c r="B351" s="320" t="s">
        <v>289</v>
      </c>
      <c r="AH351" s="346"/>
    </row>
    <row r="352" spans="1:34" hidden="1">
      <c r="A352" s="345"/>
      <c r="AH352" s="346"/>
    </row>
    <row r="353" spans="1:34" hidden="1">
      <c r="A353" s="345"/>
      <c r="B353" s="320" t="s">
        <v>290</v>
      </c>
      <c r="AH353" s="346"/>
    </row>
    <row r="354" spans="1:34" hidden="1">
      <c r="A354" s="345"/>
      <c r="B354" s="320" t="s">
        <v>291</v>
      </c>
      <c r="AH354" s="346"/>
    </row>
    <row r="355" spans="1:34" hidden="1">
      <c r="A355" s="345"/>
      <c r="B355" s="320" t="s">
        <v>292</v>
      </c>
      <c r="AH355" s="346"/>
    </row>
    <row r="356" spans="1:34" hidden="1">
      <c r="A356" s="345"/>
      <c r="B356" s="320" t="s">
        <v>293</v>
      </c>
      <c r="AH356" s="346"/>
    </row>
    <row r="357" spans="1:34" hidden="1">
      <c r="A357" s="345"/>
      <c r="B357" s="320" t="s">
        <v>294</v>
      </c>
      <c r="AH357" s="346"/>
    </row>
    <row r="358" spans="1:34" hidden="1">
      <c r="A358" s="345"/>
      <c r="B358" s="320" t="s">
        <v>295</v>
      </c>
      <c r="AH358" s="346"/>
    </row>
    <row r="359" spans="1:34" hidden="1">
      <c r="A359" s="345"/>
      <c r="AH359" s="346"/>
    </row>
    <row r="360" spans="1:34" hidden="1">
      <c r="A360" s="345"/>
      <c r="B360" s="320" t="s">
        <v>296</v>
      </c>
      <c r="AH360" s="346"/>
    </row>
    <row r="361" spans="1:34" hidden="1">
      <c r="A361" s="345"/>
      <c r="B361" s="320" t="s">
        <v>297</v>
      </c>
      <c r="AH361" s="346"/>
    </row>
    <row r="362" spans="1:34" hidden="1">
      <c r="A362" s="345"/>
      <c r="B362" s="320" t="s">
        <v>298</v>
      </c>
      <c r="AH362" s="346"/>
    </row>
    <row r="363" spans="1:34" hidden="1">
      <c r="A363" s="345"/>
      <c r="B363" s="320" t="s">
        <v>299</v>
      </c>
      <c r="AH363" s="346"/>
    </row>
    <row r="364" spans="1:34" hidden="1">
      <c r="A364" s="345"/>
      <c r="B364" s="320" t="s">
        <v>300</v>
      </c>
      <c r="AH364" s="346"/>
    </row>
    <row r="365" spans="1:34" hidden="1">
      <c r="A365" s="345"/>
      <c r="B365" s="320" t="s">
        <v>301</v>
      </c>
      <c r="AH365" s="346"/>
    </row>
    <row r="366" spans="1:34" hidden="1">
      <c r="A366" s="345"/>
      <c r="AH366" s="346"/>
    </row>
    <row r="367" spans="1:34" hidden="1">
      <c r="A367" s="345"/>
      <c r="B367" s="320" t="s">
        <v>302</v>
      </c>
      <c r="AH367" s="346"/>
    </row>
    <row r="368" spans="1:34" hidden="1">
      <c r="A368" s="345"/>
      <c r="B368" s="320" t="s">
        <v>303</v>
      </c>
      <c r="AH368" s="346"/>
    </row>
    <row r="369" spans="1:34" hidden="1">
      <c r="A369" s="345"/>
      <c r="B369" s="320" t="s">
        <v>304</v>
      </c>
      <c r="AH369" s="346"/>
    </row>
    <row r="370" spans="1:34" hidden="1">
      <c r="A370" s="345"/>
      <c r="AH370" s="346"/>
    </row>
    <row r="371" spans="1:34" hidden="1">
      <c r="A371" s="345"/>
      <c r="B371" s="320" t="s">
        <v>305</v>
      </c>
      <c r="AH371" s="346"/>
    </row>
    <row r="372" spans="1:34" hidden="1">
      <c r="A372" s="345"/>
      <c r="B372" s="320" t="s">
        <v>306</v>
      </c>
      <c r="AH372" s="346"/>
    </row>
    <row r="373" spans="1:34" hidden="1">
      <c r="A373" s="345"/>
      <c r="B373" s="320" t="s">
        <v>307</v>
      </c>
      <c r="AH373" s="346"/>
    </row>
    <row r="374" spans="1:34" hidden="1">
      <c r="A374" s="345"/>
      <c r="B374" s="320" t="s">
        <v>308</v>
      </c>
      <c r="AH374" s="346"/>
    </row>
    <row r="375" spans="1:34" hidden="1">
      <c r="A375" s="345"/>
      <c r="B375" s="320" t="s">
        <v>309</v>
      </c>
      <c r="AH375" s="346"/>
    </row>
    <row r="376" spans="1:34" hidden="1">
      <c r="A376" s="345"/>
      <c r="B376" s="320" t="s">
        <v>310</v>
      </c>
      <c r="AH376" s="346"/>
    </row>
    <row r="377" spans="1:34" hidden="1">
      <c r="A377" s="345"/>
      <c r="B377" s="320" t="s">
        <v>311</v>
      </c>
      <c r="AH377" s="346"/>
    </row>
    <row r="378" spans="1:34" hidden="1">
      <c r="A378" s="345"/>
      <c r="AH378" s="346"/>
    </row>
    <row r="379" spans="1:34" hidden="1">
      <c r="A379" s="345"/>
      <c r="B379" s="320" t="s">
        <v>312</v>
      </c>
      <c r="AH379" s="346"/>
    </row>
    <row r="380" spans="1:34" hidden="1">
      <c r="A380" s="345"/>
      <c r="B380" s="320" t="s">
        <v>313</v>
      </c>
      <c r="AH380" s="346"/>
    </row>
    <row r="381" spans="1:34" hidden="1">
      <c r="A381" s="345"/>
      <c r="B381" s="320" t="s">
        <v>314</v>
      </c>
      <c r="AH381" s="346"/>
    </row>
    <row r="382" spans="1:34" hidden="1">
      <c r="A382" s="345"/>
      <c r="B382" s="320" t="s">
        <v>315</v>
      </c>
      <c r="AH382" s="346"/>
    </row>
    <row r="383" spans="1:34" hidden="1">
      <c r="A383" s="345"/>
      <c r="B383" s="320" t="s">
        <v>316</v>
      </c>
      <c r="AH383" s="346"/>
    </row>
    <row r="384" spans="1:34" hidden="1">
      <c r="A384" s="345"/>
      <c r="B384" s="320" t="s">
        <v>317</v>
      </c>
      <c r="AH384" s="346"/>
    </row>
    <row r="385" spans="1:34" hidden="1">
      <c r="A385" s="345"/>
      <c r="B385" s="320" t="s">
        <v>318</v>
      </c>
      <c r="AH385" s="346"/>
    </row>
    <row r="386" spans="1:34" hidden="1">
      <c r="A386" s="345"/>
      <c r="AH386" s="346"/>
    </row>
    <row r="387" spans="1:34" hidden="1">
      <c r="A387" s="345"/>
      <c r="B387" s="320" t="s">
        <v>319</v>
      </c>
      <c r="AH387" s="346"/>
    </row>
    <row r="388" spans="1:34" hidden="1">
      <c r="A388" s="345"/>
      <c r="B388" s="320" t="s">
        <v>320</v>
      </c>
      <c r="AH388" s="346"/>
    </row>
    <row r="389" spans="1:34" hidden="1">
      <c r="A389" s="345"/>
      <c r="B389" s="320" t="s">
        <v>321</v>
      </c>
      <c r="AH389" s="346"/>
    </row>
    <row r="390" spans="1:34" hidden="1">
      <c r="A390" s="345"/>
      <c r="B390" s="320" t="s">
        <v>322</v>
      </c>
      <c r="AH390" s="346"/>
    </row>
    <row r="391" spans="1:34" hidden="1">
      <c r="A391" s="345"/>
      <c r="B391" s="320" t="s">
        <v>323</v>
      </c>
      <c r="AH391" s="346"/>
    </row>
    <row r="392" spans="1:34" hidden="1">
      <c r="A392" s="345"/>
      <c r="B392" s="320" t="s">
        <v>324</v>
      </c>
      <c r="AH392" s="346"/>
    </row>
    <row r="393" spans="1:34" hidden="1">
      <c r="A393" s="345"/>
      <c r="AH393" s="346"/>
    </row>
    <row r="394" spans="1:34" hidden="1">
      <c r="A394" s="345"/>
      <c r="B394" s="320" t="s">
        <v>325</v>
      </c>
      <c r="AH394" s="346"/>
    </row>
    <row r="395" spans="1:34" hidden="1">
      <c r="A395" s="345"/>
      <c r="B395" s="320" t="s">
        <v>326</v>
      </c>
      <c r="AH395" s="346"/>
    </row>
    <row r="396" spans="1:34" hidden="1">
      <c r="A396" s="345"/>
      <c r="AH396" s="346"/>
    </row>
    <row r="397" spans="1:34" hidden="1">
      <c r="A397" s="345"/>
      <c r="B397" s="320" t="s">
        <v>327</v>
      </c>
      <c r="AH397" s="346"/>
    </row>
    <row r="398" spans="1:34" hidden="1">
      <c r="A398" s="345"/>
      <c r="B398" s="320" t="s">
        <v>328</v>
      </c>
      <c r="AH398" s="346"/>
    </row>
    <row r="399" spans="1:34" hidden="1">
      <c r="A399" s="345"/>
      <c r="B399" s="320" t="s">
        <v>329</v>
      </c>
      <c r="AH399" s="346"/>
    </row>
    <row r="400" spans="1:34" hidden="1">
      <c r="A400" s="345"/>
      <c r="B400" s="320" t="s">
        <v>330</v>
      </c>
      <c r="AH400" s="346"/>
    </row>
    <row r="401" spans="1:34" hidden="1">
      <c r="A401" s="345"/>
      <c r="B401" s="320" t="s">
        <v>331</v>
      </c>
      <c r="AH401" s="346"/>
    </row>
    <row r="402" spans="1:34" hidden="1">
      <c r="A402" s="345"/>
      <c r="B402" s="320" t="s">
        <v>332</v>
      </c>
      <c r="AH402" s="346"/>
    </row>
    <row r="403" spans="1:34" hidden="1">
      <c r="A403" s="345"/>
      <c r="AH403" s="346"/>
    </row>
    <row r="404" spans="1:34" hidden="1">
      <c r="A404" s="345"/>
      <c r="B404" s="320" t="s">
        <v>333</v>
      </c>
      <c r="AH404" s="346"/>
    </row>
    <row r="405" spans="1:34" hidden="1">
      <c r="A405" s="345"/>
      <c r="B405" s="320" t="s">
        <v>334</v>
      </c>
      <c r="AH405" s="346"/>
    </row>
    <row r="406" spans="1:34" hidden="1">
      <c r="A406" s="345"/>
      <c r="B406" s="320" t="s">
        <v>335</v>
      </c>
      <c r="AH406" s="346"/>
    </row>
    <row r="407" spans="1:34" hidden="1">
      <c r="A407" s="345"/>
      <c r="B407" s="320" t="s">
        <v>336</v>
      </c>
      <c r="AH407" s="346"/>
    </row>
    <row r="408" spans="1:34" hidden="1">
      <c r="A408" s="345"/>
      <c r="B408" s="320" t="s">
        <v>337</v>
      </c>
      <c r="AH408" s="346"/>
    </row>
    <row r="409" spans="1:34" hidden="1">
      <c r="A409" s="345"/>
      <c r="AH409" s="346"/>
    </row>
    <row r="410" spans="1:34" hidden="1">
      <c r="A410" s="345"/>
      <c r="B410" s="320" t="s">
        <v>338</v>
      </c>
      <c r="AH410" s="346"/>
    </row>
    <row r="411" spans="1:34" hidden="1">
      <c r="A411" s="345"/>
      <c r="B411" s="320" t="s">
        <v>339</v>
      </c>
      <c r="AH411" s="346"/>
    </row>
    <row r="412" spans="1:34" hidden="1">
      <c r="A412" s="345"/>
      <c r="B412" s="320" t="s">
        <v>340</v>
      </c>
      <c r="AH412" s="346"/>
    </row>
    <row r="413" spans="1:34" hidden="1">
      <c r="A413" s="345"/>
      <c r="B413" s="320" t="s">
        <v>341</v>
      </c>
      <c r="AH413" s="346"/>
    </row>
    <row r="414" spans="1:34" hidden="1">
      <c r="A414" s="345"/>
      <c r="B414" s="320" t="s">
        <v>342</v>
      </c>
      <c r="AH414" s="346"/>
    </row>
    <row r="415" spans="1:34" hidden="1">
      <c r="A415" s="345"/>
      <c r="AH415" s="346"/>
    </row>
    <row r="416" spans="1:34" hidden="1">
      <c r="A416" s="345"/>
      <c r="B416" s="320" t="s">
        <v>343</v>
      </c>
      <c r="AH416" s="346"/>
    </row>
    <row r="417" spans="1:34" hidden="1">
      <c r="A417" s="345"/>
      <c r="B417" s="320" t="s">
        <v>344</v>
      </c>
      <c r="AH417" s="346"/>
    </row>
    <row r="418" spans="1:34" hidden="1">
      <c r="A418" s="345"/>
      <c r="B418" s="320" t="s">
        <v>345</v>
      </c>
      <c r="AH418" s="346"/>
    </row>
    <row r="419" spans="1:34" hidden="1">
      <c r="A419" s="345"/>
      <c r="B419" s="320" t="s">
        <v>346</v>
      </c>
      <c r="AH419" s="346"/>
    </row>
    <row r="420" spans="1:34" hidden="1">
      <c r="A420" s="345"/>
      <c r="B420" s="320" t="s">
        <v>347</v>
      </c>
      <c r="AH420" s="346"/>
    </row>
    <row r="421" spans="1:34" hidden="1">
      <c r="A421" s="345"/>
      <c r="AH421" s="346"/>
    </row>
    <row r="422" spans="1:34" hidden="1">
      <c r="A422" s="345"/>
      <c r="B422" s="320" t="s">
        <v>348</v>
      </c>
      <c r="AH422" s="346"/>
    </row>
    <row r="423" spans="1:34" hidden="1">
      <c r="A423" s="345"/>
      <c r="B423" s="320" t="s">
        <v>349</v>
      </c>
      <c r="AH423" s="346"/>
    </row>
    <row r="424" spans="1:34" hidden="1">
      <c r="A424" s="345"/>
      <c r="B424" s="320" t="s">
        <v>350</v>
      </c>
      <c r="AH424" s="346"/>
    </row>
    <row r="425" spans="1:34" hidden="1">
      <c r="A425" s="345"/>
      <c r="B425" s="320" t="s">
        <v>351</v>
      </c>
      <c r="AH425" s="346"/>
    </row>
    <row r="426" spans="1:34" hidden="1">
      <c r="A426" s="345"/>
      <c r="B426" s="320" t="s">
        <v>352</v>
      </c>
      <c r="AH426" s="346"/>
    </row>
    <row r="427" spans="1:34" hidden="1">
      <c r="A427" s="345"/>
      <c r="AH427" s="346"/>
    </row>
    <row r="428" spans="1:34" hidden="1">
      <c r="A428" s="345"/>
      <c r="B428" s="320" t="s">
        <v>353</v>
      </c>
      <c r="AH428" s="346"/>
    </row>
    <row r="429" spans="1:34" hidden="1">
      <c r="A429" s="345"/>
      <c r="B429" s="320" t="s">
        <v>354</v>
      </c>
      <c r="AH429" s="346"/>
    </row>
    <row r="430" spans="1:34" hidden="1">
      <c r="A430" s="345"/>
      <c r="B430" s="320" t="s">
        <v>355</v>
      </c>
      <c r="AH430" s="346"/>
    </row>
    <row r="431" spans="1:34" hidden="1">
      <c r="A431" s="345"/>
      <c r="B431" s="320" t="s">
        <v>356</v>
      </c>
      <c r="AH431" s="346"/>
    </row>
    <row r="432" spans="1:34" hidden="1">
      <c r="A432" s="345"/>
      <c r="B432" s="320" t="s">
        <v>357</v>
      </c>
      <c r="AH432" s="346"/>
    </row>
    <row r="433" spans="1:34" hidden="1">
      <c r="A433" s="345"/>
      <c r="B433" s="320" t="s">
        <v>358</v>
      </c>
      <c r="AH433" s="346"/>
    </row>
    <row r="434" spans="1:34" hidden="1">
      <c r="A434" s="345"/>
      <c r="B434" s="320" t="s">
        <v>359</v>
      </c>
      <c r="AH434" s="346"/>
    </row>
    <row r="435" spans="1:34" hidden="1">
      <c r="A435" s="345"/>
      <c r="B435" s="320" t="s">
        <v>244</v>
      </c>
      <c r="AH435" s="346"/>
    </row>
    <row r="436" spans="1:34" hidden="1">
      <c r="A436" s="345"/>
      <c r="B436" s="320" t="s">
        <v>360</v>
      </c>
      <c r="AH436" s="346"/>
    </row>
    <row r="437" spans="1:34" hidden="1">
      <c r="A437" s="345"/>
      <c r="B437" s="320" t="s">
        <v>361</v>
      </c>
      <c r="AH437" s="346"/>
    </row>
    <row r="438" spans="1:34" hidden="1">
      <c r="A438" s="345"/>
      <c r="AH438" s="346"/>
    </row>
    <row r="439" spans="1:34" hidden="1">
      <c r="A439" s="345"/>
      <c r="B439" s="320" t="s">
        <v>362</v>
      </c>
      <c r="AH439" s="346"/>
    </row>
    <row r="440" spans="1:34" hidden="1">
      <c r="A440" s="345"/>
      <c r="B440" s="320" t="s">
        <v>363</v>
      </c>
      <c r="AH440" s="346"/>
    </row>
    <row r="441" spans="1:34" hidden="1">
      <c r="A441" s="345"/>
      <c r="B441" s="320" t="s">
        <v>364</v>
      </c>
      <c r="AH441" s="346"/>
    </row>
    <row r="442" spans="1:34" hidden="1">
      <c r="A442" s="345"/>
      <c r="B442" s="320" t="s">
        <v>365</v>
      </c>
      <c r="AH442" s="346"/>
    </row>
    <row r="443" spans="1:34" hidden="1">
      <c r="A443" s="345"/>
      <c r="B443" s="320" t="s">
        <v>366</v>
      </c>
      <c r="AH443" s="346"/>
    </row>
    <row r="444" spans="1:34" hidden="1">
      <c r="A444" s="345"/>
      <c r="B444" s="320" t="s">
        <v>367</v>
      </c>
      <c r="AH444" s="346"/>
    </row>
    <row r="445" spans="1:34" hidden="1">
      <c r="A445" s="345"/>
      <c r="AH445" s="346"/>
    </row>
    <row r="446" spans="1:34" hidden="1">
      <c r="A446" s="345"/>
      <c r="B446" s="320" t="s">
        <v>368</v>
      </c>
      <c r="AH446" s="346"/>
    </row>
    <row r="447" spans="1:34" hidden="1">
      <c r="A447" s="345"/>
      <c r="B447" s="320" t="s">
        <v>369</v>
      </c>
      <c r="AH447" s="346"/>
    </row>
    <row r="448" spans="1:34" hidden="1">
      <c r="A448" s="345"/>
      <c r="B448" s="320" t="s">
        <v>370</v>
      </c>
      <c r="AH448" s="346"/>
    </row>
    <row r="449" spans="1:34" hidden="1">
      <c r="A449" s="345"/>
      <c r="B449" s="320" t="s">
        <v>371</v>
      </c>
      <c r="AH449" s="346"/>
    </row>
    <row r="450" spans="1:34" hidden="1">
      <c r="A450" s="345"/>
      <c r="B450" s="320" t="s">
        <v>372</v>
      </c>
      <c r="AH450" s="346"/>
    </row>
    <row r="451" spans="1:34" hidden="1">
      <c r="A451" s="345"/>
      <c r="B451" s="320" t="s">
        <v>373</v>
      </c>
      <c r="AH451" s="346"/>
    </row>
    <row r="452" spans="1:34" hidden="1">
      <c r="A452" s="345"/>
      <c r="B452" s="320" t="s">
        <v>374</v>
      </c>
      <c r="AH452" s="346"/>
    </row>
    <row r="453" spans="1:34" hidden="1">
      <c r="A453" s="345"/>
      <c r="B453" s="320" t="s">
        <v>375</v>
      </c>
      <c r="AH453" s="346"/>
    </row>
    <row r="454" spans="1:34" hidden="1">
      <c r="A454" s="345"/>
      <c r="AH454" s="346"/>
    </row>
    <row r="455" spans="1:34" hidden="1">
      <c r="A455" s="345"/>
      <c r="B455" s="320" t="s">
        <v>376</v>
      </c>
      <c r="AH455" s="346"/>
    </row>
    <row r="456" spans="1:34" hidden="1">
      <c r="A456" s="345"/>
      <c r="B456" s="320" t="s">
        <v>377</v>
      </c>
      <c r="AH456" s="346"/>
    </row>
    <row r="457" spans="1:34" hidden="1">
      <c r="A457" s="345"/>
      <c r="B457" s="320" t="s">
        <v>378</v>
      </c>
      <c r="AH457" s="346"/>
    </row>
    <row r="458" spans="1:34" hidden="1">
      <c r="A458" s="345"/>
      <c r="B458" s="320" t="s">
        <v>379</v>
      </c>
      <c r="AH458" s="346"/>
    </row>
    <row r="459" spans="1:34" hidden="1">
      <c r="A459" s="345"/>
      <c r="B459" s="320" t="s">
        <v>380</v>
      </c>
      <c r="AH459" s="346"/>
    </row>
    <row r="460" spans="1:34" hidden="1">
      <c r="A460" s="345"/>
      <c r="B460" s="320" t="s">
        <v>381</v>
      </c>
      <c r="AH460" s="346"/>
    </row>
    <row r="461" spans="1:34" hidden="1">
      <c r="A461" s="345"/>
      <c r="B461" s="320" t="s">
        <v>382</v>
      </c>
      <c r="AH461" s="346"/>
    </row>
    <row r="462" spans="1:34" hidden="1">
      <c r="A462" s="345"/>
      <c r="B462" s="320" t="s">
        <v>383</v>
      </c>
      <c r="AH462" s="346"/>
    </row>
    <row r="463" spans="1:34" hidden="1">
      <c r="A463" s="345"/>
      <c r="B463" s="320" t="s">
        <v>384</v>
      </c>
      <c r="AH463" s="346"/>
    </row>
    <row r="464" spans="1:34" hidden="1">
      <c r="A464" s="345"/>
      <c r="B464" s="320" t="s">
        <v>385</v>
      </c>
      <c r="AH464" s="346"/>
    </row>
    <row r="465" spans="1:34" hidden="1">
      <c r="A465" s="345"/>
      <c r="B465" s="320" t="s">
        <v>386</v>
      </c>
      <c r="AH465" s="346"/>
    </row>
    <row r="466" spans="1:34" hidden="1">
      <c r="A466" s="345"/>
      <c r="B466" s="320" t="s">
        <v>387</v>
      </c>
      <c r="AH466" s="346"/>
    </row>
    <row r="467" spans="1:34" hidden="1">
      <c r="A467" s="345"/>
      <c r="B467" s="320" t="s">
        <v>388</v>
      </c>
      <c r="AH467" s="346"/>
    </row>
    <row r="468" spans="1:34" hidden="1">
      <c r="A468" s="345"/>
      <c r="B468" s="320" t="s">
        <v>389</v>
      </c>
      <c r="AH468" s="346"/>
    </row>
    <row r="469" spans="1:34" hidden="1">
      <c r="A469" s="345"/>
      <c r="B469" s="320" t="s">
        <v>390</v>
      </c>
      <c r="AH469" s="346"/>
    </row>
    <row r="470" spans="1:34" hidden="1">
      <c r="A470" s="345"/>
      <c r="B470" s="320" t="s">
        <v>391</v>
      </c>
      <c r="AH470" s="346"/>
    </row>
    <row r="471" spans="1:34" hidden="1">
      <c r="A471" s="345"/>
      <c r="AH471" s="346"/>
    </row>
    <row r="472" spans="1:34" hidden="1">
      <c r="A472" s="345"/>
      <c r="B472" s="320" t="s">
        <v>392</v>
      </c>
      <c r="AH472" s="346"/>
    </row>
    <row r="473" spans="1:34" hidden="1">
      <c r="A473" s="345"/>
      <c r="B473" s="320" t="s">
        <v>393</v>
      </c>
      <c r="AH473" s="346"/>
    </row>
    <row r="474" spans="1:34" hidden="1">
      <c r="A474" s="345"/>
      <c r="B474" s="320" t="s">
        <v>394</v>
      </c>
      <c r="AH474" s="346"/>
    </row>
    <row r="475" spans="1:34" hidden="1">
      <c r="A475" s="345"/>
      <c r="B475" s="320" t="s">
        <v>395</v>
      </c>
      <c r="AH475" s="346"/>
    </row>
    <row r="476" spans="1:34" hidden="1">
      <c r="A476" s="345"/>
      <c r="B476" s="320" t="s">
        <v>396</v>
      </c>
      <c r="AH476" s="346"/>
    </row>
    <row r="477" spans="1:34" hidden="1">
      <c r="A477" s="345"/>
      <c r="B477" s="320" t="s">
        <v>397</v>
      </c>
      <c r="AH477" s="346"/>
    </row>
    <row r="478" spans="1:34" hidden="1">
      <c r="A478" s="345"/>
      <c r="B478" s="320" t="s">
        <v>398</v>
      </c>
      <c r="AH478" s="346"/>
    </row>
    <row r="479" spans="1:34" hidden="1">
      <c r="A479" s="345"/>
      <c r="B479" s="320" t="s">
        <v>399</v>
      </c>
      <c r="AH479" s="346"/>
    </row>
    <row r="480" spans="1:34" hidden="1">
      <c r="A480" s="345"/>
      <c r="B480" s="320" t="s">
        <v>400</v>
      </c>
      <c r="AH480" s="346"/>
    </row>
    <row r="481" spans="1:34" hidden="1">
      <c r="A481" s="345"/>
      <c r="B481" s="320" t="s">
        <v>401</v>
      </c>
      <c r="AH481" s="346"/>
    </row>
    <row r="482" spans="1:34" hidden="1">
      <c r="A482" s="345"/>
      <c r="AH482" s="346"/>
    </row>
    <row r="483" spans="1:34" hidden="1">
      <c r="A483" s="345"/>
      <c r="B483" s="320" t="s">
        <v>402</v>
      </c>
      <c r="AH483" s="346"/>
    </row>
    <row r="484" spans="1:34" hidden="1">
      <c r="A484" s="345"/>
      <c r="B484" s="320" t="s">
        <v>403</v>
      </c>
      <c r="AH484" s="346"/>
    </row>
    <row r="485" spans="1:34" hidden="1">
      <c r="A485" s="345"/>
      <c r="B485" s="320" t="s">
        <v>404</v>
      </c>
      <c r="AH485" s="346"/>
    </row>
    <row r="486" spans="1:34" hidden="1">
      <c r="A486" s="345"/>
      <c r="B486" s="320" t="s">
        <v>405</v>
      </c>
      <c r="AH486" s="346"/>
    </row>
    <row r="487" spans="1:34" hidden="1">
      <c r="A487" s="345"/>
      <c r="B487" s="320" t="s">
        <v>406</v>
      </c>
      <c r="AH487" s="346"/>
    </row>
    <row r="488" spans="1:34" hidden="1">
      <c r="A488" s="345"/>
      <c r="B488" s="320" t="s">
        <v>407</v>
      </c>
      <c r="AH488" s="346"/>
    </row>
    <row r="489" spans="1:34" hidden="1">
      <c r="A489" s="345"/>
      <c r="B489" s="320" t="s">
        <v>408</v>
      </c>
      <c r="AH489" s="346"/>
    </row>
    <row r="490" spans="1:34" hidden="1">
      <c r="A490" s="345"/>
      <c r="B490" s="320" t="s">
        <v>409</v>
      </c>
      <c r="AH490" s="346"/>
    </row>
    <row r="491" spans="1:34" hidden="1">
      <c r="A491" s="345"/>
      <c r="B491" s="320" t="s">
        <v>410</v>
      </c>
      <c r="AH491" s="346"/>
    </row>
    <row r="492" spans="1:34" hidden="1">
      <c r="A492" s="345"/>
      <c r="B492" s="320" t="s">
        <v>411</v>
      </c>
      <c r="AH492" s="346"/>
    </row>
    <row r="493" spans="1:34" hidden="1">
      <c r="A493" s="345"/>
      <c r="AH493" s="346"/>
    </row>
    <row r="494" spans="1:34" hidden="1">
      <c r="A494" s="345"/>
      <c r="B494" s="320" t="s">
        <v>412</v>
      </c>
      <c r="AH494" s="346"/>
    </row>
    <row r="495" spans="1:34" hidden="1">
      <c r="A495" s="345"/>
      <c r="B495" s="320" t="s">
        <v>413</v>
      </c>
      <c r="AH495" s="346"/>
    </row>
    <row r="496" spans="1:34" hidden="1">
      <c r="A496" s="345"/>
      <c r="B496" s="320" t="s">
        <v>414</v>
      </c>
      <c r="AH496" s="346"/>
    </row>
    <row r="497" spans="1:34" hidden="1">
      <c r="A497" s="345"/>
      <c r="B497" s="320" t="s">
        <v>415</v>
      </c>
      <c r="AH497" s="346"/>
    </row>
    <row r="498" spans="1:34" hidden="1">
      <c r="A498" s="345"/>
      <c r="B498" s="320" t="s">
        <v>416</v>
      </c>
      <c r="AH498" s="346"/>
    </row>
    <row r="499" spans="1:34" hidden="1">
      <c r="A499" s="345"/>
      <c r="B499" s="320" t="s">
        <v>417</v>
      </c>
      <c r="AH499" s="346"/>
    </row>
    <row r="500" spans="1:34" hidden="1">
      <c r="A500" s="345"/>
      <c r="B500" s="320" t="s">
        <v>418</v>
      </c>
      <c r="AH500" s="346"/>
    </row>
    <row r="501" spans="1:34" hidden="1">
      <c r="A501" s="345"/>
      <c r="B501" s="320" t="s">
        <v>419</v>
      </c>
      <c r="AH501" s="346"/>
    </row>
    <row r="502" spans="1:34" hidden="1">
      <c r="A502" s="345"/>
      <c r="B502" s="320" t="s">
        <v>420</v>
      </c>
      <c r="AH502" s="346"/>
    </row>
    <row r="503" spans="1:34" hidden="1">
      <c r="A503" s="345"/>
      <c r="B503" s="320" t="s">
        <v>421</v>
      </c>
      <c r="AH503" s="346"/>
    </row>
    <row r="504" spans="1:34" hidden="1">
      <c r="A504" s="345"/>
      <c r="AH504" s="346"/>
    </row>
    <row r="505" spans="1:34" hidden="1">
      <c r="A505" s="345"/>
      <c r="B505" s="320" t="s">
        <v>422</v>
      </c>
      <c r="AH505" s="346"/>
    </row>
    <row r="506" spans="1:34" hidden="1">
      <c r="A506" s="345"/>
      <c r="B506" s="320" t="s">
        <v>423</v>
      </c>
      <c r="AH506" s="346"/>
    </row>
    <row r="507" spans="1:34" hidden="1">
      <c r="A507" s="345"/>
      <c r="B507" s="320" t="s">
        <v>424</v>
      </c>
      <c r="AH507" s="346"/>
    </row>
    <row r="508" spans="1:34" hidden="1">
      <c r="A508" s="345"/>
      <c r="B508" s="320" t="s">
        <v>425</v>
      </c>
      <c r="AH508" s="346"/>
    </row>
    <row r="509" spans="1:34" hidden="1">
      <c r="A509" s="345"/>
      <c r="B509" s="320" t="s">
        <v>426</v>
      </c>
      <c r="AH509" s="346"/>
    </row>
    <row r="510" spans="1:34" hidden="1">
      <c r="A510" s="345"/>
      <c r="B510" s="320" t="s">
        <v>427</v>
      </c>
      <c r="AH510" s="346"/>
    </row>
    <row r="511" spans="1:34" hidden="1">
      <c r="A511" s="345"/>
      <c r="B511" s="320" t="s">
        <v>428</v>
      </c>
      <c r="AH511" s="346"/>
    </row>
    <row r="512" spans="1:34" hidden="1">
      <c r="A512" s="345"/>
      <c r="B512" s="320" t="s">
        <v>429</v>
      </c>
      <c r="AH512" s="346"/>
    </row>
    <row r="513" spans="1:34" hidden="1">
      <c r="A513" s="345"/>
      <c r="B513" s="320" t="s">
        <v>430</v>
      </c>
      <c r="AH513" s="346"/>
    </row>
    <row r="514" spans="1:34" hidden="1">
      <c r="A514" s="345"/>
      <c r="B514" s="320" t="s">
        <v>431</v>
      </c>
      <c r="AH514" s="346"/>
    </row>
    <row r="515" spans="1:34" hidden="1">
      <c r="A515" s="345"/>
      <c r="AH515" s="346"/>
    </row>
    <row r="516" spans="1:34" hidden="1">
      <c r="A516" s="345"/>
      <c r="B516" s="320" t="s">
        <v>432</v>
      </c>
      <c r="AH516" s="346"/>
    </row>
    <row r="517" spans="1:34" hidden="1">
      <c r="A517" s="345"/>
      <c r="B517" s="320" t="s">
        <v>433</v>
      </c>
      <c r="AH517" s="346"/>
    </row>
    <row r="518" spans="1:34" hidden="1">
      <c r="A518" s="345"/>
      <c r="B518" s="320" t="s">
        <v>434</v>
      </c>
      <c r="AH518" s="346"/>
    </row>
    <row r="519" spans="1:34" hidden="1">
      <c r="A519" s="345"/>
      <c r="B519" s="320" t="s">
        <v>435</v>
      </c>
      <c r="AH519" s="346"/>
    </row>
    <row r="520" spans="1:34" hidden="1">
      <c r="A520" s="345"/>
      <c r="B520" s="320" t="s">
        <v>436</v>
      </c>
      <c r="AH520" s="346"/>
    </row>
    <row r="521" spans="1:34" hidden="1">
      <c r="A521" s="345"/>
      <c r="B521" s="320" t="s">
        <v>437</v>
      </c>
      <c r="AH521" s="346"/>
    </row>
    <row r="522" spans="1:34" hidden="1">
      <c r="A522" s="345"/>
      <c r="B522" s="320" t="s">
        <v>438</v>
      </c>
      <c r="AH522" s="346"/>
    </row>
    <row r="523" spans="1:34" hidden="1">
      <c r="A523" s="345"/>
      <c r="B523" s="320" t="s">
        <v>439</v>
      </c>
      <c r="AH523" s="346"/>
    </row>
    <row r="524" spans="1:34" hidden="1">
      <c r="A524" s="345"/>
      <c r="B524" s="320" t="s">
        <v>440</v>
      </c>
      <c r="AH524" s="346"/>
    </row>
    <row r="525" spans="1:34" hidden="1">
      <c r="A525" s="345"/>
      <c r="B525" s="320" t="s">
        <v>441</v>
      </c>
      <c r="AH525" s="346"/>
    </row>
    <row r="526" spans="1:34" hidden="1">
      <c r="A526" s="345"/>
      <c r="AH526" s="346"/>
    </row>
    <row r="527" spans="1:34" hidden="1">
      <c r="A527" s="345"/>
      <c r="B527" s="320" t="s">
        <v>442</v>
      </c>
      <c r="AH527" s="346"/>
    </row>
    <row r="528" spans="1:34" hidden="1">
      <c r="A528" s="345"/>
      <c r="B528" s="320" t="s">
        <v>443</v>
      </c>
      <c r="AH528" s="346"/>
    </row>
    <row r="529" spans="1:34" hidden="1">
      <c r="A529" s="345"/>
      <c r="B529" s="320" t="s">
        <v>444</v>
      </c>
      <c r="AH529" s="346"/>
    </row>
    <row r="530" spans="1:34" hidden="1">
      <c r="A530" s="345"/>
      <c r="B530" s="320" t="s">
        <v>445</v>
      </c>
      <c r="AH530" s="346"/>
    </row>
    <row r="531" spans="1:34" hidden="1">
      <c r="A531" s="345"/>
      <c r="B531" s="320" t="s">
        <v>446</v>
      </c>
      <c r="AH531" s="346"/>
    </row>
    <row r="532" spans="1:34" hidden="1">
      <c r="A532" s="345"/>
      <c r="B532" s="320" t="s">
        <v>447</v>
      </c>
      <c r="AH532" s="346"/>
    </row>
    <row r="533" spans="1:34" hidden="1">
      <c r="A533" s="345"/>
      <c r="B533" s="320" t="s">
        <v>448</v>
      </c>
      <c r="AH533" s="346"/>
    </row>
    <row r="534" spans="1:34" hidden="1">
      <c r="A534" s="345"/>
      <c r="B534" s="320" t="s">
        <v>449</v>
      </c>
      <c r="AH534" s="346"/>
    </row>
    <row r="535" spans="1:34" hidden="1">
      <c r="A535" s="345"/>
      <c r="B535" s="320" t="s">
        <v>450</v>
      </c>
      <c r="AH535" s="346"/>
    </row>
    <row r="536" spans="1:34" hidden="1">
      <c r="A536" s="345"/>
      <c r="B536" s="320" t="s">
        <v>451</v>
      </c>
      <c r="AH536" s="346"/>
    </row>
    <row r="537" spans="1:34" hidden="1">
      <c r="A537" s="345"/>
      <c r="AH537" s="346"/>
    </row>
    <row r="538" spans="1:34" hidden="1">
      <c r="A538" s="345"/>
      <c r="B538" s="320" t="s">
        <v>452</v>
      </c>
      <c r="AH538" s="346"/>
    </row>
    <row r="539" spans="1:34" hidden="1">
      <c r="A539" s="345"/>
      <c r="B539" s="320" t="s">
        <v>453</v>
      </c>
      <c r="AH539" s="346"/>
    </row>
    <row r="540" spans="1:34" hidden="1">
      <c r="A540" s="345"/>
      <c r="B540" s="320" t="s">
        <v>454</v>
      </c>
      <c r="AH540" s="346"/>
    </row>
    <row r="541" spans="1:34" hidden="1">
      <c r="A541" s="345"/>
      <c r="B541" s="320" t="s">
        <v>455</v>
      </c>
      <c r="AH541" s="346"/>
    </row>
    <row r="542" spans="1:34" hidden="1">
      <c r="A542" s="345"/>
      <c r="B542" s="320" t="s">
        <v>456</v>
      </c>
      <c r="AH542" s="346"/>
    </row>
    <row r="543" spans="1:34" hidden="1">
      <c r="A543" s="345"/>
      <c r="B543" s="320" t="s">
        <v>457</v>
      </c>
      <c r="AH543" s="346"/>
    </row>
    <row r="544" spans="1:34" hidden="1">
      <c r="A544" s="345"/>
      <c r="B544" s="320" t="s">
        <v>458</v>
      </c>
      <c r="AH544" s="346"/>
    </row>
    <row r="545" spans="1:34" hidden="1">
      <c r="A545" s="345"/>
      <c r="B545" s="320" t="s">
        <v>459</v>
      </c>
      <c r="AH545" s="346"/>
    </row>
    <row r="546" spans="1:34" hidden="1">
      <c r="A546" s="345"/>
      <c r="B546" s="320" t="s">
        <v>460</v>
      </c>
      <c r="AH546" s="346"/>
    </row>
    <row r="547" spans="1:34" hidden="1">
      <c r="A547" s="345"/>
      <c r="B547" s="320" t="s">
        <v>461</v>
      </c>
      <c r="AH547" s="346"/>
    </row>
    <row r="548" spans="1:34" hidden="1">
      <c r="A548" s="345"/>
      <c r="B548" s="320" t="s">
        <v>462</v>
      </c>
      <c r="AH548" s="346"/>
    </row>
    <row r="549" spans="1:34" hidden="1">
      <c r="A549" s="345"/>
      <c r="B549" s="320" t="s">
        <v>463</v>
      </c>
      <c r="AH549" s="346"/>
    </row>
    <row r="550" spans="1:34" hidden="1">
      <c r="A550" s="345"/>
      <c r="B550" s="320" t="s">
        <v>464</v>
      </c>
      <c r="AH550" s="346"/>
    </row>
    <row r="551" spans="1:34" hidden="1">
      <c r="A551" s="345"/>
      <c r="B551" s="320" t="s">
        <v>465</v>
      </c>
      <c r="AH551" s="346"/>
    </row>
    <row r="552" spans="1:34" hidden="1">
      <c r="A552" s="345"/>
      <c r="B552" s="320" t="s">
        <v>466</v>
      </c>
      <c r="AH552" s="346"/>
    </row>
    <row r="553" spans="1:34" hidden="1">
      <c r="A553" s="345"/>
      <c r="B553" s="320" t="s">
        <v>467</v>
      </c>
      <c r="AH553" s="346"/>
    </row>
    <row r="554" spans="1:34" hidden="1">
      <c r="A554" s="345"/>
      <c r="AH554" s="346"/>
    </row>
    <row r="555" spans="1:34">
      <c r="A555" s="345"/>
      <c r="AH555" s="346"/>
    </row>
    <row r="556" spans="1:34">
      <c r="A556" s="345"/>
      <c r="B556" s="320" t="s">
        <v>639</v>
      </c>
      <c r="AH556" s="346"/>
    </row>
    <row r="557" spans="1:34">
      <c r="A557" s="345"/>
      <c r="AH557" s="346"/>
    </row>
    <row r="558" spans="1:34">
      <c r="A558" s="345"/>
      <c r="B558" s="320" t="s">
        <v>684</v>
      </c>
      <c r="AH558" s="346"/>
    </row>
    <row r="559" spans="1:34">
      <c r="A559" s="345"/>
      <c r="AH559" s="346"/>
    </row>
    <row r="560" spans="1:34">
      <c r="A560" s="345"/>
      <c r="C560" s="320" t="s">
        <v>607</v>
      </c>
      <c r="AH560" s="346"/>
    </row>
    <row r="561" spans="1:34">
      <c r="A561" s="345"/>
      <c r="C561" s="320" t="s">
        <v>608</v>
      </c>
      <c r="AH561" s="346"/>
    </row>
    <row r="562" spans="1:34">
      <c r="A562" s="345"/>
      <c r="C562" s="320" t="s">
        <v>609</v>
      </c>
      <c r="AH562" s="346"/>
    </row>
    <row r="563" spans="1:34">
      <c r="A563" s="345"/>
      <c r="D563" s="320" t="s">
        <v>610</v>
      </c>
      <c r="AH563" s="346"/>
    </row>
    <row r="564" spans="1:34">
      <c r="A564" s="345"/>
      <c r="E564" s="320" t="s">
        <v>611</v>
      </c>
      <c r="AH564" s="346"/>
    </row>
    <row r="565" spans="1:34">
      <c r="A565" s="345"/>
      <c r="C565" s="320" t="s">
        <v>612</v>
      </c>
      <c r="AH565" s="346"/>
    </row>
    <row r="566" spans="1:34">
      <c r="A566" s="345"/>
      <c r="D566" s="320" t="s">
        <v>613</v>
      </c>
      <c r="AH566" s="346"/>
    </row>
    <row r="567" spans="1:34">
      <c r="A567" s="345"/>
      <c r="E567" s="320" t="s">
        <v>614</v>
      </c>
      <c r="AH567" s="346"/>
    </row>
    <row r="568" spans="1:34">
      <c r="A568" s="345"/>
      <c r="D568" s="320" t="s">
        <v>610</v>
      </c>
      <c r="AH568" s="346"/>
    </row>
    <row r="569" spans="1:34">
      <c r="A569" s="345"/>
      <c r="E569" s="320" t="s">
        <v>615</v>
      </c>
      <c r="AH569" s="346"/>
    </row>
    <row r="570" spans="1:34">
      <c r="A570" s="345"/>
      <c r="C570" s="320" t="s">
        <v>616</v>
      </c>
      <c r="AH570" s="346"/>
    </row>
    <row r="571" spans="1:34">
      <c r="A571" s="345"/>
      <c r="C571" s="320" t="s">
        <v>632</v>
      </c>
      <c r="AH571" s="346"/>
    </row>
    <row r="572" spans="1:34">
      <c r="A572" s="345"/>
      <c r="C572" s="320" t="s">
        <v>633</v>
      </c>
      <c r="AH572" s="346"/>
    </row>
    <row r="573" spans="1:34">
      <c r="A573" s="345"/>
      <c r="C573" s="320" t="s">
        <v>634</v>
      </c>
      <c r="AH573" s="346"/>
    </row>
    <row r="574" spans="1:34">
      <c r="A574" s="345"/>
      <c r="C574" s="320" t="s">
        <v>635</v>
      </c>
      <c r="AH574" s="346"/>
    </row>
    <row r="575" spans="1:34">
      <c r="A575" s="345"/>
      <c r="C575" s="320" t="s">
        <v>636</v>
      </c>
      <c r="AH575" s="346"/>
    </row>
    <row r="576" spans="1:34">
      <c r="A576" s="345"/>
      <c r="C576" s="320" t="s">
        <v>637</v>
      </c>
      <c r="AH576" s="346"/>
    </row>
    <row r="577" spans="1:34">
      <c r="A577" s="345"/>
      <c r="C577" s="320" t="s">
        <v>638</v>
      </c>
      <c r="AH577" s="346"/>
    </row>
    <row r="578" spans="1:34">
      <c r="A578" s="345"/>
      <c r="C578" s="320" t="s">
        <v>617</v>
      </c>
      <c r="AH578" s="346"/>
    </row>
    <row r="579" spans="1:34">
      <c r="A579" s="345"/>
      <c r="C579" s="320" t="s">
        <v>618</v>
      </c>
      <c r="AH579" s="346"/>
    </row>
    <row r="580" spans="1:34">
      <c r="A580" s="345"/>
      <c r="AH580" s="346"/>
    </row>
    <row r="581" spans="1:34">
      <c r="A581" s="345"/>
      <c r="C581" s="320" t="s">
        <v>619</v>
      </c>
      <c r="AH581" s="346"/>
    </row>
    <row r="582" spans="1:34">
      <c r="A582" s="345"/>
      <c r="D582" s="320" t="s">
        <v>620</v>
      </c>
      <c r="AH582" s="346"/>
    </row>
    <row r="583" spans="1:34">
      <c r="A583" s="345"/>
      <c r="D583" s="320" t="s">
        <v>621</v>
      </c>
      <c r="AH583" s="346"/>
    </row>
    <row r="584" spans="1:34">
      <c r="A584" s="345"/>
      <c r="C584" s="320" t="s">
        <v>622</v>
      </c>
      <c r="AH584" s="346"/>
    </row>
    <row r="585" spans="1:34">
      <c r="A585" s="345"/>
      <c r="D585" s="320" t="s">
        <v>623</v>
      </c>
      <c r="AH585" s="346"/>
    </row>
    <row r="586" spans="1:34">
      <c r="A586" s="345"/>
      <c r="D586" s="320" t="s">
        <v>624</v>
      </c>
      <c r="AH586" s="346"/>
    </row>
    <row r="587" spans="1:34">
      <c r="A587" s="345"/>
      <c r="C587" s="320" t="s">
        <v>625</v>
      </c>
      <c r="AH587" s="346"/>
    </row>
    <row r="588" spans="1:34">
      <c r="A588" s="345"/>
      <c r="D588" s="320" t="s">
        <v>626</v>
      </c>
      <c r="AH588" s="346"/>
    </row>
    <row r="589" spans="1:34">
      <c r="A589" s="345"/>
      <c r="AH589" s="346"/>
    </row>
    <row r="590" spans="1:34">
      <c r="A590" s="345"/>
      <c r="C590" s="320" t="s">
        <v>627</v>
      </c>
      <c r="AH590" s="346"/>
    </row>
    <row r="591" spans="1:34">
      <c r="A591" s="345"/>
      <c r="C591" s="320" t="s">
        <v>628</v>
      </c>
      <c r="AH591" s="346"/>
    </row>
    <row r="592" spans="1:34">
      <c r="A592" s="345"/>
      <c r="C592" s="320" t="s">
        <v>629</v>
      </c>
      <c r="AH592" s="346"/>
    </row>
    <row r="593" spans="1:34">
      <c r="A593" s="345"/>
      <c r="C593" s="320" t="s">
        <v>630</v>
      </c>
      <c r="AH593" s="346"/>
    </row>
    <row r="594" spans="1:34">
      <c r="A594" s="345"/>
      <c r="AH594" s="346"/>
    </row>
    <row r="595" spans="1:34">
      <c r="A595" s="345"/>
      <c r="C595" s="320" t="s">
        <v>631</v>
      </c>
      <c r="AH595" s="346"/>
    </row>
    <row r="596" spans="1:34">
      <c r="A596" s="345"/>
      <c r="D596" s="320" t="s">
        <v>685</v>
      </c>
      <c r="AH596" s="346"/>
    </row>
    <row r="597" spans="1:34">
      <c r="A597" s="345"/>
      <c r="AH597" s="346"/>
    </row>
    <row r="598" spans="1:34">
      <c r="A598" s="345"/>
      <c r="AH598" s="346"/>
    </row>
    <row r="599" spans="1:34">
      <c r="A599" s="637" t="s">
        <v>43</v>
      </c>
      <c r="B599" s="638"/>
      <c r="C599" s="638"/>
      <c r="D599" s="638"/>
      <c r="E599" s="638"/>
      <c r="F599" s="638"/>
      <c r="G599" s="638"/>
      <c r="H599" s="638"/>
      <c r="I599" s="638"/>
      <c r="J599" s="638"/>
      <c r="K599" s="638"/>
      <c r="L599" s="638"/>
      <c r="M599" s="638"/>
      <c r="N599" s="638"/>
      <c r="O599" s="638"/>
      <c r="P599" s="638"/>
      <c r="Q599" s="638"/>
      <c r="R599" s="638"/>
      <c r="S599" s="638"/>
      <c r="T599" s="638"/>
      <c r="U599" s="638"/>
      <c r="V599" s="638"/>
      <c r="W599" s="638"/>
      <c r="X599" s="638"/>
      <c r="Y599" s="638"/>
      <c r="Z599" s="638"/>
      <c r="AA599" s="638"/>
      <c r="AB599" s="638"/>
      <c r="AC599" s="638"/>
      <c r="AD599" s="638"/>
      <c r="AE599" s="638"/>
      <c r="AF599" s="638"/>
      <c r="AG599" s="638"/>
      <c r="AH599" s="639"/>
    </row>
    <row r="600" spans="1:34">
      <c r="A600" s="345"/>
      <c r="M600" s="636"/>
      <c r="N600" s="636"/>
      <c r="O600" s="636"/>
      <c r="AH600" s="346"/>
    </row>
    <row r="601" spans="1:34">
      <c r="A601" s="345"/>
      <c r="B601" s="320" t="s">
        <v>44</v>
      </c>
      <c r="AH601" s="346"/>
    </row>
    <row r="602" spans="1:34">
      <c r="A602" s="345"/>
      <c r="M602" s="636"/>
      <c r="N602" s="636"/>
      <c r="O602" s="636"/>
      <c r="AH602" s="346"/>
    </row>
    <row r="603" spans="1:34">
      <c r="A603" s="345"/>
      <c r="AH603" s="346"/>
    </row>
    <row r="604" spans="1:34">
      <c r="A604" s="352"/>
      <c r="B604" s="353"/>
      <c r="C604" s="353"/>
      <c r="D604" s="353"/>
      <c r="E604" s="353"/>
      <c r="F604" s="353"/>
      <c r="G604" s="353"/>
      <c r="H604" s="353"/>
      <c r="I604" s="353"/>
      <c r="J604" s="353"/>
      <c r="K604" s="353"/>
      <c r="L604" s="353"/>
      <c r="M604" s="641"/>
      <c r="N604" s="641"/>
      <c r="O604" s="641"/>
      <c r="P604" s="353"/>
      <c r="Q604" s="353"/>
      <c r="R604" s="353"/>
      <c r="S604" s="353"/>
      <c r="T604" s="353"/>
      <c r="U604" s="353"/>
      <c r="V604" s="353"/>
      <c r="W604" s="353"/>
      <c r="X604" s="353"/>
      <c r="Y604" s="353"/>
      <c r="Z604" s="353"/>
      <c r="AA604" s="353"/>
      <c r="AB604" s="353"/>
      <c r="AC604" s="353"/>
      <c r="AD604" s="353"/>
      <c r="AE604" s="353"/>
      <c r="AF604" s="353"/>
      <c r="AG604" s="353"/>
      <c r="AH604" s="354"/>
    </row>
  </sheetData>
  <autoFilter ref="A9:AH598"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68">
    <mergeCell ref="M604:O604"/>
    <mergeCell ref="M192:O192"/>
    <mergeCell ref="M195:O195"/>
    <mergeCell ref="M198:O198"/>
    <mergeCell ref="M201:O201"/>
    <mergeCell ref="M205:O205"/>
    <mergeCell ref="A206:AH206"/>
    <mergeCell ref="M207:O207"/>
    <mergeCell ref="M208:O208"/>
    <mergeCell ref="A599:AH599"/>
    <mergeCell ref="M600:O600"/>
    <mergeCell ref="M602:O602"/>
    <mergeCell ref="M190:O190"/>
    <mergeCell ref="M29:O29"/>
    <mergeCell ref="M30:O30"/>
    <mergeCell ref="M31:O31"/>
    <mergeCell ref="A32:AH32"/>
    <mergeCell ref="M33:O33"/>
    <mergeCell ref="M34:O34"/>
    <mergeCell ref="M35:O35"/>
    <mergeCell ref="M56:O56"/>
    <mergeCell ref="M124:O124"/>
    <mergeCell ref="M186:O186"/>
    <mergeCell ref="M188:O188"/>
    <mergeCell ref="M28:O28"/>
    <mergeCell ref="M17:O17"/>
    <mergeCell ref="M18:O18"/>
    <mergeCell ref="M19:O19"/>
    <mergeCell ref="M20:O20"/>
    <mergeCell ref="M21:O21"/>
    <mergeCell ref="M22:O22"/>
    <mergeCell ref="M23:O23"/>
    <mergeCell ref="M24:O24"/>
    <mergeCell ref="M25:O25"/>
    <mergeCell ref="M26:O26"/>
    <mergeCell ref="M27:O27"/>
    <mergeCell ref="M16:O16"/>
    <mergeCell ref="J8:J9"/>
    <mergeCell ref="K8:O8"/>
    <mergeCell ref="P8:AA9"/>
    <mergeCell ref="AB8:AH9"/>
    <mergeCell ref="M9:O9"/>
    <mergeCell ref="M10:O10"/>
    <mergeCell ref="M11:O11"/>
    <mergeCell ref="M12:O12"/>
    <mergeCell ref="M13:O13"/>
    <mergeCell ref="M14:O14"/>
    <mergeCell ref="M15:O15"/>
    <mergeCell ref="A6:B6"/>
    <mergeCell ref="C6:D6"/>
    <mergeCell ref="E6:F6"/>
    <mergeCell ref="A8:A9"/>
    <mergeCell ref="B8:C9"/>
    <mergeCell ref="D8:D9"/>
    <mergeCell ref="E8:E9"/>
    <mergeCell ref="F8:H8"/>
    <mergeCell ref="AC1:AH1"/>
    <mergeCell ref="A4:B4"/>
    <mergeCell ref="M4:Q4"/>
    <mergeCell ref="R4:W4"/>
    <mergeCell ref="X4:AB4"/>
    <mergeCell ref="AC4:AH4"/>
    <mergeCell ref="A1:B1"/>
    <mergeCell ref="C1:D1"/>
    <mergeCell ref="E1:L4"/>
    <mergeCell ref="M1:Q1"/>
    <mergeCell ref="R1:W1"/>
    <mergeCell ref="X1:AB1"/>
  </mergeCells>
  <phoneticPr fontId="15"/>
  <dataValidations count="1">
    <dataValidation imeMode="on" allowBlank="1" showInputMessage="1" showErrorMessage="1" sqref="C10:C31 C600:C604 C33:C56 C124:C205 C207:C598" xr:uid="{73EDAFF9-4BD6-4F9A-95D2-47A5AA03CC24}"/>
  </dataValidations>
  <pageMargins left="0.19685039370078741" right="0.19685039370078741" top="0.39370078740157483" bottom="0.39370078740157483" header="0" footer="0.19685039370078741"/>
  <pageSetup paperSize="9" scale="58"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E397B-3F5B-4CE4-A453-47BCAEAB8AD1}">
  <sheetPr>
    <pageSetUpPr fitToPage="1"/>
  </sheetPr>
  <dimension ref="A1:AP545"/>
  <sheetViews>
    <sheetView showGridLines="0" view="pageBreakPreview" zoomScale="85" zoomScaleNormal="70" zoomScaleSheetLayoutView="85" workbookViewId="0">
      <pane ySplit="6" topLeftCell="A23" activePane="bottomLeft" state="frozen"/>
      <selection activeCell="P19" sqref="P19:AA32"/>
      <selection pane="bottomLeft" activeCell="P19" sqref="P19:AA32"/>
    </sheetView>
  </sheetViews>
  <sheetFormatPr defaultColWidth="9" defaultRowHeight="15.75"/>
  <cols>
    <col min="1" max="1" width="4.375" style="201" customWidth="1"/>
    <col min="2" max="2" width="29.75" style="201" customWidth="1"/>
    <col min="3" max="3" width="19.5" style="201" customWidth="1"/>
    <col min="4" max="5" width="9" style="201" customWidth="1"/>
    <col min="6" max="6" width="5.875" style="201" customWidth="1"/>
    <col min="7" max="7" width="3.875" style="201" customWidth="1"/>
    <col min="8" max="8" width="9" style="201" customWidth="1"/>
    <col min="9" max="9" width="1.125" style="201" customWidth="1"/>
    <col min="10" max="10" width="9" style="201" customWidth="1"/>
    <col min="11" max="11" width="11.75" style="201" customWidth="1"/>
    <col min="12" max="12" width="9" style="201" customWidth="1"/>
    <col min="13" max="34" width="3.125" style="201" customWidth="1"/>
    <col min="35" max="35" width="9" style="201"/>
    <col min="36" max="36" width="15.625" style="201" customWidth="1"/>
    <col min="37" max="37" width="9" style="201"/>
    <col min="38" max="38" width="16.5" style="201" customWidth="1"/>
    <col min="39" max="41" width="9" style="201"/>
    <col min="42" max="42" width="15.5" style="201" customWidth="1"/>
    <col min="43" max="16384" width="9" style="201"/>
  </cols>
  <sheetData>
    <row r="1" spans="1:42" ht="15.75" customHeight="1">
      <c r="A1" s="665"/>
      <c r="B1" s="665"/>
      <c r="C1" s="667"/>
      <c r="D1" s="667"/>
      <c r="E1" s="668"/>
      <c r="F1" s="668"/>
      <c r="G1" s="668"/>
      <c r="H1" s="668"/>
      <c r="I1" s="668"/>
      <c r="J1" s="668"/>
      <c r="K1" s="668"/>
      <c r="L1" s="668"/>
      <c r="M1" s="665"/>
      <c r="N1" s="665"/>
      <c r="O1" s="665"/>
      <c r="P1" s="665"/>
      <c r="Q1" s="665"/>
      <c r="R1" s="669"/>
      <c r="S1" s="664"/>
      <c r="T1" s="664"/>
      <c r="U1" s="664"/>
      <c r="V1" s="664"/>
      <c r="W1" s="664"/>
      <c r="X1" s="665"/>
      <c r="Y1" s="665"/>
      <c r="Z1" s="665"/>
      <c r="AA1" s="665"/>
      <c r="AB1" s="665"/>
      <c r="AC1" s="664"/>
      <c r="AD1" s="664"/>
      <c r="AE1" s="664"/>
      <c r="AF1" s="664"/>
      <c r="AG1" s="664"/>
      <c r="AH1" s="664"/>
    </row>
    <row r="2" spans="1:42" ht="15.75" customHeight="1">
      <c r="A2" s="202"/>
      <c r="B2" s="202"/>
      <c r="C2" s="203"/>
      <c r="D2" s="203"/>
      <c r="E2" s="668"/>
      <c r="F2" s="668"/>
      <c r="G2" s="668"/>
      <c r="H2" s="668"/>
      <c r="I2" s="668"/>
      <c r="J2" s="668"/>
      <c r="K2" s="668"/>
      <c r="L2" s="668"/>
      <c r="M2" s="202"/>
      <c r="N2" s="202"/>
      <c r="O2" s="202"/>
      <c r="P2" s="202"/>
      <c r="Q2" s="202"/>
      <c r="R2" s="204"/>
      <c r="S2" s="205"/>
      <c r="T2" s="205"/>
      <c r="U2" s="205"/>
      <c r="V2" s="205"/>
      <c r="W2" s="205"/>
      <c r="X2" s="202"/>
      <c r="Y2" s="202"/>
      <c r="Z2" s="202"/>
      <c r="AA2" s="202"/>
      <c r="AB2" s="202"/>
      <c r="AC2" s="205"/>
      <c r="AD2" s="205"/>
      <c r="AE2" s="205"/>
      <c r="AF2" s="205"/>
      <c r="AG2" s="205"/>
      <c r="AH2" s="205"/>
    </row>
    <row r="3" spans="1:42" ht="15.75" customHeight="1">
      <c r="A3" s="202"/>
      <c r="B3" s="202"/>
      <c r="C3" s="203"/>
      <c r="D3" s="203"/>
      <c r="E3" s="668"/>
      <c r="F3" s="668"/>
      <c r="G3" s="668"/>
      <c r="H3" s="668"/>
      <c r="I3" s="668"/>
      <c r="J3" s="668"/>
      <c r="K3" s="668"/>
      <c r="L3" s="668"/>
      <c r="M3" s="202"/>
      <c r="N3" s="202"/>
      <c r="O3" s="202"/>
      <c r="P3" s="202"/>
      <c r="Q3" s="202"/>
      <c r="R3" s="204"/>
      <c r="S3" s="205"/>
      <c r="T3" s="205"/>
      <c r="U3" s="205"/>
      <c r="V3" s="205"/>
      <c r="W3" s="205"/>
      <c r="X3" s="202"/>
      <c r="Y3" s="202"/>
      <c r="Z3" s="202"/>
      <c r="AA3" s="202"/>
      <c r="AB3" s="202"/>
      <c r="AC3" s="205"/>
      <c r="AD3" s="205"/>
      <c r="AE3" s="205"/>
      <c r="AF3" s="205"/>
      <c r="AG3" s="205"/>
      <c r="AH3" s="205"/>
    </row>
    <row r="4" spans="1:42" ht="15.75" customHeight="1">
      <c r="A4" s="665"/>
      <c r="B4" s="665"/>
      <c r="C4" s="205"/>
      <c r="E4" s="668"/>
      <c r="F4" s="668"/>
      <c r="G4" s="668"/>
      <c r="H4" s="668"/>
      <c r="I4" s="668"/>
      <c r="J4" s="668"/>
      <c r="K4" s="668"/>
      <c r="L4" s="668"/>
      <c r="M4" s="665"/>
      <c r="N4" s="665"/>
      <c r="O4" s="665"/>
      <c r="P4" s="665"/>
      <c r="Q4" s="665"/>
      <c r="R4" s="666"/>
      <c r="S4" s="664"/>
      <c r="T4" s="664"/>
      <c r="U4" s="664"/>
      <c r="V4" s="664"/>
      <c r="W4" s="664"/>
      <c r="X4" s="665"/>
      <c r="Y4" s="665"/>
      <c r="Z4" s="665"/>
      <c r="AA4" s="665"/>
      <c r="AB4" s="665"/>
      <c r="AC4" s="664"/>
      <c r="AD4" s="664"/>
      <c r="AE4" s="664"/>
      <c r="AF4" s="664"/>
      <c r="AG4" s="664"/>
      <c r="AH4" s="664"/>
    </row>
    <row r="5" spans="1:42" ht="5.25" customHeight="1"/>
    <row r="6" spans="1:42">
      <c r="A6" s="656" t="s">
        <v>20</v>
      </c>
      <c r="B6" s="657"/>
      <c r="C6" s="658" t="s">
        <v>45</v>
      </c>
      <c r="D6" s="659"/>
      <c r="E6" s="660" t="s">
        <v>21</v>
      </c>
      <c r="F6" s="660"/>
      <c r="G6" s="206" t="s">
        <v>46</v>
      </c>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8"/>
    </row>
    <row r="7" spans="1:42" ht="5.25" customHeight="1"/>
    <row r="8" spans="1:42">
      <c r="A8" s="651" t="s">
        <v>22</v>
      </c>
      <c r="B8" s="651" t="s">
        <v>23</v>
      </c>
      <c r="C8" s="651"/>
      <c r="D8" s="651" t="s">
        <v>24</v>
      </c>
      <c r="E8" s="662" t="s">
        <v>25</v>
      </c>
      <c r="F8" s="651" t="s">
        <v>26</v>
      </c>
      <c r="G8" s="651"/>
      <c r="H8" s="651"/>
      <c r="I8" s="209"/>
      <c r="J8" s="649" t="s">
        <v>27</v>
      </c>
      <c r="K8" s="651" t="s">
        <v>28</v>
      </c>
      <c r="L8" s="651"/>
      <c r="M8" s="651"/>
      <c r="N8" s="651"/>
      <c r="O8" s="651"/>
      <c r="P8" s="652" t="s">
        <v>29</v>
      </c>
      <c r="Q8" s="652"/>
      <c r="R8" s="652"/>
      <c r="S8" s="652"/>
      <c r="T8" s="652"/>
      <c r="U8" s="652"/>
      <c r="V8" s="652"/>
      <c r="W8" s="652"/>
      <c r="X8" s="652"/>
      <c r="Y8" s="652"/>
      <c r="Z8" s="652"/>
      <c r="AA8" s="652"/>
      <c r="AB8" s="652" t="s">
        <v>30</v>
      </c>
      <c r="AC8" s="652"/>
      <c r="AD8" s="652"/>
      <c r="AE8" s="652"/>
      <c r="AF8" s="652"/>
      <c r="AG8" s="652"/>
      <c r="AH8" s="652"/>
    </row>
    <row r="9" spans="1:42" ht="16.5" thickBot="1">
      <c r="A9" s="661"/>
      <c r="B9" s="661"/>
      <c r="C9" s="661"/>
      <c r="D9" s="661"/>
      <c r="E9" s="663"/>
      <c r="F9" s="210" t="s">
        <v>31</v>
      </c>
      <c r="G9" s="211" t="s">
        <v>32</v>
      </c>
      <c r="H9" s="212" t="s">
        <v>33</v>
      </c>
      <c r="I9" s="213"/>
      <c r="J9" s="650"/>
      <c r="K9" s="210" t="s">
        <v>34</v>
      </c>
      <c r="L9" s="211" t="s">
        <v>35</v>
      </c>
      <c r="M9" s="654" t="s">
        <v>36</v>
      </c>
      <c r="N9" s="654"/>
      <c r="O9" s="655"/>
      <c r="P9" s="653"/>
      <c r="Q9" s="653"/>
      <c r="R9" s="653"/>
      <c r="S9" s="653"/>
      <c r="T9" s="653"/>
      <c r="U9" s="653"/>
      <c r="V9" s="653"/>
      <c r="W9" s="653"/>
      <c r="X9" s="653"/>
      <c r="Y9" s="653"/>
      <c r="Z9" s="653"/>
      <c r="AA9" s="653"/>
      <c r="AB9" s="653"/>
      <c r="AC9" s="653"/>
      <c r="AD9" s="653"/>
      <c r="AE9" s="653"/>
      <c r="AF9" s="653"/>
      <c r="AG9" s="653"/>
      <c r="AH9" s="653"/>
    </row>
    <row r="10" spans="1:42" ht="16.5" thickTop="1">
      <c r="A10" s="214">
        <f>+IF(C10&lt;&gt;"",ROW()-9,"")</f>
        <v>1</v>
      </c>
      <c r="B10" s="215" t="s">
        <v>227</v>
      </c>
      <c r="C10" s="215" t="s">
        <v>219</v>
      </c>
      <c r="D10" s="216" t="b">
        <v>0</v>
      </c>
      <c r="E10" s="217">
        <v>1</v>
      </c>
      <c r="F10" s="217">
        <v>7</v>
      </c>
      <c r="G10" s="217">
        <v>0</v>
      </c>
      <c r="H10" s="217">
        <v>0</v>
      </c>
      <c r="I10" s="214"/>
      <c r="J10" s="218" t="s">
        <v>130</v>
      </c>
      <c r="K10" s="217"/>
      <c r="L10" s="217"/>
      <c r="M10" s="648"/>
      <c r="N10" s="648"/>
      <c r="O10" s="648"/>
      <c r="P10" s="219"/>
      <c r="Q10" s="219"/>
      <c r="R10" s="219"/>
      <c r="S10" s="219"/>
      <c r="T10" s="219"/>
      <c r="U10" s="219"/>
      <c r="V10" s="219"/>
      <c r="W10" s="219"/>
      <c r="X10" s="219"/>
      <c r="Y10" s="219"/>
      <c r="Z10" s="219"/>
      <c r="AA10" s="219"/>
      <c r="AB10" s="220"/>
      <c r="AC10" s="219"/>
      <c r="AD10" s="219"/>
      <c r="AE10" s="219"/>
      <c r="AF10" s="219"/>
      <c r="AG10" s="219"/>
      <c r="AH10" s="218"/>
      <c r="AJ10" s="201" t="s">
        <v>1097</v>
      </c>
      <c r="AL10" s="201" t="s">
        <v>1098</v>
      </c>
    </row>
    <row r="11" spans="1:42">
      <c r="A11" s="217">
        <f t="shared" ref="A11:A32" si="0">+IF(C11&lt;&gt;"",ROW()-9,"")</f>
        <v>2</v>
      </c>
      <c r="B11" s="217" t="s">
        <v>228</v>
      </c>
      <c r="C11" s="217" t="s">
        <v>108</v>
      </c>
      <c r="D11" s="216" t="b">
        <v>0</v>
      </c>
      <c r="E11" s="217">
        <v>0</v>
      </c>
      <c r="F11" s="217">
        <v>7</v>
      </c>
      <c r="G11" s="217">
        <v>0</v>
      </c>
      <c r="H11" s="217">
        <f t="shared" ref="H11:H32" si="1">IF(C11="","",0)</f>
        <v>0</v>
      </c>
      <c r="I11" s="214"/>
      <c r="J11" s="218" t="s">
        <v>129</v>
      </c>
      <c r="K11" s="217"/>
      <c r="L11" s="217"/>
      <c r="M11" s="648"/>
      <c r="N11" s="648"/>
      <c r="O11" s="648"/>
      <c r="P11" s="214"/>
      <c r="Q11" s="219"/>
      <c r="R11" s="219"/>
      <c r="S11" s="219"/>
      <c r="T11" s="219"/>
      <c r="U11" s="219"/>
      <c r="V11" s="219"/>
      <c r="W11" s="219"/>
      <c r="X11" s="219"/>
      <c r="Y11" s="219"/>
      <c r="Z11" s="219"/>
      <c r="AA11" s="219"/>
      <c r="AB11" s="214"/>
      <c r="AC11" s="219"/>
      <c r="AD11" s="219"/>
      <c r="AE11" s="219"/>
      <c r="AF11" s="219"/>
      <c r="AG11" s="219"/>
      <c r="AH11" s="218"/>
      <c r="AJ11" s="201" t="s">
        <v>1097</v>
      </c>
      <c r="AL11" s="201" t="s">
        <v>1099</v>
      </c>
    </row>
    <row r="12" spans="1:42">
      <c r="A12" s="217">
        <f t="shared" si="0"/>
        <v>3</v>
      </c>
      <c r="B12" s="217" t="s">
        <v>1100</v>
      </c>
      <c r="C12" s="217" t="s">
        <v>1101</v>
      </c>
      <c r="D12" s="216" t="b">
        <v>1</v>
      </c>
      <c r="E12" s="217">
        <v>0</v>
      </c>
      <c r="F12" s="217">
        <v>2</v>
      </c>
      <c r="G12" s="217">
        <v>0</v>
      </c>
      <c r="H12" s="217">
        <f t="shared" si="1"/>
        <v>0</v>
      </c>
      <c r="I12" s="214"/>
      <c r="J12" s="218" t="s">
        <v>1102</v>
      </c>
      <c r="K12" s="217"/>
      <c r="L12" s="217"/>
      <c r="M12" s="648"/>
      <c r="N12" s="648"/>
      <c r="O12" s="648"/>
      <c r="P12" s="214"/>
      <c r="Q12" s="219"/>
      <c r="R12" s="219"/>
      <c r="S12" s="219"/>
      <c r="T12" s="219"/>
      <c r="U12" s="219"/>
      <c r="V12" s="219"/>
      <c r="W12" s="219"/>
      <c r="X12" s="219"/>
      <c r="Y12" s="219"/>
      <c r="Z12" s="219"/>
      <c r="AA12" s="219"/>
      <c r="AB12" s="214"/>
      <c r="AC12" s="219"/>
      <c r="AD12" s="219"/>
      <c r="AE12" s="219"/>
      <c r="AF12" s="219"/>
      <c r="AG12" s="219"/>
      <c r="AH12" s="218"/>
      <c r="AJ12" s="201" t="s">
        <v>1097</v>
      </c>
      <c r="AL12" s="201" t="s">
        <v>1103</v>
      </c>
    </row>
    <row r="13" spans="1:42">
      <c r="A13" s="217">
        <f t="shared" si="0"/>
        <v>4</v>
      </c>
      <c r="B13" s="217" t="s">
        <v>229</v>
      </c>
      <c r="C13" s="217" t="s">
        <v>109</v>
      </c>
      <c r="D13" s="216" t="b">
        <v>1</v>
      </c>
      <c r="E13" s="217">
        <v>0</v>
      </c>
      <c r="F13" s="217">
        <v>100</v>
      </c>
      <c r="G13" s="217">
        <v>0</v>
      </c>
      <c r="H13" s="217">
        <f t="shared" si="1"/>
        <v>0</v>
      </c>
      <c r="I13" s="214"/>
      <c r="J13" s="218" t="s">
        <v>132</v>
      </c>
      <c r="K13" s="217"/>
      <c r="L13" s="217"/>
      <c r="M13" s="648"/>
      <c r="N13" s="648"/>
      <c r="O13" s="648"/>
      <c r="P13" s="214"/>
      <c r="Q13" s="219"/>
      <c r="R13" s="219"/>
      <c r="S13" s="219"/>
      <c r="T13" s="219"/>
      <c r="U13" s="219"/>
      <c r="V13" s="219"/>
      <c r="W13" s="219"/>
      <c r="X13" s="219"/>
      <c r="Y13" s="219"/>
      <c r="Z13" s="219"/>
      <c r="AA13" s="219"/>
      <c r="AB13" s="214"/>
      <c r="AC13" s="219"/>
      <c r="AD13" s="219"/>
      <c r="AE13" s="219"/>
      <c r="AF13" s="219"/>
      <c r="AG13" s="219"/>
      <c r="AH13" s="218"/>
      <c r="AJ13" s="201" t="s">
        <v>1104</v>
      </c>
      <c r="AL13" s="201" t="s">
        <v>1105</v>
      </c>
    </row>
    <row r="14" spans="1:42">
      <c r="A14" s="217">
        <f t="shared" si="0"/>
        <v>5</v>
      </c>
      <c r="B14" s="217" t="s">
        <v>230</v>
      </c>
      <c r="C14" s="217" t="s">
        <v>110</v>
      </c>
      <c r="D14" s="216" t="b">
        <v>1</v>
      </c>
      <c r="E14" s="217">
        <v>0</v>
      </c>
      <c r="F14" s="217">
        <v>8</v>
      </c>
      <c r="G14" s="217">
        <v>0</v>
      </c>
      <c r="H14" s="217">
        <f t="shared" si="1"/>
        <v>0</v>
      </c>
      <c r="I14" s="214"/>
      <c r="J14" s="218" t="s">
        <v>130</v>
      </c>
      <c r="K14" s="217"/>
      <c r="L14" s="217"/>
      <c r="M14" s="648"/>
      <c r="N14" s="648"/>
      <c r="O14" s="648"/>
      <c r="P14" s="214"/>
      <c r="Q14" s="219"/>
      <c r="R14" s="219"/>
      <c r="S14" s="219"/>
      <c r="T14" s="219"/>
      <c r="U14" s="219"/>
      <c r="V14" s="219"/>
      <c r="W14" s="219"/>
      <c r="X14" s="219"/>
      <c r="Y14" s="219"/>
      <c r="Z14" s="219"/>
      <c r="AA14" s="219"/>
      <c r="AB14" s="214"/>
      <c r="AC14" s="219"/>
      <c r="AD14" s="219"/>
      <c r="AE14" s="219"/>
      <c r="AF14" s="219"/>
      <c r="AG14" s="219"/>
      <c r="AH14" s="218"/>
      <c r="AJ14" s="201" t="s">
        <v>1097</v>
      </c>
      <c r="AL14" s="201" t="s">
        <v>572</v>
      </c>
    </row>
    <row r="15" spans="1:42">
      <c r="A15" s="217">
        <f t="shared" si="0"/>
        <v>6</v>
      </c>
      <c r="B15" s="217" t="s">
        <v>231</v>
      </c>
      <c r="C15" s="217" t="s">
        <v>111</v>
      </c>
      <c r="D15" s="216" t="b">
        <v>1</v>
      </c>
      <c r="E15" s="217">
        <v>0</v>
      </c>
      <c r="F15" s="217">
        <v>60</v>
      </c>
      <c r="G15" s="217">
        <v>0</v>
      </c>
      <c r="H15" s="217">
        <f t="shared" si="1"/>
        <v>0</v>
      </c>
      <c r="I15" s="214"/>
      <c r="J15" s="218" t="s">
        <v>132</v>
      </c>
      <c r="K15" s="217"/>
      <c r="L15" s="217"/>
      <c r="M15" s="648"/>
      <c r="N15" s="648"/>
      <c r="O15" s="648"/>
      <c r="P15" s="214"/>
      <c r="Q15" s="219"/>
      <c r="R15" s="219"/>
      <c r="S15" s="219"/>
      <c r="T15" s="219"/>
      <c r="U15" s="219"/>
      <c r="V15" s="219"/>
      <c r="W15" s="219"/>
      <c r="X15" s="219"/>
      <c r="Y15" s="219"/>
      <c r="Z15" s="219"/>
      <c r="AA15" s="219"/>
      <c r="AB15" s="214"/>
      <c r="AC15" s="219"/>
      <c r="AD15" s="219"/>
      <c r="AE15" s="219"/>
      <c r="AF15" s="219"/>
      <c r="AG15" s="219"/>
      <c r="AH15" s="218"/>
      <c r="AJ15" s="201" t="s">
        <v>586</v>
      </c>
      <c r="AL15" s="201" t="s">
        <v>1106</v>
      </c>
    </row>
    <row r="16" spans="1:42">
      <c r="A16" s="217">
        <f t="shared" si="0"/>
        <v>7</v>
      </c>
      <c r="B16" s="217" t="s">
        <v>469</v>
      </c>
      <c r="C16" s="217" t="s">
        <v>112</v>
      </c>
      <c r="D16" s="216" t="b">
        <v>1</v>
      </c>
      <c r="E16" s="217">
        <v>0</v>
      </c>
      <c r="F16" s="217">
        <v>100</v>
      </c>
      <c r="G16" s="217">
        <v>0</v>
      </c>
      <c r="H16" s="217">
        <f t="shared" si="1"/>
        <v>0</v>
      </c>
      <c r="I16" s="214"/>
      <c r="J16" s="218" t="s">
        <v>132</v>
      </c>
      <c r="K16" s="217"/>
      <c r="L16" s="217"/>
      <c r="M16" s="648"/>
      <c r="N16" s="648"/>
      <c r="O16" s="648"/>
      <c r="P16" s="214"/>
      <c r="Q16" s="219"/>
      <c r="R16" s="219"/>
      <c r="S16" s="219"/>
      <c r="T16" s="219"/>
      <c r="U16" s="219"/>
      <c r="V16" s="219"/>
      <c r="W16" s="219"/>
      <c r="X16" s="219"/>
      <c r="Y16" s="219"/>
      <c r="Z16" s="219"/>
      <c r="AA16" s="219"/>
      <c r="AB16" s="214"/>
      <c r="AC16" s="219"/>
      <c r="AD16" s="219"/>
      <c r="AE16" s="219"/>
      <c r="AF16" s="219"/>
      <c r="AG16" s="219"/>
      <c r="AH16" s="218"/>
      <c r="AJ16" s="201" t="s">
        <v>1104</v>
      </c>
      <c r="AL16" s="201" t="s">
        <v>1105</v>
      </c>
      <c r="AN16" s="201" t="s">
        <v>1097</v>
      </c>
      <c r="AP16" s="201" t="s">
        <v>1107</v>
      </c>
    </row>
    <row r="17" spans="1:42">
      <c r="A17" s="217">
        <f t="shared" si="0"/>
        <v>8</v>
      </c>
      <c r="B17" s="217" t="s">
        <v>471</v>
      </c>
      <c r="C17" s="217" t="s">
        <v>113</v>
      </c>
      <c r="D17" s="216" t="b">
        <v>1</v>
      </c>
      <c r="E17" s="217">
        <v>0</v>
      </c>
      <c r="F17" s="217">
        <v>100</v>
      </c>
      <c r="G17" s="217">
        <v>0</v>
      </c>
      <c r="H17" s="217">
        <f t="shared" si="1"/>
        <v>0</v>
      </c>
      <c r="I17" s="214"/>
      <c r="J17" s="218" t="s">
        <v>131</v>
      </c>
      <c r="K17" s="217"/>
      <c r="L17" s="217"/>
      <c r="M17" s="648"/>
      <c r="N17" s="648"/>
      <c r="O17" s="648"/>
      <c r="P17" s="214"/>
      <c r="Q17" s="219"/>
      <c r="R17" s="219"/>
      <c r="S17" s="219"/>
      <c r="T17" s="219"/>
      <c r="U17" s="219"/>
      <c r="V17" s="219"/>
      <c r="W17" s="219"/>
      <c r="X17" s="219"/>
      <c r="Y17" s="219"/>
      <c r="Z17" s="219"/>
      <c r="AA17" s="219"/>
      <c r="AB17" s="214"/>
      <c r="AC17" s="219"/>
      <c r="AD17" s="219"/>
      <c r="AE17" s="219"/>
      <c r="AF17" s="219"/>
      <c r="AG17" s="219"/>
      <c r="AH17" s="218"/>
      <c r="AJ17" s="201" t="s">
        <v>1104</v>
      </c>
      <c r="AL17" s="201" t="s">
        <v>1105</v>
      </c>
      <c r="AN17" s="201" t="s">
        <v>1097</v>
      </c>
      <c r="AP17" s="201" t="s">
        <v>1108</v>
      </c>
    </row>
    <row r="18" spans="1:42">
      <c r="A18" s="217">
        <f t="shared" si="0"/>
        <v>9</v>
      </c>
      <c r="B18" s="217" t="s">
        <v>473</v>
      </c>
      <c r="C18" s="217" t="s">
        <v>114</v>
      </c>
      <c r="D18" s="216" t="b">
        <v>1</v>
      </c>
      <c r="E18" s="217">
        <v>0</v>
      </c>
      <c r="F18" s="217">
        <v>100</v>
      </c>
      <c r="G18" s="217">
        <v>0</v>
      </c>
      <c r="H18" s="217">
        <f t="shared" si="1"/>
        <v>0</v>
      </c>
      <c r="I18" s="214"/>
      <c r="J18" s="218" t="s">
        <v>131</v>
      </c>
      <c r="K18" s="217"/>
      <c r="L18" s="217"/>
      <c r="M18" s="648"/>
      <c r="N18" s="648"/>
      <c r="O18" s="648"/>
      <c r="P18" s="214"/>
      <c r="Q18" s="219"/>
      <c r="R18" s="219"/>
      <c r="S18" s="219"/>
      <c r="T18" s="219"/>
      <c r="U18" s="219"/>
      <c r="V18" s="219"/>
      <c r="W18" s="219"/>
      <c r="X18" s="219"/>
      <c r="Y18" s="219"/>
      <c r="Z18" s="219"/>
      <c r="AA18" s="219"/>
      <c r="AB18" s="214"/>
      <c r="AC18" s="219"/>
      <c r="AD18" s="219"/>
      <c r="AE18" s="219"/>
      <c r="AF18" s="219"/>
      <c r="AG18" s="219"/>
      <c r="AH18" s="218"/>
      <c r="AJ18" s="201" t="s">
        <v>1104</v>
      </c>
      <c r="AL18" s="201" t="s">
        <v>1105</v>
      </c>
      <c r="AN18" s="201" t="s">
        <v>1097</v>
      </c>
      <c r="AP18" s="201" t="s">
        <v>1109</v>
      </c>
    </row>
    <row r="19" spans="1:42" ht="31.5">
      <c r="A19" s="217">
        <f t="shared" si="0"/>
        <v>10</v>
      </c>
      <c r="B19" s="217" t="s">
        <v>232</v>
      </c>
      <c r="C19" s="217" t="s">
        <v>115</v>
      </c>
      <c r="D19" s="216" t="b">
        <v>1</v>
      </c>
      <c r="E19" s="217">
        <v>0</v>
      </c>
      <c r="F19" s="217">
        <v>120</v>
      </c>
      <c r="G19" s="217">
        <v>0</v>
      </c>
      <c r="H19" s="217">
        <f t="shared" si="1"/>
        <v>0</v>
      </c>
      <c r="I19" s="214"/>
      <c r="J19" s="218" t="s">
        <v>131</v>
      </c>
      <c r="K19" s="217"/>
      <c r="L19" s="217"/>
      <c r="M19" s="648"/>
      <c r="N19" s="648"/>
      <c r="O19" s="648"/>
      <c r="P19" s="509" t="s">
        <v>1110</v>
      </c>
      <c r="Q19" s="510"/>
      <c r="R19" s="510"/>
      <c r="S19" s="510"/>
      <c r="T19" s="510"/>
      <c r="U19" s="510"/>
      <c r="V19" s="510"/>
      <c r="W19" s="510"/>
      <c r="X19" s="510"/>
      <c r="Y19" s="510"/>
      <c r="Z19" s="510"/>
      <c r="AA19" s="511"/>
      <c r="AB19" s="214"/>
      <c r="AC19" s="219"/>
      <c r="AD19" s="219"/>
      <c r="AE19" s="219"/>
      <c r="AF19" s="219"/>
      <c r="AG19" s="219"/>
      <c r="AH19" s="218"/>
      <c r="AJ19" s="221" t="s">
        <v>1111</v>
      </c>
      <c r="AL19" s="221" t="s">
        <v>1112</v>
      </c>
      <c r="AN19" s="201" t="s">
        <v>1113</v>
      </c>
      <c r="AP19" s="221" t="s">
        <v>1114</v>
      </c>
    </row>
    <row r="20" spans="1:42">
      <c r="A20" s="217">
        <f t="shared" si="0"/>
        <v>11</v>
      </c>
      <c r="B20" s="217" t="s">
        <v>233</v>
      </c>
      <c r="C20" s="217" t="s">
        <v>116</v>
      </c>
      <c r="D20" s="216" t="b">
        <v>1</v>
      </c>
      <c r="E20" s="217">
        <v>0</v>
      </c>
      <c r="F20" s="217">
        <v>20</v>
      </c>
      <c r="G20" s="217">
        <v>0</v>
      </c>
      <c r="H20" s="217">
        <f t="shared" si="1"/>
        <v>0</v>
      </c>
      <c r="I20" s="214"/>
      <c r="J20" s="218" t="s">
        <v>131</v>
      </c>
      <c r="K20" s="217"/>
      <c r="L20" s="217"/>
      <c r="M20" s="648"/>
      <c r="N20" s="648"/>
      <c r="O20" s="648"/>
      <c r="P20" s="509" t="s">
        <v>1115</v>
      </c>
      <c r="Q20" s="510"/>
      <c r="R20" s="510"/>
      <c r="S20" s="510"/>
      <c r="T20" s="510"/>
      <c r="U20" s="510"/>
      <c r="V20" s="510"/>
      <c r="W20" s="510"/>
      <c r="X20" s="510"/>
      <c r="Y20" s="510"/>
      <c r="Z20" s="510"/>
      <c r="AA20" s="511"/>
      <c r="AB20" s="214"/>
      <c r="AC20" s="219"/>
      <c r="AD20" s="219"/>
      <c r="AE20" s="219"/>
      <c r="AF20" s="219"/>
      <c r="AG20" s="219"/>
      <c r="AH20" s="218"/>
      <c r="AJ20" s="201" t="s">
        <v>1113</v>
      </c>
      <c r="AL20" s="201" t="s">
        <v>1116</v>
      </c>
    </row>
    <row r="21" spans="1:42">
      <c r="A21" s="217">
        <f t="shared" si="0"/>
        <v>12</v>
      </c>
      <c r="B21" s="217" t="s">
        <v>234</v>
      </c>
      <c r="C21" s="217" t="s">
        <v>117</v>
      </c>
      <c r="D21" s="216" t="b">
        <v>1</v>
      </c>
      <c r="E21" s="217">
        <v>0</v>
      </c>
      <c r="F21" s="217">
        <v>15</v>
      </c>
      <c r="G21" s="217">
        <v>0</v>
      </c>
      <c r="H21" s="217">
        <f t="shared" si="1"/>
        <v>0</v>
      </c>
      <c r="I21" s="214"/>
      <c r="J21" s="218" t="s">
        <v>130</v>
      </c>
      <c r="K21" s="217"/>
      <c r="L21" s="217"/>
      <c r="M21" s="648"/>
      <c r="N21" s="648"/>
      <c r="O21" s="648"/>
      <c r="P21" s="509" t="s">
        <v>1117</v>
      </c>
      <c r="Q21" s="510"/>
      <c r="R21" s="510"/>
      <c r="S21" s="510"/>
      <c r="T21" s="510"/>
      <c r="U21" s="510"/>
      <c r="V21" s="510"/>
      <c r="W21" s="510"/>
      <c r="X21" s="510"/>
      <c r="Y21" s="510"/>
      <c r="Z21" s="510"/>
      <c r="AA21" s="511"/>
      <c r="AB21" s="214"/>
      <c r="AC21" s="219"/>
      <c r="AD21" s="219"/>
      <c r="AE21" s="219"/>
      <c r="AF21" s="219"/>
      <c r="AG21" s="219"/>
      <c r="AH21" s="218"/>
      <c r="AJ21" s="201" t="s">
        <v>1113</v>
      </c>
      <c r="AL21" s="201" t="s">
        <v>1118</v>
      </c>
    </row>
    <row r="22" spans="1:42" ht="33.75" customHeight="1">
      <c r="A22" s="217">
        <f t="shared" si="0"/>
        <v>13</v>
      </c>
      <c r="B22" s="217" t="s">
        <v>235</v>
      </c>
      <c r="C22" s="217" t="s">
        <v>118</v>
      </c>
      <c r="D22" s="216" t="b">
        <v>1</v>
      </c>
      <c r="E22" s="217">
        <v>0</v>
      </c>
      <c r="F22" s="217">
        <v>9</v>
      </c>
      <c r="G22" s="217">
        <v>0</v>
      </c>
      <c r="H22" s="217">
        <f t="shared" si="1"/>
        <v>0</v>
      </c>
      <c r="I22" s="214"/>
      <c r="J22" s="218" t="s">
        <v>129</v>
      </c>
      <c r="K22" s="217"/>
      <c r="L22" s="217"/>
      <c r="M22" s="648"/>
      <c r="N22" s="648"/>
      <c r="O22" s="648"/>
      <c r="P22" s="509" t="s">
        <v>1119</v>
      </c>
      <c r="Q22" s="510"/>
      <c r="R22" s="510"/>
      <c r="S22" s="510"/>
      <c r="T22" s="510"/>
      <c r="U22" s="510"/>
      <c r="V22" s="510"/>
      <c r="W22" s="510"/>
      <c r="X22" s="510"/>
      <c r="Y22" s="510"/>
      <c r="Z22" s="510"/>
      <c r="AA22" s="511"/>
      <c r="AB22" s="214"/>
      <c r="AC22" s="219"/>
      <c r="AD22" s="219"/>
      <c r="AE22" s="219"/>
      <c r="AF22" s="219"/>
      <c r="AG22" s="219"/>
      <c r="AH22" s="218"/>
      <c r="AJ22" s="201" t="s">
        <v>1113</v>
      </c>
      <c r="AL22" s="201" t="s">
        <v>1120</v>
      </c>
    </row>
    <row r="23" spans="1:42">
      <c r="A23" s="217">
        <f t="shared" si="0"/>
        <v>14</v>
      </c>
      <c r="B23" s="217" t="s">
        <v>236</v>
      </c>
      <c r="C23" s="217" t="s">
        <v>119</v>
      </c>
      <c r="D23" s="216" t="b">
        <v>1</v>
      </c>
      <c r="E23" s="217">
        <v>0</v>
      </c>
      <c r="F23" s="217">
        <v>0</v>
      </c>
      <c r="G23" s="217">
        <v>0</v>
      </c>
      <c r="H23" s="217">
        <f t="shared" si="1"/>
        <v>0</v>
      </c>
      <c r="I23" s="214"/>
      <c r="J23" s="218" t="s">
        <v>134</v>
      </c>
      <c r="K23" s="217"/>
      <c r="L23" s="217"/>
      <c r="M23" s="648"/>
      <c r="N23" s="648"/>
      <c r="O23" s="648"/>
      <c r="P23" s="222"/>
      <c r="Q23" s="223"/>
      <c r="R23" s="223"/>
      <c r="S23" s="223"/>
      <c r="T23" s="223"/>
      <c r="U23" s="223"/>
      <c r="V23" s="223"/>
      <c r="W23" s="223"/>
      <c r="X23" s="223"/>
      <c r="Y23" s="223"/>
      <c r="Z23" s="223"/>
      <c r="AA23" s="223"/>
      <c r="AB23" s="214"/>
      <c r="AC23" s="219"/>
      <c r="AD23" s="219"/>
      <c r="AE23" s="219"/>
      <c r="AF23" s="219"/>
      <c r="AG23" s="219"/>
      <c r="AH23" s="218"/>
      <c r="AJ23" s="201" t="s">
        <v>1121</v>
      </c>
      <c r="AL23" s="201" t="s">
        <v>1122</v>
      </c>
    </row>
    <row r="24" spans="1:42">
      <c r="A24" s="217">
        <f t="shared" si="0"/>
        <v>15</v>
      </c>
      <c r="B24" s="217" t="s">
        <v>237</v>
      </c>
      <c r="C24" s="217" t="s">
        <v>120</v>
      </c>
      <c r="D24" s="216" t="b">
        <v>1</v>
      </c>
      <c r="E24" s="217">
        <v>0</v>
      </c>
      <c r="F24" s="217">
        <v>0</v>
      </c>
      <c r="G24" s="217">
        <v>0</v>
      </c>
      <c r="H24" s="217">
        <f t="shared" si="1"/>
        <v>0</v>
      </c>
      <c r="I24" s="214"/>
      <c r="J24" s="218" t="s">
        <v>133</v>
      </c>
      <c r="K24" s="217"/>
      <c r="L24" s="217"/>
      <c r="M24" s="648"/>
      <c r="N24" s="648"/>
      <c r="O24" s="648"/>
      <c r="P24" s="222"/>
      <c r="Q24" s="223"/>
      <c r="R24" s="223"/>
      <c r="S24" s="223"/>
      <c r="T24" s="223"/>
      <c r="U24" s="223"/>
      <c r="V24" s="223"/>
      <c r="W24" s="223"/>
      <c r="X24" s="223"/>
      <c r="Y24" s="223"/>
      <c r="Z24" s="223"/>
      <c r="AA24" s="223"/>
      <c r="AB24" s="214"/>
      <c r="AC24" s="219"/>
      <c r="AD24" s="219"/>
      <c r="AE24" s="219"/>
      <c r="AF24" s="219"/>
      <c r="AG24" s="219"/>
      <c r="AH24" s="218"/>
      <c r="AJ24" s="201" t="s">
        <v>1097</v>
      </c>
      <c r="AL24" s="201" t="s">
        <v>1123</v>
      </c>
    </row>
    <row r="25" spans="1:42">
      <c r="A25" s="217">
        <f t="shared" si="0"/>
        <v>16</v>
      </c>
      <c r="B25" s="217" t="s">
        <v>238</v>
      </c>
      <c r="C25" s="217" t="s">
        <v>121</v>
      </c>
      <c r="D25" s="216" t="b">
        <v>1</v>
      </c>
      <c r="E25" s="217">
        <v>0</v>
      </c>
      <c r="F25" s="217">
        <v>0</v>
      </c>
      <c r="G25" s="217">
        <v>0</v>
      </c>
      <c r="H25" s="217">
        <f t="shared" si="1"/>
        <v>0</v>
      </c>
      <c r="I25" s="214"/>
      <c r="J25" s="218" t="s">
        <v>133</v>
      </c>
      <c r="K25" s="217"/>
      <c r="L25" s="217"/>
      <c r="M25" s="648"/>
      <c r="N25" s="648"/>
      <c r="O25" s="648"/>
      <c r="P25" s="222"/>
      <c r="Q25" s="223"/>
      <c r="R25" s="223"/>
      <c r="S25" s="223"/>
      <c r="T25" s="223"/>
      <c r="U25" s="223"/>
      <c r="V25" s="223"/>
      <c r="W25" s="223"/>
      <c r="X25" s="223"/>
      <c r="Y25" s="223"/>
      <c r="Z25" s="223"/>
      <c r="AA25" s="223"/>
      <c r="AB25" s="214"/>
      <c r="AC25" s="219"/>
      <c r="AD25" s="219"/>
      <c r="AE25" s="219"/>
      <c r="AF25" s="219"/>
      <c r="AG25" s="219"/>
      <c r="AH25" s="218"/>
      <c r="AJ25" s="201" t="s">
        <v>1097</v>
      </c>
      <c r="AL25" s="201" t="s">
        <v>1124</v>
      </c>
    </row>
    <row r="26" spans="1:42">
      <c r="A26" s="217">
        <f t="shared" si="0"/>
        <v>17</v>
      </c>
      <c r="B26" s="217" t="s">
        <v>239</v>
      </c>
      <c r="C26" s="217" t="s">
        <v>122</v>
      </c>
      <c r="D26" s="216" t="b">
        <v>1</v>
      </c>
      <c r="E26" s="217">
        <v>0</v>
      </c>
      <c r="F26" s="217">
        <v>0</v>
      </c>
      <c r="G26" s="217">
        <v>0</v>
      </c>
      <c r="H26" s="217">
        <f t="shared" si="1"/>
        <v>0</v>
      </c>
      <c r="I26" s="214"/>
      <c r="J26" s="218" t="s">
        <v>133</v>
      </c>
      <c r="K26" s="217"/>
      <c r="L26" s="217"/>
      <c r="M26" s="648"/>
      <c r="N26" s="648"/>
      <c r="O26" s="648"/>
      <c r="P26" s="222"/>
      <c r="Q26" s="223"/>
      <c r="R26" s="223"/>
      <c r="S26" s="223"/>
      <c r="T26" s="223"/>
      <c r="U26" s="223"/>
      <c r="V26" s="223"/>
      <c r="W26" s="223"/>
      <c r="X26" s="223"/>
      <c r="Y26" s="223"/>
      <c r="Z26" s="223"/>
      <c r="AA26" s="223"/>
      <c r="AB26" s="214"/>
      <c r="AC26" s="219"/>
      <c r="AD26" s="219"/>
      <c r="AE26" s="219"/>
      <c r="AF26" s="219"/>
      <c r="AG26" s="219"/>
      <c r="AH26" s="218"/>
      <c r="AJ26" s="201" t="s">
        <v>1097</v>
      </c>
      <c r="AL26" s="201" t="s">
        <v>1125</v>
      </c>
    </row>
    <row r="27" spans="1:42" ht="33" customHeight="1">
      <c r="A27" s="217">
        <f t="shared" si="0"/>
        <v>18</v>
      </c>
      <c r="B27" s="217" t="s">
        <v>475</v>
      </c>
      <c r="C27" s="224" t="s">
        <v>123</v>
      </c>
      <c r="D27" s="216" t="b">
        <v>1</v>
      </c>
      <c r="E27" s="217">
        <v>0</v>
      </c>
      <c r="F27" s="217">
        <v>100</v>
      </c>
      <c r="G27" s="217">
        <v>0</v>
      </c>
      <c r="H27" s="217">
        <f t="shared" si="1"/>
        <v>0</v>
      </c>
      <c r="I27" s="214"/>
      <c r="J27" s="218" t="s">
        <v>131</v>
      </c>
      <c r="K27" s="217"/>
      <c r="L27" s="217"/>
      <c r="M27" s="648"/>
      <c r="N27" s="648"/>
      <c r="O27" s="648"/>
      <c r="P27" s="509" t="s">
        <v>1126</v>
      </c>
      <c r="Q27" s="510"/>
      <c r="R27" s="510"/>
      <c r="S27" s="510"/>
      <c r="T27" s="510"/>
      <c r="U27" s="510"/>
      <c r="V27" s="510"/>
      <c r="W27" s="510"/>
      <c r="X27" s="510"/>
      <c r="Y27" s="510"/>
      <c r="Z27" s="510"/>
      <c r="AA27" s="511"/>
      <c r="AB27" s="214"/>
      <c r="AC27" s="219"/>
      <c r="AD27" s="219"/>
      <c r="AE27" s="219"/>
      <c r="AF27" s="219"/>
      <c r="AG27" s="219"/>
      <c r="AH27" s="218"/>
      <c r="AJ27" s="201" t="s">
        <v>1104</v>
      </c>
      <c r="AL27" s="201" t="s">
        <v>1105</v>
      </c>
      <c r="AN27" s="201" t="s">
        <v>1113</v>
      </c>
      <c r="AP27" s="201" t="s">
        <v>1127</v>
      </c>
    </row>
    <row r="28" spans="1:42" ht="33" customHeight="1">
      <c r="A28" s="217">
        <f t="shared" si="0"/>
        <v>19</v>
      </c>
      <c r="B28" s="217" t="s">
        <v>477</v>
      </c>
      <c r="C28" s="224" t="s">
        <v>124</v>
      </c>
      <c r="D28" s="216" t="b">
        <v>1</v>
      </c>
      <c r="E28" s="217">
        <v>0</v>
      </c>
      <c r="F28" s="217">
        <v>100</v>
      </c>
      <c r="G28" s="217">
        <v>0</v>
      </c>
      <c r="H28" s="217">
        <f t="shared" si="1"/>
        <v>0</v>
      </c>
      <c r="I28" s="214"/>
      <c r="J28" s="218" t="s">
        <v>131</v>
      </c>
      <c r="K28" s="217"/>
      <c r="L28" s="217"/>
      <c r="M28" s="648"/>
      <c r="N28" s="648"/>
      <c r="O28" s="648"/>
      <c r="P28" s="509" t="s">
        <v>1128</v>
      </c>
      <c r="Q28" s="510"/>
      <c r="R28" s="510"/>
      <c r="S28" s="510"/>
      <c r="T28" s="510"/>
      <c r="U28" s="510"/>
      <c r="V28" s="510"/>
      <c r="W28" s="510"/>
      <c r="X28" s="510"/>
      <c r="Y28" s="510"/>
      <c r="Z28" s="510"/>
      <c r="AA28" s="511"/>
      <c r="AB28" s="214"/>
      <c r="AC28" s="219"/>
      <c r="AD28" s="219"/>
      <c r="AE28" s="219"/>
      <c r="AF28" s="219"/>
      <c r="AG28" s="219"/>
      <c r="AH28" s="218"/>
      <c r="AJ28" s="201" t="s">
        <v>1104</v>
      </c>
      <c r="AL28" s="201" t="s">
        <v>1105</v>
      </c>
      <c r="AN28" s="201" t="s">
        <v>1113</v>
      </c>
      <c r="AP28" s="201" t="s">
        <v>1129</v>
      </c>
    </row>
    <row r="29" spans="1:42">
      <c r="A29" s="217">
        <f t="shared" si="0"/>
        <v>20</v>
      </c>
      <c r="B29" s="217" t="s">
        <v>240</v>
      </c>
      <c r="C29" s="217" t="s">
        <v>125</v>
      </c>
      <c r="D29" s="216" t="b">
        <v>1</v>
      </c>
      <c r="E29" s="217">
        <v>0</v>
      </c>
      <c r="F29" s="217">
        <v>80</v>
      </c>
      <c r="G29" s="217">
        <v>0</v>
      </c>
      <c r="H29" s="217">
        <f t="shared" si="1"/>
        <v>0</v>
      </c>
      <c r="I29" s="214"/>
      <c r="J29" s="218" t="s">
        <v>131</v>
      </c>
      <c r="K29" s="217"/>
      <c r="L29" s="217"/>
      <c r="M29" s="648"/>
      <c r="N29" s="648"/>
      <c r="O29" s="648"/>
      <c r="P29" s="214"/>
      <c r="Q29" s="219"/>
      <c r="R29" s="219"/>
      <c r="S29" s="219"/>
      <c r="T29" s="219"/>
      <c r="U29" s="219"/>
      <c r="V29" s="219"/>
      <c r="W29" s="219"/>
      <c r="X29" s="219"/>
      <c r="Y29" s="219"/>
      <c r="Z29" s="219"/>
      <c r="AA29" s="219"/>
      <c r="AB29" s="214"/>
      <c r="AC29" s="219"/>
      <c r="AD29" s="219"/>
      <c r="AE29" s="219"/>
      <c r="AF29" s="219"/>
      <c r="AG29" s="219"/>
      <c r="AH29" s="218"/>
      <c r="AJ29" s="201" t="s">
        <v>1130</v>
      </c>
      <c r="AL29" s="201" t="s">
        <v>1131</v>
      </c>
      <c r="AN29" s="201" t="s">
        <v>1097</v>
      </c>
      <c r="AP29" s="201" t="s">
        <v>1132</v>
      </c>
    </row>
    <row r="30" spans="1:42">
      <c r="A30" s="217">
        <f t="shared" si="0"/>
        <v>21</v>
      </c>
      <c r="B30" s="217" t="s">
        <v>241</v>
      </c>
      <c r="C30" s="217" t="s">
        <v>126</v>
      </c>
      <c r="D30" s="216" t="b">
        <v>1</v>
      </c>
      <c r="E30" s="217">
        <v>0</v>
      </c>
      <c r="F30" s="217">
        <v>30</v>
      </c>
      <c r="G30" s="217">
        <v>0</v>
      </c>
      <c r="H30" s="217">
        <f t="shared" si="1"/>
        <v>0</v>
      </c>
      <c r="I30" s="214"/>
      <c r="J30" s="218" t="s">
        <v>131</v>
      </c>
      <c r="K30" s="217"/>
      <c r="L30" s="217"/>
      <c r="M30" s="648"/>
      <c r="N30" s="648"/>
      <c r="O30" s="648"/>
      <c r="P30" s="214"/>
      <c r="Q30" s="219"/>
      <c r="R30" s="219"/>
      <c r="S30" s="219"/>
      <c r="T30" s="219"/>
      <c r="U30" s="219"/>
      <c r="V30" s="219"/>
      <c r="W30" s="219"/>
      <c r="X30" s="219"/>
      <c r="Y30" s="219"/>
      <c r="Z30" s="219"/>
      <c r="AA30" s="219"/>
      <c r="AB30" s="214"/>
      <c r="AC30" s="219"/>
      <c r="AD30" s="219"/>
      <c r="AE30" s="219"/>
      <c r="AF30" s="219"/>
      <c r="AG30" s="219"/>
      <c r="AH30" s="218"/>
      <c r="AJ30" s="201" t="s">
        <v>1133</v>
      </c>
      <c r="AL30" s="201" t="s">
        <v>1134</v>
      </c>
      <c r="AN30" s="201" t="s">
        <v>1135</v>
      </c>
      <c r="AP30" s="201" t="s">
        <v>1136</v>
      </c>
    </row>
    <row r="31" spans="1:42">
      <c r="A31" s="217">
        <f t="shared" si="0"/>
        <v>22</v>
      </c>
      <c r="B31" s="217" t="s">
        <v>242</v>
      </c>
      <c r="C31" s="217" t="s">
        <v>127</v>
      </c>
      <c r="D31" s="216" t="b">
        <v>1</v>
      </c>
      <c r="E31" s="217">
        <v>0</v>
      </c>
      <c r="F31" s="217">
        <v>42</v>
      </c>
      <c r="G31" s="217">
        <v>0</v>
      </c>
      <c r="H31" s="217">
        <f t="shared" si="1"/>
        <v>0</v>
      </c>
      <c r="I31" s="214"/>
      <c r="J31" s="218" t="s">
        <v>131</v>
      </c>
      <c r="K31" s="217"/>
      <c r="L31" s="217"/>
      <c r="M31" s="648"/>
      <c r="N31" s="648"/>
      <c r="O31" s="648"/>
      <c r="P31" s="214"/>
      <c r="Q31" s="219"/>
      <c r="R31" s="219"/>
      <c r="S31" s="219"/>
      <c r="T31" s="219"/>
      <c r="U31" s="219"/>
      <c r="V31" s="219"/>
      <c r="W31" s="219"/>
      <c r="X31" s="219"/>
      <c r="Y31" s="219"/>
      <c r="Z31" s="219"/>
      <c r="AA31" s="219"/>
      <c r="AB31" s="214"/>
      <c r="AC31" s="219"/>
      <c r="AD31" s="219"/>
      <c r="AE31" s="219"/>
      <c r="AF31" s="219"/>
      <c r="AG31" s="219"/>
      <c r="AH31" s="218"/>
      <c r="AJ31" s="201" t="s">
        <v>1137</v>
      </c>
      <c r="AL31" s="201" t="s">
        <v>1138</v>
      </c>
      <c r="AN31" s="201" t="s">
        <v>1135</v>
      </c>
      <c r="AP31" s="201" t="s">
        <v>1139</v>
      </c>
    </row>
    <row r="32" spans="1:42" ht="31.5">
      <c r="A32" s="217">
        <f t="shared" si="0"/>
        <v>23</v>
      </c>
      <c r="B32" s="217" t="s">
        <v>243</v>
      </c>
      <c r="C32" s="217" t="s">
        <v>128</v>
      </c>
      <c r="D32" s="216" t="b">
        <v>1</v>
      </c>
      <c r="E32" s="217">
        <v>0</v>
      </c>
      <c r="F32" s="217">
        <v>513</v>
      </c>
      <c r="G32" s="217">
        <v>0</v>
      </c>
      <c r="H32" s="217">
        <f t="shared" si="1"/>
        <v>0</v>
      </c>
      <c r="I32" s="214"/>
      <c r="J32" s="218" t="s">
        <v>131</v>
      </c>
      <c r="K32" s="217"/>
      <c r="L32" s="217"/>
      <c r="M32" s="648"/>
      <c r="N32" s="648"/>
      <c r="O32" s="648"/>
      <c r="P32" s="512" t="s">
        <v>1140</v>
      </c>
      <c r="Q32" s="513"/>
      <c r="R32" s="513"/>
      <c r="S32" s="513"/>
      <c r="T32" s="513"/>
      <c r="U32" s="513"/>
      <c r="V32" s="513"/>
      <c r="W32" s="513"/>
      <c r="X32" s="513"/>
      <c r="Y32" s="513"/>
      <c r="Z32" s="513"/>
      <c r="AA32" s="514"/>
      <c r="AB32" s="214"/>
      <c r="AC32" s="219"/>
      <c r="AD32" s="219"/>
      <c r="AE32" s="219"/>
      <c r="AF32" s="219"/>
      <c r="AG32" s="219"/>
      <c r="AH32" s="218"/>
      <c r="AJ32" s="201" t="s">
        <v>1097</v>
      </c>
      <c r="AL32" s="221" t="s">
        <v>1141</v>
      </c>
    </row>
    <row r="33" spans="1:34">
      <c r="A33" s="643" t="s">
        <v>37</v>
      </c>
      <c r="B33" s="644"/>
      <c r="C33" s="644"/>
      <c r="D33" s="644"/>
      <c r="E33" s="644"/>
      <c r="F33" s="644"/>
      <c r="G33" s="644"/>
      <c r="H33" s="644"/>
      <c r="I33" s="644"/>
      <c r="J33" s="644"/>
      <c r="K33" s="644"/>
      <c r="L33" s="644"/>
      <c r="M33" s="644"/>
      <c r="N33" s="644"/>
      <c r="O33" s="644"/>
      <c r="P33" s="644"/>
      <c r="Q33" s="644"/>
      <c r="R33" s="644"/>
      <c r="S33" s="644"/>
      <c r="T33" s="644"/>
      <c r="U33" s="644"/>
      <c r="V33" s="644"/>
      <c r="W33" s="644"/>
      <c r="X33" s="644"/>
      <c r="Y33" s="644"/>
      <c r="Z33" s="644"/>
      <c r="AA33" s="644"/>
      <c r="AB33" s="644"/>
      <c r="AC33" s="644"/>
      <c r="AD33" s="644"/>
      <c r="AE33" s="644"/>
      <c r="AF33" s="644"/>
      <c r="AG33" s="644"/>
      <c r="AH33" s="645"/>
    </row>
    <row r="34" spans="1:34">
      <c r="A34" s="225"/>
      <c r="B34" s="226"/>
      <c r="C34" s="226"/>
      <c r="D34" s="227"/>
      <c r="E34" s="226"/>
      <c r="F34" s="226"/>
      <c r="G34" s="226"/>
      <c r="H34" s="226"/>
      <c r="I34" s="226"/>
      <c r="J34" s="226"/>
      <c r="K34" s="226"/>
      <c r="L34" s="226"/>
      <c r="M34" s="646"/>
      <c r="N34" s="646"/>
      <c r="O34" s="646"/>
      <c r="P34" s="226"/>
      <c r="Q34" s="226"/>
      <c r="R34" s="226"/>
      <c r="S34" s="226"/>
      <c r="T34" s="226"/>
      <c r="U34" s="226"/>
      <c r="V34" s="226"/>
      <c r="W34" s="226"/>
      <c r="X34" s="226"/>
      <c r="Y34" s="226"/>
      <c r="Z34" s="226"/>
      <c r="AA34" s="226"/>
      <c r="AB34" s="226"/>
      <c r="AC34" s="226"/>
      <c r="AD34" s="226"/>
      <c r="AE34" s="226"/>
      <c r="AF34" s="226"/>
      <c r="AG34" s="226"/>
      <c r="AH34" s="228"/>
    </row>
    <row r="35" spans="1:34">
      <c r="A35" s="229"/>
      <c r="B35" s="201" t="s">
        <v>38</v>
      </c>
      <c r="M35" s="507"/>
      <c r="N35" s="507"/>
      <c r="O35" s="507"/>
      <c r="AH35" s="230"/>
    </row>
    <row r="36" spans="1:34">
      <c r="A36" s="229"/>
      <c r="AH36" s="230"/>
    </row>
    <row r="37" spans="1:34">
      <c r="A37" s="229"/>
      <c r="B37" s="231" t="s">
        <v>577</v>
      </c>
      <c r="C37" s="232" t="s">
        <v>844</v>
      </c>
      <c r="D37" s="232"/>
      <c r="E37" s="231" t="s">
        <v>845</v>
      </c>
      <c r="F37" s="232" t="s">
        <v>846</v>
      </c>
      <c r="G37" s="232"/>
      <c r="H37" s="232"/>
      <c r="I37" s="232"/>
      <c r="J37" s="232"/>
      <c r="K37" s="232"/>
      <c r="L37" s="232"/>
      <c r="M37" s="647"/>
      <c r="N37" s="647"/>
      <c r="O37" s="647"/>
      <c r="P37" s="232"/>
      <c r="Q37" s="232"/>
      <c r="R37" s="232"/>
      <c r="S37" s="232"/>
      <c r="T37" s="232"/>
      <c r="U37" s="232"/>
      <c r="V37" s="232"/>
      <c r="W37" s="232"/>
      <c r="X37" s="232"/>
      <c r="Y37" s="232"/>
      <c r="Z37" s="232"/>
      <c r="AA37" s="232"/>
      <c r="AB37" s="232"/>
      <c r="AC37" s="232"/>
      <c r="AD37" s="233"/>
      <c r="AH37" s="230"/>
    </row>
    <row r="38" spans="1:34">
      <c r="A38" s="229"/>
      <c r="B38" s="234" t="s">
        <v>761</v>
      </c>
      <c r="C38" s="235" t="s">
        <v>714</v>
      </c>
      <c r="D38" s="235"/>
      <c r="E38" s="236" t="s">
        <v>847</v>
      </c>
      <c r="F38" s="237" t="s">
        <v>847</v>
      </c>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8"/>
      <c r="AH38" s="230"/>
    </row>
    <row r="39" spans="1:34">
      <c r="A39" s="229"/>
      <c r="B39" s="234" t="s">
        <v>1142</v>
      </c>
      <c r="C39" s="235" t="s">
        <v>714</v>
      </c>
      <c r="D39" s="235"/>
      <c r="E39" s="239" t="s">
        <v>850</v>
      </c>
      <c r="F39" s="235" t="s">
        <v>1143</v>
      </c>
      <c r="G39" s="235"/>
      <c r="H39" s="235"/>
      <c r="I39" s="235"/>
      <c r="J39" s="235"/>
      <c r="K39" s="235"/>
      <c r="L39" s="235" t="s">
        <v>852</v>
      </c>
      <c r="M39" s="235" t="s">
        <v>1144</v>
      </c>
      <c r="N39" s="235"/>
      <c r="O39" s="235"/>
      <c r="P39" s="235"/>
      <c r="Q39" s="235"/>
      <c r="R39" s="235"/>
      <c r="S39" s="235"/>
      <c r="T39" s="235"/>
      <c r="U39" s="235"/>
      <c r="V39" s="235"/>
      <c r="W39" s="235"/>
      <c r="X39" s="235"/>
      <c r="Y39" s="235"/>
      <c r="Z39" s="235"/>
      <c r="AA39" s="235"/>
      <c r="AB39" s="235"/>
      <c r="AC39" s="235"/>
      <c r="AD39" s="240"/>
      <c r="AH39" s="230"/>
    </row>
    <row r="40" spans="1:34">
      <c r="A40" s="229"/>
      <c r="B40" s="234" t="s">
        <v>1145</v>
      </c>
      <c r="C40" s="235" t="s">
        <v>714</v>
      </c>
      <c r="D40" s="235"/>
      <c r="E40" s="239" t="s">
        <v>857</v>
      </c>
      <c r="F40" s="235" t="s">
        <v>1146</v>
      </c>
      <c r="G40" s="235"/>
      <c r="H40" s="235"/>
      <c r="I40" s="235"/>
      <c r="J40" s="235"/>
      <c r="K40" s="235"/>
      <c r="L40" s="235" t="s">
        <v>852</v>
      </c>
      <c r="M40" s="235" t="s">
        <v>1147</v>
      </c>
      <c r="N40" s="235"/>
      <c r="O40" s="235"/>
      <c r="P40" s="235"/>
      <c r="Q40" s="235"/>
      <c r="R40" s="235"/>
      <c r="S40" s="235"/>
      <c r="T40" s="235"/>
      <c r="U40" s="235"/>
      <c r="V40" s="235"/>
      <c r="W40" s="235"/>
      <c r="X40" s="235"/>
      <c r="Y40" s="235"/>
      <c r="Z40" s="235"/>
      <c r="AA40" s="235"/>
      <c r="AB40" s="235"/>
      <c r="AC40" s="235"/>
      <c r="AD40" s="240"/>
      <c r="AH40" s="230"/>
    </row>
    <row r="41" spans="1:34">
      <c r="A41" s="229"/>
      <c r="B41" s="241" t="s">
        <v>586</v>
      </c>
      <c r="C41" s="242" t="s">
        <v>714</v>
      </c>
      <c r="D41" s="242"/>
      <c r="E41" s="243" t="s">
        <v>857</v>
      </c>
      <c r="F41" s="242" t="s">
        <v>1148</v>
      </c>
      <c r="G41" s="242"/>
      <c r="H41" s="242"/>
      <c r="I41" s="242"/>
      <c r="J41" s="242"/>
      <c r="K41" s="242"/>
      <c r="L41" s="242" t="s">
        <v>852</v>
      </c>
      <c r="M41" s="242" t="s">
        <v>75</v>
      </c>
      <c r="N41" s="242"/>
      <c r="O41" s="242"/>
      <c r="P41" s="242"/>
      <c r="Q41" s="242"/>
      <c r="R41" s="242"/>
      <c r="S41" s="242"/>
      <c r="T41" s="242"/>
      <c r="U41" s="242"/>
      <c r="V41" s="242"/>
      <c r="W41" s="242"/>
      <c r="X41" s="242"/>
      <c r="Y41" s="242"/>
      <c r="Z41" s="242"/>
      <c r="AA41" s="242"/>
      <c r="AB41" s="242"/>
      <c r="AC41" s="242" t="s">
        <v>890</v>
      </c>
      <c r="AD41" s="244"/>
      <c r="AH41" s="230"/>
    </row>
    <row r="42" spans="1:34">
      <c r="A42" s="229"/>
      <c r="B42" s="245"/>
      <c r="C42" s="246"/>
      <c r="D42" s="246"/>
      <c r="E42" s="247"/>
      <c r="F42" s="246" t="s">
        <v>1149</v>
      </c>
      <c r="G42" s="246"/>
      <c r="H42" s="246"/>
      <c r="I42" s="246"/>
      <c r="J42" s="246"/>
      <c r="K42" s="246"/>
      <c r="L42" s="246" t="s">
        <v>852</v>
      </c>
      <c r="M42" s="248" t="s">
        <v>76</v>
      </c>
      <c r="N42" s="246"/>
      <c r="O42" s="246"/>
      <c r="P42" s="246"/>
      <c r="Q42" s="246"/>
      <c r="R42" s="246"/>
      <c r="S42" s="246"/>
      <c r="T42" s="246"/>
      <c r="U42" s="246"/>
      <c r="V42" s="246"/>
      <c r="W42" s="246"/>
      <c r="X42" s="246"/>
      <c r="Y42" s="246"/>
      <c r="Z42" s="246"/>
      <c r="AA42" s="246"/>
      <c r="AB42" s="246"/>
      <c r="AC42" s="246"/>
      <c r="AD42" s="249"/>
      <c r="AH42" s="230"/>
    </row>
    <row r="43" spans="1:34">
      <c r="A43" s="229"/>
      <c r="B43" s="241" t="s">
        <v>1150</v>
      </c>
      <c r="C43" s="242" t="s">
        <v>714</v>
      </c>
      <c r="D43" s="242"/>
      <c r="E43" s="243" t="s">
        <v>857</v>
      </c>
      <c r="F43" s="242" t="s">
        <v>75</v>
      </c>
      <c r="G43" s="242"/>
      <c r="H43" s="242"/>
      <c r="I43" s="242"/>
      <c r="J43" s="242"/>
      <c r="K43" s="242"/>
      <c r="L43" s="242" t="s">
        <v>852</v>
      </c>
      <c r="M43" s="242" t="s">
        <v>1151</v>
      </c>
      <c r="N43" s="242"/>
      <c r="O43" s="242"/>
      <c r="P43" s="242"/>
      <c r="Q43" s="242"/>
      <c r="R43" s="242"/>
      <c r="S43" s="242"/>
      <c r="T43" s="242"/>
      <c r="U43" s="242"/>
      <c r="V43" s="242"/>
      <c r="W43" s="242"/>
      <c r="X43" s="242"/>
      <c r="Y43" s="242"/>
      <c r="Z43" s="242"/>
      <c r="AA43" s="242"/>
      <c r="AB43" s="242"/>
      <c r="AC43" s="242"/>
      <c r="AD43" s="244"/>
      <c r="AH43" s="230"/>
    </row>
    <row r="44" spans="1:34">
      <c r="A44" s="229"/>
      <c r="B44" s="250"/>
      <c r="C44" s="251"/>
      <c r="D44" s="251"/>
      <c r="E44" s="252"/>
      <c r="F44" s="251" t="s">
        <v>1152</v>
      </c>
      <c r="G44" s="251"/>
      <c r="H44" s="251"/>
      <c r="I44" s="251"/>
      <c r="J44" s="251"/>
      <c r="K44" s="251"/>
      <c r="L44" s="251" t="s">
        <v>855</v>
      </c>
      <c r="M44" s="251" t="s">
        <v>79</v>
      </c>
      <c r="N44" s="251"/>
      <c r="O44" s="251"/>
      <c r="P44" s="251"/>
      <c r="Q44" s="251"/>
      <c r="R44" s="251"/>
      <c r="S44" s="251"/>
      <c r="T44" s="251"/>
      <c r="U44" s="251"/>
      <c r="V44" s="251"/>
      <c r="W44" s="251"/>
      <c r="X44" s="251"/>
      <c r="Y44" s="251"/>
      <c r="Z44" s="251"/>
      <c r="AA44" s="251"/>
      <c r="AB44" s="251"/>
      <c r="AC44" s="251" t="s">
        <v>896</v>
      </c>
      <c r="AD44" s="253"/>
      <c r="AH44" s="230"/>
    </row>
    <row r="45" spans="1:34">
      <c r="A45" s="229"/>
      <c r="B45" s="245"/>
      <c r="C45" s="246"/>
      <c r="D45" s="246"/>
      <c r="E45" s="247"/>
      <c r="F45" s="246" t="s">
        <v>1153</v>
      </c>
      <c r="G45" s="246"/>
      <c r="H45" s="246"/>
      <c r="I45" s="246"/>
      <c r="J45" s="246"/>
      <c r="K45" s="246"/>
      <c r="L45" s="246" t="s">
        <v>855</v>
      </c>
      <c r="M45" s="251" t="s">
        <v>79</v>
      </c>
      <c r="N45" s="246"/>
      <c r="O45" s="246"/>
      <c r="P45" s="246"/>
      <c r="Q45" s="246"/>
      <c r="R45" s="246"/>
      <c r="S45" s="246"/>
      <c r="T45" s="246"/>
      <c r="U45" s="246"/>
      <c r="V45" s="246"/>
      <c r="W45" s="246"/>
      <c r="X45" s="246"/>
      <c r="Y45" s="246"/>
      <c r="Z45" s="246"/>
      <c r="AA45" s="246"/>
      <c r="AB45" s="246"/>
      <c r="AC45" s="246" t="s">
        <v>896</v>
      </c>
      <c r="AD45" s="249"/>
      <c r="AH45" s="230"/>
    </row>
    <row r="46" spans="1:34">
      <c r="A46" s="229"/>
      <c r="B46" s="241" t="s">
        <v>736</v>
      </c>
      <c r="C46" s="242" t="s">
        <v>714</v>
      </c>
      <c r="D46" s="242"/>
      <c r="E46" s="243" t="s">
        <v>857</v>
      </c>
      <c r="F46" s="242" t="s">
        <v>75</v>
      </c>
      <c r="G46" s="242"/>
      <c r="H46" s="242"/>
      <c r="I46" s="242"/>
      <c r="J46" s="242"/>
      <c r="K46" s="242"/>
      <c r="L46" s="242" t="s">
        <v>852</v>
      </c>
      <c r="M46" s="242" t="s">
        <v>1154</v>
      </c>
      <c r="N46" s="242"/>
      <c r="O46" s="242"/>
      <c r="P46" s="242"/>
      <c r="Q46" s="242"/>
      <c r="R46" s="242"/>
      <c r="S46" s="242"/>
      <c r="T46" s="242"/>
      <c r="U46" s="242"/>
      <c r="V46" s="242"/>
      <c r="W46" s="242"/>
      <c r="X46" s="242"/>
      <c r="Y46" s="242"/>
      <c r="Z46" s="242"/>
      <c r="AA46" s="242"/>
      <c r="AB46" s="242"/>
      <c r="AC46" s="242"/>
      <c r="AD46" s="244"/>
      <c r="AH46" s="230"/>
    </row>
    <row r="47" spans="1:34">
      <c r="A47" s="229"/>
      <c r="B47" s="250"/>
      <c r="C47" s="251"/>
      <c r="D47" s="251"/>
      <c r="E47" s="252"/>
      <c r="F47" s="251" t="s">
        <v>1155</v>
      </c>
      <c r="G47" s="251"/>
      <c r="H47" s="251"/>
      <c r="I47" s="251"/>
      <c r="J47" s="251"/>
      <c r="K47" s="251"/>
      <c r="L47" s="251" t="s">
        <v>855</v>
      </c>
      <c r="M47" s="251" t="s">
        <v>79</v>
      </c>
      <c r="N47" s="251"/>
      <c r="O47" s="251"/>
      <c r="P47" s="251"/>
      <c r="Q47" s="251"/>
      <c r="R47" s="251"/>
      <c r="S47" s="251"/>
      <c r="T47" s="251"/>
      <c r="U47" s="251"/>
      <c r="V47" s="251"/>
      <c r="W47" s="251"/>
      <c r="X47" s="251"/>
      <c r="Y47" s="251"/>
      <c r="Z47" s="251"/>
      <c r="AA47" s="251"/>
      <c r="AB47" s="251"/>
      <c r="AC47" s="251" t="s">
        <v>896</v>
      </c>
      <c r="AD47" s="253"/>
      <c r="AH47" s="230"/>
    </row>
    <row r="48" spans="1:34">
      <c r="A48" s="229"/>
      <c r="B48" s="245"/>
      <c r="C48" s="246"/>
      <c r="D48" s="246"/>
      <c r="E48" s="247"/>
      <c r="F48" s="246" t="s">
        <v>1156</v>
      </c>
      <c r="G48" s="246"/>
      <c r="H48" s="246"/>
      <c r="I48" s="246"/>
      <c r="J48" s="246"/>
      <c r="K48" s="246"/>
      <c r="L48" s="246" t="s">
        <v>855</v>
      </c>
      <c r="M48" s="251" t="s">
        <v>79</v>
      </c>
      <c r="N48" s="246"/>
      <c r="O48" s="246"/>
      <c r="P48" s="246"/>
      <c r="Q48" s="246"/>
      <c r="R48" s="246"/>
      <c r="S48" s="246"/>
      <c r="T48" s="246"/>
      <c r="U48" s="246"/>
      <c r="V48" s="246"/>
      <c r="W48" s="246"/>
      <c r="X48" s="246"/>
      <c r="Y48" s="246"/>
      <c r="Z48" s="246"/>
      <c r="AA48" s="246"/>
      <c r="AB48" s="246"/>
      <c r="AC48" s="246" t="s">
        <v>896</v>
      </c>
      <c r="AD48" s="249"/>
      <c r="AH48" s="230"/>
    </row>
    <row r="49" spans="1:34">
      <c r="A49" s="229"/>
      <c r="B49" s="241" t="s">
        <v>1157</v>
      </c>
      <c r="C49" s="242" t="s">
        <v>714</v>
      </c>
      <c r="D49" s="242"/>
      <c r="E49" s="243" t="s">
        <v>857</v>
      </c>
      <c r="F49" s="242" t="s">
        <v>1148</v>
      </c>
      <c r="G49" s="242"/>
      <c r="H49" s="242"/>
      <c r="I49" s="242"/>
      <c r="J49" s="242"/>
      <c r="K49" s="242"/>
      <c r="L49" s="242" t="s">
        <v>852</v>
      </c>
      <c r="M49" s="242" t="s">
        <v>1158</v>
      </c>
      <c r="N49" s="242"/>
      <c r="O49" s="242"/>
      <c r="P49" s="242"/>
      <c r="Q49" s="242"/>
      <c r="R49" s="242"/>
      <c r="S49" s="242"/>
      <c r="T49" s="242"/>
      <c r="U49" s="242"/>
      <c r="V49" s="242"/>
      <c r="W49" s="242"/>
      <c r="X49" s="242"/>
      <c r="Y49" s="242"/>
      <c r="Z49" s="242"/>
      <c r="AA49" s="242"/>
      <c r="AB49" s="242"/>
      <c r="AC49" s="242"/>
      <c r="AD49" s="244"/>
      <c r="AH49" s="230"/>
    </row>
    <row r="50" spans="1:34">
      <c r="A50" s="229"/>
      <c r="B50" s="250"/>
      <c r="C50" s="251"/>
      <c r="D50" s="251"/>
      <c r="E50" s="252"/>
      <c r="F50" s="251" t="s">
        <v>1159</v>
      </c>
      <c r="G50" s="251"/>
      <c r="H50" s="251"/>
      <c r="I50" s="251"/>
      <c r="J50" s="251"/>
      <c r="K50" s="251"/>
      <c r="L50" s="251" t="s">
        <v>855</v>
      </c>
      <c r="M50" s="251" t="s">
        <v>79</v>
      </c>
      <c r="N50" s="251"/>
      <c r="O50" s="251"/>
      <c r="P50" s="251"/>
      <c r="Q50" s="251"/>
      <c r="R50" s="251"/>
      <c r="S50" s="251"/>
      <c r="T50" s="251"/>
      <c r="U50" s="251"/>
      <c r="V50" s="251"/>
      <c r="W50" s="251"/>
      <c r="X50" s="251"/>
      <c r="Y50" s="251"/>
      <c r="Z50" s="251"/>
      <c r="AA50" s="251"/>
      <c r="AB50" s="251"/>
      <c r="AC50" s="251" t="s">
        <v>896</v>
      </c>
      <c r="AD50" s="253"/>
      <c r="AH50" s="230"/>
    </row>
    <row r="51" spans="1:34">
      <c r="A51" s="229"/>
      <c r="B51" s="245"/>
      <c r="C51" s="246"/>
      <c r="D51" s="246"/>
      <c r="E51" s="247"/>
      <c r="F51" s="246" t="s">
        <v>1160</v>
      </c>
      <c r="G51" s="246"/>
      <c r="H51" s="246"/>
      <c r="I51" s="246"/>
      <c r="J51" s="246"/>
      <c r="K51" s="246"/>
      <c r="L51" s="246" t="s">
        <v>855</v>
      </c>
      <c r="M51" s="251" t="s">
        <v>79</v>
      </c>
      <c r="N51" s="246"/>
      <c r="O51" s="246"/>
      <c r="P51" s="246"/>
      <c r="Q51" s="246"/>
      <c r="R51" s="246"/>
      <c r="S51" s="246"/>
      <c r="T51" s="246"/>
      <c r="U51" s="246"/>
      <c r="V51" s="246"/>
      <c r="W51" s="246"/>
      <c r="X51" s="246"/>
      <c r="Y51" s="246"/>
      <c r="Z51" s="246"/>
      <c r="AA51" s="246"/>
      <c r="AB51" s="246"/>
      <c r="AC51" s="246" t="s">
        <v>896</v>
      </c>
      <c r="AD51" s="249"/>
      <c r="AH51" s="230"/>
    </row>
    <row r="52" spans="1:34">
      <c r="A52" s="229"/>
      <c r="B52" s="241" t="s">
        <v>862</v>
      </c>
      <c r="C52" s="242" t="s">
        <v>714</v>
      </c>
      <c r="D52" s="242"/>
      <c r="E52" s="243" t="s">
        <v>857</v>
      </c>
      <c r="F52" s="242" t="s">
        <v>1148</v>
      </c>
      <c r="G52" s="242"/>
      <c r="H52" s="242"/>
      <c r="I52" s="242"/>
      <c r="J52" s="242"/>
      <c r="K52" s="242"/>
      <c r="L52" s="242" t="s">
        <v>852</v>
      </c>
      <c r="M52" s="242" t="s">
        <v>863</v>
      </c>
      <c r="N52" s="242"/>
      <c r="O52" s="242"/>
      <c r="P52" s="242"/>
      <c r="Q52" s="242"/>
      <c r="R52" s="242"/>
      <c r="S52" s="242"/>
      <c r="T52" s="242"/>
      <c r="U52" s="242"/>
      <c r="V52" s="242"/>
      <c r="W52" s="242"/>
      <c r="X52" s="242"/>
      <c r="Y52" s="242"/>
      <c r="Z52" s="242"/>
      <c r="AA52" s="242"/>
      <c r="AB52" s="242"/>
      <c r="AC52" s="242"/>
      <c r="AD52" s="244"/>
      <c r="AH52" s="230"/>
    </row>
    <row r="53" spans="1:34">
      <c r="A53" s="229"/>
      <c r="B53" s="250"/>
      <c r="C53" s="251"/>
      <c r="D53" s="251"/>
      <c r="E53" s="252"/>
      <c r="F53" s="251" t="s">
        <v>1161</v>
      </c>
      <c r="G53" s="251"/>
      <c r="H53" s="251"/>
      <c r="I53" s="251"/>
      <c r="J53" s="251"/>
      <c r="K53" s="251"/>
      <c r="L53" s="251" t="s">
        <v>855</v>
      </c>
      <c r="M53" s="251" t="s">
        <v>79</v>
      </c>
      <c r="N53" s="251"/>
      <c r="O53" s="251"/>
      <c r="P53" s="251"/>
      <c r="Q53" s="251"/>
      <c r="R53" s="251"/>
      <c r="S53" s="251"/>
      <c r="T53" s="251"/>
      <c r="U53" s="251"/>
      <c r="V53" s="251"/>
      <c r="W53" s="251"/>
      <c r="X53" s="251"/>
      <c r="Y53" s="251"/>
      <c r="Z53" s="251"/>
      <c r="AA53" s="251"/>
      <c r="AB53" s="251"/>
      <c r="AC53" s="251" t="s">
        <v>896</v>
      </c>
      <c r="AD53" s="253"/>
      <c r="AH53" s="230"/>
    </row>
    <row r="54" spans="1:34">
      <c r="A54" s="229"/>
      <c r="B54" s="245"/>
      <c r="C54" s="246"/>
      <c r="D54" s="246"/>
      <c r="E54" s="247"/>
      <c r="F54" s="246" t="s">
        <v>1162</v>
      </c>
      <c r="G54" s="246"/>
      <c r="H54" s="246"/>
      <c r="I54" s="246"/>
      <c r="J54" s="246"/>
      <c r="K54" s="246"/>
      <c r="L54" s="246" t="s">
        <v>855</v>
      </c>
      <c r="M54" s="251" t="s">
        <v>79</v>
      </c>
      <c r="N54" s="246"/>
      <c r="O54" s="246"/>
      <c r="P54" s="246"/>
      <c r="Q54" s="246"/>
      <c r="R54" s="246"/>
      <c r="S54" s="246"/>
      <c r="T54" s="246"/>
      <c r="U54" s="246"/>
      <c r="V54" s="246"/>
      <c r="W54" s="246"/>
      <c r="X54" s="246"/>
      <c r="Y54" s="246"/>
      <c r="Z54" s="246"/>
      <c r="AA54" s="246"/>
      <c r="AB54" s="246"/>
      <c r="AC54" s="246" t="s">
        <v>896</v>
      </c>
      <c r="AD54" s="249"/>
      <c r="AH54" s="230"/>
    </row>
    <row r="55" spans="1:34">
      <c r="A55" s="229"/>
      <c r="B55" s="241" t="s">
        <v>1163</v>
      </c>
      <c r="C55" s="242" t="s">
        <v>714</v>
      </c>
      <c r="D55" s="242"/>
      <c r="E55" s="243" t="s">
        <v>857</v>
      </c>
      <c r="F55" s="242" t="s">
        <v>1148</v>
      </c>
      <c r="G55" s="242"/>
      <c r="H55" s="242"/>
      <c r="I55" s="242"/>
      <c r="J55" s="242"/>
      <c r="K55" s="242"/>
      <c r="L55" s="242" t="s">
        <v>852</v>
      </c>
      <c r="M55" s="242" t="s">
        <v>875</v>
      </c>
      <c r="N55" s="242"/>
      <c r="O55" s="242"/>
      <c r="P55" s="242"/>
      <c r="Q55" s="242"/>
      <c r="R55" s="242"/>
      <c r="S55" s="242"/>
      <c r="T55" s="242"/>
      <c r="U55" s="242"/>
      <c r="V55" s="242"/>
      <c r="W55" s="242"/>
      <c r="X55" s="242"/>
      <c r="Y55" s="242"/>
      <c r="Z55" s="242"/>
      <c r="AA55" s="242"/>
      <c r="AB55" s="242"/>
      <c r="AC55" s="242"/>
      <c r="AD55" s="244"/>
      <c r="AH55" s="230"/>
    </row>
    <row r="56" spans="1:34">
      <c r="A56" s="229"/>
      <c r="B56" s="250"/>
      <c r="C56" s="251"/>
      <c r="D56" s="251"/>
      <c r="E56" s="252"/>
      <c r="F56" s="251" t="s">
        <v>1164</v>
      </c>
      <c r="G56" s="251"/>
      <c r="H56" s="251"/>
      <c r="I56" s="251"/>
      <c r="J56" s="251"/>
      <c r="K56" s="251"/>
      <c r="L56" s="251" t="s">
        <v>855</v>
      </c>
      <c r="M56" s="251" t="s">
        <v>79</v>
      </c>
      <c r="N56" s="251"/>
      <c r="O56" s="251"/>
      <c r="P56" s="251"/>
      <c r="Q56" s="251"/>
      <c r="R56" s="251"/>
      <c r="S56" s="251"/>
      <c r="T56" s="251"/>
      <c r="U56" s="251"/>
      <c r="V56" s="251"/>
      <c r="W56" s="251"/>
      <c r="X56" s="251"/>
      <c r="Y56" s="251"/>
      <c r="Z56" s="251"/>
      <c r="AA56" s="251"/>
      <c r="AB56" s="251"/>
      <c r="AC56" s="251" t="s">
        <v>896</v>
      </c>
      <c r="AD56" s="253"/>
      <c r="AH56" s="230"/>
    </row>
    <row r="57" spans="1:34">
      <c r="A57" s="229"/>
      <c r="B57" s="245"/>
      <c r="C57" s="246"/>
      <c r="D57" s="246"/>
      <c r="E57" s="247"/>
      <c r="F57" s="246" t="s">
        <v>1165</v>
      </c>
      <c r="G57" s="246"/>
      <c r="H57" s="246"/>
      <c r="I57" s="246"/>
      <c r="J57" s="246"/>
      <c r="K57" s="246"/>
      <c r="L57" s="246" t="s">
        <v>855</v>
      </c>
      <c r="M57" s="251" t="s">
        <v>79</v>
      </c>
      <c r="N57" s="246"/>
      <c r="O57" s="246"/>
      <c r="P57" s="246"/>
      <c r="Q57" s="246"/>
      <c r="R57" s="246"/>
      <c r="S57" s="246"/>
      <c r="T57" s="246"/>
      <c r="U57" s="246"/>
      <c r="V57" s="246"/>
      <c r="W57" s="246"/>
      <c r="X57" s="246"/>
      <c r="Y57" s="246"/>
      <c r="Z57" s="246"/>
      <c r="AA57" s="246"/>
      <c r="AB57" s="246"/>
      <c r="AC57" s="246" t="s">
        <v>896</v>
      </c>
      <c r="AD57" s="249"/>
      <c r="AH57" s="230"/>
    </row>
    <row r="58" spans="1:34">
      <c r="A58" s="229"/>
      <c r="B58" s="241" t="s">
        <v>1166</v>
      </c>
      <c r="C58" s="242" t="s">
        <v>714</v>
      </c>
      <c r="D58" s="242"/>
      <c r="E58" s="243" t="s">
        <v>857</v>
      </c>
      <c r="F58" s="242" t="s">
        <v>1167</v>
      </c>
      <c r="G58" s="242"/>
      <c r="H58" s="242"/>
      <c r="I58" s="242"/>
      <c r="J58" s="242"/>
      <c r="K58" s="242"/>
      <c r="L58" s="242" t="s">
        <v>855</v>
      </c>
      <c r="M58" s="242" t="s">
        <v>1168</v>
      </c>
      <c r="N58" s="242"/>
      <c r="O58" s="242"/>
      <c r="P58" s="242"/>
      <c r="Q58" s="242"/>
      <c r="R58" s="242"/>
      <c r="S58" s="242"/>
      <c r="T58" s="242"/>
      <c r="U58" s="242"/>
      <c r="V58" s="242"/>
      <c r="W58" s="242"/>
      <c r="X58" s="242"/>
      <c r="Y58" s="242"/>
      <c r="Z58" s="242"/>
      <c r="AA58" s="242"/>
      <c r="AB58" s="242"/>
      <c r="AC58" s="242"/>
      <c r="AD58" s="244"/>
      <c r="AH58" s="230"/>
    </row>
    <row r="59" spans="1:34">
      <c r="A59" s="229"/>
      <c r="B59" s="245"/>
      <c r="C59" s="246"/>
      <c r="D59" s="246"/>
      <c r="E59" s="247"/>
      <c r="F59" s="246" t="s">
        <v>1169</v>
      </c>
      <c r="G59" s="246"/>
      <c r="H59" s="246"/>
      <c r="I59" s="246"/>
      <c r="J59" s="246"/>
      <c r="K59" s="246"/>
      <c r="L59" s="246" t="s">
        <v>855</v>
      </c>
      <c r="M59" s="246" t="s">
        <v>1170</v>
      </c>
      <c r="N59" s="246"/>
      <c r="O59" s="246"/>
      <c r="P59" s="246"/>
      <c r="Q59" s="246"/>
      <c r="R59" s="246"/>
      <c r="S59" s="246"/>
      <c r="T59" s="246"/>
      <c r="U59" s="246"/>
      <c r="V59" s="246"/>
      <c r="W59" s="246"/>
      <c r="X59" s="246"/>
      <c r="Y59" s="246"/>
      <c r="Z59" s="246"/>
      <c r="AA59" s="246"/>
      <c r="AB59" s="246"/>
      <c r="AC59" s="246"/>
      <c r="AD59" s="249"/>
      <c r="AH59" s="230"/>
    </row>
    <row r="60" spans="1:34">
      <c r="A60" s="229"/>
      <c r="B60" s="241" t="s">
        <v>1171</v>
      </c>
      <c r="C60" s="242" t="s">
        <v>714</v>
      </c>
      <c r="D60" s="242"/>
      <c r="E60" s="243" t="s">
        <v>857</v>
      </c>
      <c r="F60" s="242" t="s">
        <v>1172</v>
      </c>
      <c r="G60" s="242"/>
      <c r="H60" s="242"/>
      <c r="I60" s="242"/>
      <c r="J60" s="242"/>
      <c r="K60" s="242"/>
      <c r="L60" s="242" t="s">
        <v>855</v>
      </c>
      <c r="M60" s="242" t="s">
        <v>1173</v>
      </c>
      <c r="N60" s="242"/>
      <c r="O60" s="242"/>
      <c r="P60" s="242"/>
      <c r="Q60" s="242"/>
      <c r="R60" s="242"/>
      <c r="S60" s="242"/>
      <c r="T60" s="242"/>
      <c r="U60" s="242"/>
      <c r="V60" s="242"/>
      <c r="W60" s="242"/>
      <c r="X60" s="242"/>
      <c r="Y60" s="242"/>
      <c r="Z60" s="242"/>
      <c r="AA60" s="242"/>
      <c r="AB60" s="242"/>
      <c r="AC60" s="242"/>
      <c r="AD60" s="244"/>
      <c r="AH60" s="230"/>
    </row>
    <row r="61" spans="1:34">
      <c r="A61" s="229"/>
      <c r="B61" s="245"/>
      <c r="C61" s="246"/>
      <c r="D61" s="246"/>
      <c r="E61" s="247"/>
      <c r="F61" s="246" t="s">
        <v>1174</v>
      </c>
      <c r="G61" s="246"/>
      <c r="H61" s="246"/>
      <c r="I61" s="246"/>
      <c r="J61" s="246"/>
      <c r="K61" s="246"/>
      <c r="L61" s="246" t="s">
        <v>855</v>
      </c>
      <c r="M61" s="246" t="s">
        <v>76</v>
      </c>
      <c r="N61" s="246"/>
      <c r="O61" s="246"/>
      <c r="P61" s="246"/>
      <c r="Q61" s="246"/>
      <c r="R61" s="246"/>
      <c r="S61" s="246"/>
      <c r="T61" s="246"/>
      <c r="U61" s="246"/>
      <c r="V61" s="246"/>
      <c r="W61" s="246"/>
      <c r="X61" s="246"/>
      <c r="Y61" s="246"/>
      <c r="Z61" s="246"/>
      <c r="AA61" s="246"/>
      <c r="AB61" s="246"/>
      <c r="AC61" s="246"/>
      <c r="AD61" s="249"/>
      <c r="AH61" s="230"/>
    </row>
    <row r="62" spans="1:34">
      <c r="A62" s="229"/>
      <c r="B62" s="241" t="s">
        <v>868</v>
      </c>
      <c r="C62" s="242" t="s">
        <v>714</v>
      </c>
      <c r="D62" s="242"/>
      <c r="E62" s="252" t="s">
        <v>857</v>
      </c>
      <c r="F62" s="242" t="s">
        <v>1092</v>
      </c>
      <c r="G62" s="242"/>
      <c r="H62" s="242"/>
      <c r="I62" s="242"/>
      <c r="J62" s="242"/>
      <c r="K62" s="242"/>
      <c r="L62" s="251" t="s">
        <v>855</v>
      </c>
      <c r="M62" s="242" t="s">
        <v>1175</v>
      </c>
      <c r="N62" s="242"/>
      <c r="O62" s="242"/>
      <c r="P62" s="242"/>
      <c r="Q62" s="242"/>
      <c r="R62" s="242"/>
      <c r="S62" s="242"/>
      <c r="T62" s="242"/>
      <c r="U62" s="242"/>
      <c r="V62" s="242"/>
      <c r="W62" s="242"/>
      <c r="X62" s="242"/>
      <c r="Y62" s="242"/>
      <c r="Z62" s="242"/>
      <c r="AA62" s="242"/>
      <c r="AB62" s="242"/>
      <c r="AC62" s="242"/>
      <c r="AD62" s="244"/>
      <c r="AH62" s="230"/>
    </row>
    <row r="63" spans="1:34">
      <c r="A63" s="229"/>
      <c r="B63" s="245"/>
      <c r="C63" s="246"/>
      <c r="D63" s="246"/>
      <c r="E63" s="247"/>
      <c r="F63" s="246" t="s">
        <v>1176</v>
      </c>
      <c r="G63" s="246"/>
      <c r="H63" s="246"/>
      <c r="I63" s="246"/>
      <c r="J63" s="246"/>
      <c r="K63" s="246"/>
      <c r="L63" s="246" t="s">
        <v>855</v>
      </c>
      <c r="M63" s="248" t="s">
        <v>76</v>
      </c>
      <c r="N63" s="246"/>
      <c r="O63" s="246"/>
      <c r="P63" s="246"/>
      <c r="Q63" s="246"/>
      <c r="R63" s="246"/>
      <c r="S63" s="246"/>
      <c r="T63" s="246"/>
      <c r="U63" s="246"/>
      <c r="V63" s="246"/>
      <c r="W63" s="246"/>
      <c r="X63" s="246"/>
      <c r="Y63" s="246"/>
      <c r="Z63" s="246"/>
      <c r="AA63" s="246"/>
      <c r="AB63" s="246"/>
      <c r="AC63" s="246"/>
      <c r="AD63" s="249"/>
      <c r="AH63" s="230"/>
    </row>
    <row r="64" spans="1:34">
      <c r="A64" s="229"/>
      <c r="B64" s="234" t="s">
        <v>887</v>
      </c>
      <c r="C64" s="235" t="s">
        <v>1177</v>
      </c>
      <c r="D64" s="235"/>
      <c r="E64" s="239" t="s">
        <v>857</v>
      </c>
      <c r="F64" s="235"/>
      <c r="G64" s="235"/>
      <c r="H64" s="235"/>
      <c r="I64" s="235"/>
      <c r="J64" s="235"/>
      <c r="K64" s="235"/>
      <c r="L64" s="235"/>
      <c r="M64" s="235"/>
      <c r="N64" s="235"/>
      <c r="O64" s="235"/>
      <c r="P64" s="235"/>
      <c r="Q64" s="235"/>
      <c r="R64" s="235"/>
      <c r="S64" s="235"/>
      <c r="T64" s="235"/>
      <c r="U64" s="235"/>
      <c r="V64" s="235"/>
      <c r="W64" s="235"/>
      <c r="X64" s="235"/>
      <c r="Y64" s="235"/>
      <c r="Z64" s="235"/>
      <c r="AA64" s="235"/>
      <c r="AB64" s="235"/>
      <c r="AC64" s="235"/>
      <c r="AD64" s="240"/>
      <c r="AH64" s="230"/>
    </row>
    <row r="65" spans="1:34">
      <c r="A65" s="229"/>
      <c r="B65" s="234" t="s">
        <v>887</v>
      </c>
      <c r="C65" s="235" t="s">
        <v>1178</v>
      </c>
      <c r="D65" s="235"/>
      <c r="E65" s="239" t="s">
        <v>857</v>
      </c>
      <c r="F65" s="235"/>
      <c r="G65" s="235"/>
      <c r="H65" s="235"/>
      <c r="I65" s="235"/>
      <c r="J65" s="235"/>
      <c r="K65" s="235"/>
      <c r="L65" s="235"/>
      <c r="M65" s="235"/>
      <c r="N65" s="235"/>
      <c r="O65" s="235"/>
      <c r="P65" s="235"/>
      <c r="Q65" s="235"/>
      <c r="R65" s="235"/>
      <c r="S65" s="235"/>
      <c r="T65" s="235"/>
      <c r="U65" s="235"/>
      <c r="V65" s="235"/>
      <c r="W65" s="235"/>
      <c r="X65" s="235"/>
      <c r="Y65" s="235"/>
      <c r="Z65" s="235"/>
      <c r="AA65" s="235"/>
      <c r="AB65" s="235"/>
      <c r="AC65" s="235"/>
      <c r="AD65" s="240"/>
      <c r="AH65" s="230"/>
    </row>
    <row r="66" spans="1:34">
      <c r="A66" s="229"/>
      <c r="B66" s="234" t="s">
        <v>887</v>
      </c>
      <c r="C66" s="235" t="s">
        <v>1179</v>
      </c>
      <c r="D66" s="235"/>
      <c r="E66" s="239" t="s">
        <v>857</v>
      </c>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40"/>
      <c r="AH66" s="230"/>
    </row>
    <row r="67" spans="1:34">
      <c r="A67" s="229"/>
      <c r="B67" s="234" t="s">
        <v>1180</v>
      </c>
      <c r="C67" s="235" t="s">
        <v>714</v>
      </c>
      <c r="D67" s="235"/>
      <c r="E67" s="239" t="s">
        <v>857</v>
      </c>
      <c r="F67" s="235" t="s">
        <v>1181</v>
      </c>
      <c r="G67" s="235"/>
      <c r="H67" s="235"/>
      <c r="I67" s="235"/>
      <c r="J67" s="235"/>
      <c r="K67" s="235"/>
      <c r="L67" s="235" t="s">
        <v>855</v>
      </c>
      <c r="M67" s="235" t="s">
        <v>1182</v>
      </c>
      <c r="N67" s="235"/>
      <c r="O67" s="235"/>
      <c r="P67" s="235"/>
      <c r="Q67" s="235"/>
      <c r="R67" s="235"/>
      <c r="S67" s="235"/>
      <c r="T67" s="235"/>
      <c r="U67" s="235"/>
      <c r="V67" s="235"/>
      <c r="W67" s="235"/>
      <c r="X67" s="235"/>
      <c r="Y67" s="235"/>
      <c r="Z67" s="235"/>
      <c r="AA67" s="235"/>
      <c r="AB67" s="235"/>
      <c r="AC67" s="235"/>
      <c r="AD67" s="240"/>
      <c r="AH67" s="230"/>
    </row>
    <row r="68" spans="1:34">
      <c r="A68" s="229"/>
      <c r="B68" s="234" t="s">
        <v>1183</v>
      </c>
      <c r="C68" s="235"/>
      <c r="D68" s="235"/>
      <c r="E68" s="239"/>
      <c r="F68" s="23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40"/>
      <c r="AH68" s="230"/>
    </row>
    <row r="69" spans="1:34">
      <c r="A69" s="229"/>
      <c r="B69" s="234" t="s">
        <v>1184</v>
      </c>
      <c r="C69" s="235"/>
      <c r="D69" s="235"/>
      <c r="E69" s="239"/>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40"/>
      <c r="AH69" s="230"/>
    </row>
    <row r="70" spans="1:34">
      <c r="A70" s="229"/>
      <c r="D70" s="205"/>
      <c r="AH70" s="230"/>
    </row>
    <row r="71" spans="1:34">
      <c r="A71" s="229"/>
      <c r="B71" s="254" t="s">
        <v>941</v>
      </c>
      <c r="C71" s="255"/>
      <c r="D71" s="256"/>
      <c r="E71" s="255"/>
      <c r="F71" s="255"/>
      <c r="G71" s="255"/>
      <c r="H71" s="255"/>
      <c r="I71" s="255"/>
      <c r="J71" s="255"/>
      <c r="K71" s="255"/>
      <c r="L71" s="255"/>
      <c r="M71" s="255"/>
      <c r="N71" s="255"/>
      <c r="O71" s="255"/>
      <c r="P71" s="255"/>
      <c r="Q71" s="255"/>
      <c r="R71" s="255"/>
      <c r="S71" s="255"/>
      <c r="T71" s="255"/>
      <c r="U71" s="255"/>
      <c r="V71" s="255"/>
      <c r="W71" s="255"/>
      <c r="X71" s="255"/>
      <c r="Y71" s="255"/>
      <c r="Z71" s="255"/>
      <c r="AA71" s="255"/>
      <c r="AB71" s="255"/>
      <c r="AC71" s="255"/>
      <c r="AD71" s="255"/>
      <c r="AH71" s="230"/>
    </row>
    <row r="72" spans="1:34">
      <c r="A72" s="229"/>
      <c r="B72" s="201" t="s">
        <v>1185</v>
      </c>
      <c r="D72" s="205"/>
      <c r="AH72" s="230"/>
    </row>
    <row r="73" spans="1:34">
      <c r="A73" s="229"/>
      <c r="C73" s="201" t="s">
        <v>136</v>
      </c>
      <c r="D73" s="205"/>
      <c r="AH73" s="230"/>
    </row>
    <row r="74" spans="1:34">
      <c r="A74" s="229"/>
      <c r="C74" s="201" t="s">
        <v>137</v>
      </c>
      <c r="D74" s="205"/>
      <c r="AH74" s="230"/>
    </row>
    <row r="75" spans="1:34">
      <c r="A75" s="229"/>
      <c r="C75" s="201" t="s">
        <v>138</v>
      </c>
      <c r="D75" s="205"/>
      <c r="AH75" s="230"/>
    </row>
    <row r="76" spans="1:34">
      <c r="A76" s="229"/>
      <c r="C76" s="201" t="s">
        <v>139</v>
      </c>
      <c r="D76" s="205"/>
      <c r="AH76" s="230"/>
    </row>
    <row r="77" spans="1:34">
      <c r="A77" s="229"/>
      <c r="C77" s="201" t="s">
        <v>142</v>
      </c>
      <c r="D77" s="205"/>
      <c r="AH77" s="230"/>
    </row>
    <row r="78" spans="1:34">
      <c r="A78" s="229"/>
      <c r="C78" s="201" t="s">
        <v>141</v>
      </c>
      <c r="D78" s="205"/>
      <c r="AH78" s="230"/>
    </row>
    <row r="79" spans="1:34">
      <c r="A79" s="229"/>
      <c r="C79" s="201" t="s">
        <v>140</v>
      </c>
      <c r="D79" s="205"/>
      <c r="AH79" s="230"/>
    </row>
    <row r="80" spans="1:34">
      <c r="A80" s="229"/>
      <c r="C80" s="201" t="s">
        <v>143</v>
      </c>
      <c r="D80" s="205"/>
      <c r="AH80" s="230"/>
    </row>
    <row r="81" spans="1:34">
      <c r="A81" s="229"/>
      <c r="D81" s="205"/>
      <c r="AH81" s="230"/>
    </row>
    <row r="82" spans="1:34">
      <c r="A82" s="229"/>
      <c r="B82" s="201" t="s">
        <v>39</v>
      </c>
      <c r="M82" s="507"/>
      <c r="N82" s="507"/>
      <c r="O82" s="507"/>
      <c r="AH82" s="230"/>
    </row>
    <row r="83" spans="1:34">
      <c r="A83" s="229"/>
      <c r="AH83" s="230"/>
    </row>
    <row r="84" spans="1:34">
      <c r="A84" s="229"/>
      <c r="B84" s="257" t="s">
        <v>950</v>
      </c>
      <c r="D84" s="258"/>
      <c r="AH84" s="230"/>
    </row>
    <row r="85" spans="1:34">
      <c r="A85" s="229"/>
      <c r="B85" s="257"/>
      <c r="D85" s="258"/>
      <c r="AH85" s="230"/>
    </row>
    <row r="86" spans="1:34">
      <c r="A86" s="229"/>
      <c r="B86" s="201" t="s">
        <v>41</v>
      </c>
      <c r="M86" s="507"/>
      <c r="N86" s="507"/>
      <c r="O86" s="507"/>
      <c r="AH86" s="230"/>
    </row>
    <row r="87" spans="1:34">
      <c r="A87" s="229"/>
      <c r="B87" s="201" t="s">
        <v>220</v>
      </c>
      <c r="AH87" s="230"/>
    </row>
    <row r="88" spans="1:34">
      <c r="A88" s="229"/>
      <c r="B88" s="259" t="s">
        <v>135</v>
      </c>
      <c r="AH88" s="230"/>
    </row>
    <row r="89" spans="1:34">
      <c r="A89" s="229"/>
      <c r="B89" s="260" t="s">
        <v>1186</v>
      </c>
      <c r="AH89" s="230"/>
    </row>
    <row r="90" spans="1:34">
      <c r="A90" s="229"/>
      <c r="B90" s="201" t="s">
        <v>148</v>
      </c>
      <c r="AH90" s="230"/>
    </row>
    <row r="91" spans="1:34">
      <c r="A91" s="229"/>
      <c r="B91" s="260" t="s">
        <v>1187</v>
      </c>
      <c r="AH91" s="230"/>
    </row>
    <row r="92" spans="1:34">
      <c r="A92" s="229"/>
      <c r="B92" s="201" t="s">
        <v>151</v>
      </c>
      <c r="AH92" s="230"/>
    </row>
    <row r="93" spans="1:34">
      <c r="A93" s="229"/>
      <c r="B93" s="201" t="s">
        <v>152</v>
      </c>
      <c r="AH93" s="230"/>
    </row>
    <row r="94" spans="1:34">
      <c r="A94" s="229"/>
      <c r="B94" s="201" t="s">
        <v>154</v>
      </c>
      <c r="AH94" s="230"/>
    </row>
    <row r="95" spans="1:34">
      <c r="A95" s="229"/>
      <c r="B95" s="201" t="s">
        <v>155</v>
      </c>
      <c r="AH95" s="230"/>
    </row>
    <row r="96" spans="1:34">
      <c r="A96" s="229"/>
      <c r="B96" s="201" t="s">
        <v>156</v>
      </c>
      <c r="AH96" s="230"/>
    </row>
    <row r="97" spans="1:34">
      <c r="A97" s="229"/>
      <c r="B97" s="201" t="s">
        <v>157</v>
      </c>
      <c r="AH97" s="230"/>
    </row>
    <row r="98" spans="1:34">
      <c r="A98" s="229"/>
      <c r="B98" s="201" t="s">
        <v>158</v>
      </c>
      <c r="AH98" s="230"/>
    </row>
    <row r="99" spans="1:34">
      <c r="A99" s="229"/>
      <c r="B99" s="201" t="s">
        <v>159</v>
      </c>
      <c r="AH99" s="230"/>
    </row>
    <row r="100" spans="1:34">
      <c r="A100" s="229"/>
      <c r="B100" s="201" t="s">
        <v>161</v>
      </c>
      <c r="AH100" s="230"/>
    </row>
    <row r="101" spans="1:34">
      <c r="A101" s="229"/>
      <c r="B101" s="201" t="s">
        <v>162</v>
      </c>
      <c r="AH101" s="230"/>
    </row>
    <row r="102" spans="1:34">
      <c r="A102" s="229"/>
      <c r="B102" s="260" t="s">
        <v>164</v>
      </c>
      <c r="AH102" s="230"/>
    </row>
    <row r="103" spans="1:34">
      <c r="A103" s="229"/>
      <c r="B103" s="201" t="s">
        <v>150</v>
      </c>
      <c r="AH103" s="230"/>
    </row>
    <row r="104" spans="1:34">
      <c r="A104" s="229"/>
      <c r="B104" s="201" t="s">
        <v>165</v>
      </c>
      <c r="AH104" s="230"/>
    </row>
    <row r="105" spans="1:34">
      <c r="A105" s="229"/>
      <c r="B105" s="201" t="s">
        <v>153</v>
      </c>
      <c r="AH105" s="230"/>
    </row>
    <row r="106" spans="1:34">
      <c r="A106" s="229"/>
      <c r="B106" s="201" t="s">
        <v>166</v>
      </c>
      <c r="AH106" s="230"/>
    </row>
    <row r="107" spans="1:34">
      <c r="A107" s="229"/>
      <c r="B107" s="201" t="s">
        <v>167</v>
      </c>
      <c r="AH107" s="230"/>
    </row>
    <row r="108" spans="1:34">
      <c r="A108" s="229"/>
      <c r="B108" s="201" t="s">
        <v>212</v>
      </c>
      <c r="AH108" s="230"/>
    </row>
    <row r="109" spans="1:34">
      <c r="A109" s="229"/>
      <c r="B109" s="201" t="s">
        <v>168</v>
      </c>
      <c r="AH109" s="230"/>
    </row>
    <row r="110" spans="1:34">
      <c r="A110" s="229"/>
      <c r="B110" s="201" t="s">
        <v>169</v>
      </c>
      <c r="AH110" s="230"/>
    </row>
    <row r="111" spans="1:34">
      <c r="A111" s="229"/>
      <c r="B111" s="201" t="s">
        <v>170</v>
      </c>
      <c r="AH111" s="230"/>
    </row>
    <row r="112" spans="1:34">
      <c r="A112" s="229"/>
      <c r="B112" s="201" t="s">
        <v>171</v>
      </c>
      <c r="AH112" s="230"/>
    </row>
    <row r="113" spans="1:34">
      <c r="A113" s="229"/>
      <c r="B113" s="201" t="s">
        <v>172</v>
      </c>
      <c r="AH113" s="230"/>
    </row>
    <row r="114" spans="1:34">
      <c r="A114" s="229"/>
      <c r="B114" s="201" t="s">
        <v>182</v>
      </c>
      <c r="AH114" s="230"/>
    </row>
    <row r="115" spans="1:34">
      <c r="A115" s="229"/>
      <c r="B115" s="201" t="s">
        <v>173</v>
      </c>
      <c r="AH115" s="230"/>
    </row>
    <row r="116" spans="1:34">
      <c r="A116" s="229"/>
      <c r="B116" s="201" t="s">
        <v>174</v>
      </c>
      <c r="AH116" s="230"/>
    </row>
    <row r="117" spans="1:34">
      <c r="A117" s="229"/>
      <c r="B117" s="201" t="s">
        <v>175</v>
      </c>
      <c r="AH117" s="230"/>
    </row>
    <row r="118" spans="1:34">
      <c r="A118" s="229"/>
      <c r="B118" s="201" t="s">
        <v>176</v>
      </c>
      <c r="AH118" s="230"/>
    </row>
    <row r="119" spans="1:34">
      <c r="A119" s="229"/>
      <c r="B119" s="201" t="s">
        <v>177</v>
      </c>
      <c r="AH119" s="230"/>
    </row>
    <row r="120" spans="1:34">
      <c r="A120" s="229"/>
      <c r="B120" s="201" t="s">
        <v>160</v>
      </c>
      <c r="AH120" s="230"/>
    </row>
    <row r="121" spans="1:34">
      <c r="A121" s="229"/>
      <c r="B121" s="201" t="s">
        <v>178</v>
      </c>
      <c r="AH121" s="230"/>
    </row>
    <row r="122" spans="1:34">
      <c r="A122" s="229"/>
      <c r="B122" s="259" t="s">
        <v>179</v>
      </c>
      <c r="AH122" s="230"/>
    </row>
    <row r="123" spans="1:34">
      <c r="A123" s="229"/>
      <c r="B123" s="201" t="s">
        <v>180</v>
      </c>
      <c r="AH123" s="230"/>
    </row>
    <row r="124" spans="1:34">
      <c r="A124" s="229"/>
      <c r="B124" s="201" t="s">
        <v>181</v>
      </c>
      <c r="AH124" s="230"/>
    </row>
    <row r="125" spans="1:34">
      <c r="A125" s="229"/>
      <c r="B125" s="201" t="s">
        <v>184</v>
      </c>
      <c r="AH125" s="230"/>
    </row>
    <row r="126" spans="1:34">
      <c r="A126" s="229"/>
      <c r="B126" s="201" t="s">
        <v>183</v>
      </c>
      <c r="AH126" s="230"/>
    </row>
    <row r="127" spans="1:34">
      <c r="A127" s="229"/>
      <c r="AH127" s="230"/>
    </row>
    <row r="128" spans="1:34">
      <c r="A128" s="229"/>
      <c r="B128" s="201" t="s">
        <v>221</v>
      </c>
      <c r="AH128" s="230"/>
    </row>
    <row r="129" spans="1:34">
      <c r="A129" s="229"/>
      <c r="B129" s="201" t="s">
        <v>186</v>
      </c>
      <c r="AH129" s="230"/>
    </row>
    <row r="130" spans="1:34">
      <c r="A130" s="229"/>
      <c r="AH130" s="230"/>
    </row>
    <row r="131" spans="1:34">
      <c r="A131" s="229"/>
      <c r="B131" s="201" t="s">
        <v>222</v>
      </c>
      <c r="AH131" s="230"/>
    </row>
    <row r="132" spans="1:34">
      <c r="A132" s="229"/>
      <c r="B132" s="201" t="s">
        <v>185</v>
      </c>
      <c r="AH132" s="230"/>
    </row>
    <row r="133" spans="1:34">
      <c r="A133" s="229"/>
      <c r="AH133" s="230"/>
    </row>
    <row r="134" spans="1:34">
      <c r="A134" s="229"/>
      <c r="B134" s="201" t="s">
        <v>222</v>
      </c>
      <c r="AH134" s="230"/>
    </row>
    <row r="135" spans="1:34">
      <c r="A135" s="229"/>
      <c r="B135" s="201" t="s">
        <v>187</v>
      </c>
      <c r="AH135" s="230"/>
    </row>
    <row r="136" spans="1:34">
      <c r="A136" s="229"/>
      <c r="AH136" s="230"/>
    </row>
    <row r="137" spans="1:34">
      <c r="A137" s="229"/>
      <c r="B137" s="201" t="s">
        <v>223</v>
      </c>
      <c r="AH137" s="230"/>
    </row>
    <row r="138" spans="1:34">
      <c r="A138" s="229"/>
      <c r="B138" s="201" t="s">
        <v>188</v>
      </c>
      <c r="AH138" s="230"/>
    </row>
    <row r="139" spans="1:34">
      <c r="A139" s="229"/>
      <c r="AH139" s="230"/>
    </row>
    <row r="140" spans="1:34">
      <c r="A140" s="229"/>
      <c r="B140" s="201" t="s">
        <v>224</v>
      </c>
      <c r="AH140" s="230"/>
    </row>
    <row r="141" spans="1:34">
      <c r="A141" s="229"/>
      <c r="B141" s="201" t="s">
        <v>189</v>
      </c>
      <c r="AH141" s="230"/>
    </row>
    <row r="142" spans="1:34">
      <c r="A142" s="229"/>
      <c r="AH142" s="230"/>
    </row>
    <row r="143" spans="1:34">
      <c r="A143" s="229"/>
      <c r="B143" s="201" t="s">
        <v>225</v>
      </c>
      <c r="AH143" s="230"/>
    </row>
    <row r="144" spans="1:34">
      <c r="A144" s="229"/>
      <c r="B144" s="201" t="s">
        <v>546</v>
      </c>
      <c r="C144" s="201" t="s">
        <v>190</v>
      </c>
      <c r="AH144" s="230"/>
    </row>
    <row r="145" spans="1:34">
      <c r="A145" s="229"/>
      <c r="B145" s="201" t="s">
        <v>547</v>
      </c>
      <c r="C145" s="201" t="s">
        <v>191</v>
      </c>
      <c r="AH145" s="230"/>
    </row>
    <row r="146" spans="1:34">
      <c r="A146" s="229"/>
      <c r="B146" s="201" t="s">
        <v>548</v>
      </c>
      <c r="C146" s="201" t="s">
        <v>192</v>
      </c>
      <c r="AH146" s="230"/>
    </row>
    <row r="147" spans="1:34">
      <c r="A147" s="229"/>
      <c r="B147" s="201" t="s">
        <v>549</v>
      </c>
      <c r="C147" s="201" t="s">
        <v>211</v>
      </c>
      <c r="AH147" s="230"/>
    </row>
    <row r="148" spans="1:34">
      <c r="A148" s="229"/>
      <c r="B148" s="201" t="s">
        <v>550</v>
      </c>
      <c r="C148" s="201" t="s">
        <v>193</v>
      </c>
      <c r="M148" s="507"/>
      <c r="N148" s="507"/>
      <c r="O148" s="507"/>
      <c r="AH148" s="230"/>
    </row>
    <row r="149" spans="1:34">
      <c r="A149" s="229"/>
      <c r="B149" s="201" t="s">
        <v>551</v>
      </c>
      <c r="C149" s="201" t="s">
        <v>194</v>
      </c>
      <c r="AH149" s="230"/>
    </row>
    <row r="150" spans="1:34">
      <c r="A150" s="229"/>
      <c r="B150" s="201" t="s">
        <v>552</v>
      </c>
      <c r="C150" s="201" t="s">
        <v>195</v>
      </c>
      <c r="M150" s="507"/>
      <c r="N150" s="507"/>
      <c r="O150" s="507"/>
      <c r="AH150" s="230"/>
    </row>
    <row r="151" spans="1:34">
      <c r="A151" s="229"/>
      <c r="B151" s="201" t="s">
        <v>553</v>
      </c>
      <c r="C151" s="201" t="s">
        <v>196</v>
      </c>
      <c r="AH151" s="230"/>
    </row>
    <row r="152" spans="1:34">
      <c r="A152" s="229"/>
      <c r="B152" s="201" t="s">
        <v>554</v>
      </c>
      <c r="C152" s="201" t="s">
        <v>197</v>
      </c>
      <c r="M152" s="507"/>
      <c r="N152" s="507"/>
      <c r="O152" s="507"/>
      <c r="AH152" s="230"/>
    </row>
    <row r="153" spans="1:34">
      <c r="A153" s="229"/>
      <c r="B153" s="201" t="s">
        <v>555</v>
      </c>
      <c r="C153" s="201" t="s">
        <v>198</v>
      </c>
      <c r="AH153" s="230"/>
    </row>
    <row r="154" spans="1:34">
      <c r="A154" s="229"/>
      <c r="B154" s="201" t="s">
        <v>556</v>
      </c>
      <c r="C154" s="201" t="s">
        <v>199</v>
      </c>
      <c r="M154" s="507"/>
      <c r="N154" s="507"/>
      <c r="O154" s="507"/>
      <c r="AH154" s="230"/>
    </row>
    <row r="155" spans="1:34">
      <c r="A155" s="229"/>
      <c r="B155" s="201" t="s">
        <v>557</v>
      </c>
      <c r="C155" s="201" t="s">
        <v>200</v>
      </c>
      <c r="AH155" s="230"/>
    </row>
    <row r="156" spans="1:34">
      <c r="A156" s="229"/>
      <c r="B156" s="201" t="s">
        <v>558</v>
      </c>
      <c r="C156" s="201" t="s">
        <v>201</v>
      </c>
      <c r="AH156" s="230"/>
    </row>
    <row r="157" spans="1:34">
      <c r="A157" s="229"/>
      <c r="B157" s="201" t="s">
        <v>559</v>
      </c>
      <c r="C157" s="201" t="s">
        <v>202</v>
      </c>
      <c r="M157" s="507"/>
      <c r="N157" s="507"/>
      <c r="O157" s="507"/>
      <c r="AH157" s="230"/>
    </row>
    <row r="158" spans="1:34">
      <c r="A158" s="229"/>
      <c r="B158" s="201" t="s">
        <v>560</v>
      </c>
      <c r="C158" s="201" t="s">
        <v>203</v>
      </c>
      <c r="AH158" s="230"/>
    </row>
    <row r="159" spans="1:34">
      <c r="A159" s="229"/>
      <c r="B159" s="201" t="s">
        <v>561</v>
      </c>
      <c r="C159" s="201" t="s">
        <v>204</v>
      </c>
      <c r="AH159" s="230"/>
    </row>
    <row r="160" spans="1:34">
      <c r="A160" s="229"/>
      <c r="B160" s="201" t="s">
        <v>562</v>
      </c>
      <c r="C160" s="201" t="s">
        <v>205</v>
      </c>
      <c r="M160" s="507"/>
      <c r="N160" s="507"/>
      <c r="O160" s="507"/>
      <c r="AH160" s="230"/>
    </row>
    <row r="161" spans="1:34">
      <c r="A161" s="229"/>
      <c r="B161" s="201" t="s">
        <v>563</v>
      </c>
      <c r="C161" s="201" t="s">
        <v>206</v>
      </c>
      <c r="AH161" s="230"/>
    </row>
    <row r="162" spans="1:34">
      <c r="A162" s="229"/>
      <c r="B162" s="201" t="s">
        <v>564</v>
      </c>
      <c r="C162" s="201" t="s">
        <v>207</v>
      </c>
      <c r="AH162" s="230"/>
    </row>
    <row r="163" spans="1:34">
      <c r="A163" s="229"/>
      <c r="B163" s="201" t="s">
        <v>565</v>
      </c>
      <c r="C163" s="201" t="s">
        <v>208</v>
      </c>
      <c r="M163" s="507"/>
      <c r="N163" s="507"/>
      <c r="O163" s="507"/>
      <c r="AH163" s="230"/>
    </row>
    <row r="164" spans="1:34">
      <c r="A164" s="229"/>
      <c r="B164" s="201" t="s">
        <v>566</v>
      </c>
      <c r="C164" s="201" t="s">
        <v>209</v>
      </c>
      <c r="AH164" s="230"/>
    </row>
    <row r="165" spans="1:34">
      <c r="A165" s="229"/>
      <c r="B165" s="201" t="s">
        <v>567</v>
      </c>
      <c r="C165" s="201" t="s">
        <v>210</v>
      </c>
      <c r="AH165" s="230"/>
    </row>
    <row r="166" spans="1:34">
      <c r="A166" s="229"/>
      <c r="B166" s="201" t="s">
        <v>568</v>
      </c>
      <c r="C166" s="201" t="s">
        <v>218</v>
      </c>
      <c r="AH166" s="230"/>
    </row>
    <row r="167" spans="1:34">
      <c r="A167" s="229"/>
      <c r="M167" s="507"/>
      <c r="N167" s="507"/>
      <c r="O167" s="507"/>
      <c r="AH167" s="230"/>
    </row>
    <row r="168" spans="1:34">
      <c r="A168" s="643" t="s">
        <v>42</v>
      </c>
      <c r="B168" s="644"/>
      <c r="C168" s="644"/>
      <c r="D168" s="644"/>
      <c r="E168" s="644"/>
      <c r="F168" s="644"/>
      <c r="G168" s="644"/>
      <c r="H168" s="644"/>
      <c r="I168" s="644"/>
      <c r="J168" s="644"/>
      <c r="K168" s="644"/>
      <c r="L168" s="644"/>
      <c r="M168" s="644"/>
      <c r="N168" s="644"/>
      <c r="O168" s="644"/>
      <c r="P168" s="644"/>
      <c r="Q168" s="644"/>
      <c r="R168" s="644"/>
      <c r="S168" s="644"/>
      <c r="T168" s="644"/>
      <c r="U168" s="644"/>
      <c r="V168" s="644"/>
      <c r="W168" s="644"/>
      <c r="X168" s="644"/>
      <c r="Y168" s="644"/>
      <c r="Z168" s="644"/>
      <c r="AA168" s="644"/>
      <c r="AB168" s="644"/>
      <c r="AC168" s="644"/>
      <c r="AD168" s="644"/>
      <c r="AE168" s="644"/>
      <c r="AF168" s="644"/>
      <c r="AG168" s="644"/>
      <c r="AH168" s="645"/>
    </row>
    <row r="169" spans="1:34">
      <c r="A169" s="229"/>
      <c r="M169" s="507"/>
      <c r="N169" s="507"/>
      <c r="O169" s="507"/>
      <c r="AH169" s="230"/>
    </row>
    <row r="170" spans="1:34">
      <c r="A170" s="229"/>
      <c r="B170" s="201" t="s">
        <v>226</v>
      </c>
      <c r="M170" s="507"/>
      <c r="N170" s="507"/>
      <c r="O170" s="507"/>
      <c r="AH170" s="230"/>
    </row>
    <row r="171" spans="1:34">
      <c r="A171" s="229"/>
      <c r="AH171" s="230"/>
    </row>
    <row r="172" spans="1:34">
      <c r="A172" s="229"/>
      <c r="B172" s="251" t="s">
        <v>958</v>
      </c>
      <c r="AH172" s="230"/>
    </row>
    <row r="173" spans="1:34">
      <c r="A173" s="229"/>
      <c r="B173" s="251"/>
      <c r="AH173" s="230"/>
    </row>
    <row r="174" spans="1:34">
      <c r="A174" s="229"/>
      <c r="B174" s="201" t="s">
        <v>579</v>
      </c>
      <c r="AH174" s="230"/>
    </row>
    <row r="175" spans="1:34">
      <c r="A175" s="229"/>
      <c r="AH175" s="230"/>
    </row>
    <row r="176" spans="1:34">
      <c r="A176" s="229"/>
      <c r="B176" s="251" t="s">
        <v>959</v>
      </c>
      <c r="AH176" s="230"/>
    </row>
    <row r="177" spans="1:34" hidden="1">
      <c r="A177" s="229"/>
      <c r="AH177" s="230"/>
    </row>
    <row r="178" spans="1:34" hidden="1">
      <c r="A178" s="229"/>
      <c r="AH178" s="230"/>
    </row>
    <row r="179" spans="1:34" hidden="1">
      <c r="A179" s="229"/>
      <c r="B179" s="201" t="s">
        <v>478</v>
      </c>
      <c r="AH179" s="230"/>
    </row>
    <row r="180" spans="1:34" hidden="1">
      <c r="A180" s="229"/>
      <c r="B180" s="201" t="s">
        <v>525</v>
      </c>
      <c r="AH180" s="230"/>
    </row>
    <row r="181" spans="1:34" hidden="1">
      <c r="A181" s="229"/>
      <c r="B181" s="201" t="s">
        <v>537</v>
      </c>
      <c r="AH181" s="230"/>
    </row>
    <row r="182" spans="1:34" hidden="1">
      <c r="A182" s="229"/>
      <c r="B182" s="201" t="s">
        <v>541</v>
      </c>
      <c r="AH182" s="230"/>
    </row>
    <row r="183" spans="1:34" hidden="1">
      <c r="A183" s="229"/>
      <c r="B183" s="201" t="s">
        <v>538</v>
      </c>
      <c r="AH183" s="230"/>
    </row>
    <row r="184" spans="1:34" hidden="1">
      <c r="A184" s="229"/>
      <c r="B184" s="201" t="s">
        <v>545</v>
      </c>
      <c r="AH184" s="230"/>
    </row>
    <row r="185" spans="1:34" hidden="1">
      <c r="A185" s="229"/>
      <c r="B185" s="201" t="s">
        <v>539</v>
      </c>
      <c r="AH185" s="230"/>
    </row>
    <row r="186" spans="1:34" hidden="1">
      <c r="A186" s="229"/>
      <c r="B186" s="201" t="s">
        <v>542</v>
      </c>
      <c r="AH186" s="230"/>
    </row>
    <row r="187" spans="1:34" hidden="1">
      <c r="A187" s="229"/>
      <c r="B187" s="201" t="s">
        <v>544</v>
      </c>
      <c r="AH187" s="230"/>
    </row>
    <row r="188" spans="1:34" hidden="1">
      <c r="A188" s="229"/>
      <c r="B188" s="201" t="s">
        <v>540</v>
      </c>
      <c r="AH188" s="230"/>
    </row>
    <row r="189" spans="1:34" hidden="1">
      <c r="A189" s="229"/>
      <c r="B189" s="201" t="s">
        <v>543</v>
      </c>
      <c r="AH189" s="230"/>
    </row>
    <row r="190" spans="1:34" hidden="1">
      <c r="A190" s="229"/>
      <c r="B190" s="201" t="s">
        <v>570</v>
      </c>
      <c r="AH190" s="230"/>
    </row>
    <row r="191" spans="1:34" hidden="1">
      <c r="A191" s="229"/>
      <c r="B191" s="201" t="s">
        <v>571</v>
      </c>
      <c r="AH191" s="230"/>
    </row>
    <row r="192" spans="1:34" hidden="1">
      <c r="A192" s="229"/>
      <c r="B192" s="201" t="s">
        <v>534</v>
      </c>
      <c r="AH192" s="230"/>
    </row>
    <row r="193" spans="1:34" hidden="1">
      <c r="A193" s="229"/>
      <c r="B193" s="201" t="s">
        <v>534</v>
      </c>
      <c r="AH193" s="230"/>
    </row>
    <row r="194" spans="1:34" hidden="1">
      <c r="A194" s="229"/>
      <c r="B194" s="201" t="s">
        <v>534</v>
      </c>
      <c r="AH194" s="230"/>
    </row>
    <row r="195" spans="1:34" hidden="1">
      <c r="A195" s="229"/>
      <c r="B195" s="201" t="s">
        <v>479</v>
      </c>
      <c r="AH195" s="230"/>
    </row>
    <row r="196" spans="1:34" hidden="1">
      <c r="A196" s="229"/>
      <c r="B196" s="201" t="s">
        <v>480</v>
      </c>
      <c r="AH196" s="230"/>
    </row>
    <row r="197" spans="1:34" hidden="1">
      <c r="A197" s="229"/>
      <c r="B197" s="201" t="s">
        <v>481</v>
      </c>
      <c r="AH197" s="230"/>
    </row>
    <row r="198" spans="1:34" hidden="1">
      <c r="A198" s="229"/>
      <c r="B198" s="201" t="s">
        <v>482</v>
      </c>
      <c r="AH198" s="230"/>
    </row>
    <row r="199" spans="1:34" hidden="1">
      <c r="A199" s="229"/>
      <c r="B199" s="201" t="s">
        <v>483</v>
      </c>
      <c r="AH199" s="230"/>
    </row>
    <row r="200" spans="1:34" hidden="1">
      <c r="A200" s="229"/>
      <c r="B200" s="201" t="s">
        <v>484</v>
      </c>
      <c r="AH200" s="230"/>
    </row>
    <row r="201" spans="1:34" hidden="1">
      <c r="A201" s="229"/>
      <c r="B201" s="201" t="s">
        <v>485</v>
      </c>
      <c r="AH201" s="230"/>
    </row>
    <row r="202" spans="1:34" hidden="1">
      <c r="A202" s="229"/>
      <c r="B202" s="201" t="s">
        <v>486</v>
      </c>
      <c r="AH202" s="230"/>
    </row>
    <row r="203" spans="1:34" hidden="1">
      <c r="A203" s="229"/>
      <c r="B203" s="201" t="s">
        <v>487</v>
      </c>
      <c r="AH203" s="230"/>
    </row>
    <row r="204" spans="1:34" hidden="1">
      <c r="A204" s="229"/>
      <c r="B204" s="201" t="s">
        <v>488</v>
      </c>
      <c r="AH204" s="230"/>
    </row>
    <row r="205" spans="1:34" hidden="1">
      <c r="A205" s="229"/>
      <c r="B205" s="201" t="s">
        <v>245</v>
      </c>
      <c r="AH205" s="230"/>
    </row>
    <row r="206" spans="1:34" hidden="1">
      <c r="A206" s="229"/>
      <c r="B206" s="201" t="s">
        <v>489</v>
      </c>
      <c r="AH206" s="230"/>
    </row>
    <row r="207" spans="1:34" hidden="1">
      <c r="A207" s="229"/>
      <c r="B207" s="201" t="s">
        <v>490</v>
      </c>
      <c r="AH207" s="230"/>
    </row>
    <row r="208" spans="1:34" hidden="1">
      <c r="A208" s="229"/>
      <c r="B208" s="201" t="s">
        <v>491</v>
      </c>
      <c r="AH208" s="230"/>
    </row>
    <row r="209" spans="1:34" hidden="1">
      <c r="A209" s="229"/>
      <c r="B209" s="201" t="s">
        <v>492</v>
      </c>
      <c r="AH209" s="230"/>
    </row>
    <row r="210" spans="1:34" hidden="1">
      <c r="A210" s="229"/>
      <c r="B210" s="201" t="s">
        <v>493</v>
      </c>
      <c r="AH210" s="230"/>
    </row>
    <row r="211" spans="1:34" hidden="1">
      <c r="A211" s="229"/>
      <c r="B211" s="201" t="s">
        <v>494</v>
      </c>
      <c r="AH211" s="230"/>
    </row>
    <row r="212" spans="1:34" hidden="1">
      <c r="A212" s="229"/>
      <c r="B212" s="201" t="s">
        <v>246</v>
      </c>
      <c r="AH212" s="230"/>
    </row>
    <row r="213" spans="1:34" hidden="1">
      <c r="A213" s="229"/>
      <c r="B213" s="201" t="s">
        <v>495</v>
      </c>
      <c r="AH213" s="230"/>
    </row>
    <row r="214" spans="1:34" hidden="1">
      <c r="A214" s="229"/>
      <c r="B214" s="201" t="s">
        <v>496</v>
      </c>
      <c r="AH214" s="230"/>
    </row>
    <row r="215" spans="1:34" hidden="1">
      <c r="A215" s="229"/>
      <c r="B215" s="201" t="s">
        <v>497</v>
      </c>
      <c r="AH215" s="230"/>
    </row>
    <row r="216" spans="1:34" hidden="1">
      <c r="A216" s="229"/>
      <c r="B216" s="201" t="s">
        <v>498</v>
      </c>
      <c r="AH216" s="230"/>
    </row>
    <row r="217" spans="1:34" hidden="1">
      <c r="A217" s="229"/>
      <c r="B217" s="201" t="s">
        <v>499</v>
      </c>
      <c r="AH217" s="230"/>
    </row>
    <row r="218" spans="1:34" hidden="1">
      <c r="A218" s="229"/>
      <c r="B218" s="201" t="s">
        <v>500</v>
      </c>
      <c r="AH218" s="230"/>
    </row>
    <row r="219" spans="1:34" hidden="1">
      <c r="A219" s="229"/>
      <c r="B219" s="201" t="s">
        <v>501</v>
      </c>
      <c r="AH219" s="230"/>
    </row>
    <row r="220" spans="1:34" hidden="1">
      <c r="A220" s="229"/>
      <c r="B220" s="201" t="s">
        <v>502</v>
      </c>
      <c r="AH220" s="230"/>
    </row>
    <row r="221" spans="1:34" hidden="1">
      <c r="A221" s="229"/>
      <c r="B221" s="201" t="s">
        <v>503</v>
      </c>
      <c r="AH221" s="230"/>
    </row>
    <row r="222" spans="1:34" hidden="1">
      <c r="A222" s="229"/>
      <c r="B222" s="201" t="s">
        <v>504</v>
      </c>
      <c r="AH222" s="230"/>
    </row>
    <row r="223" spans="1:34" hidden="1">
      <c r="A223" s="229"/>
      <c r="B223" s="201" t="s">
        <v>505</v>
      </c>
      <c r="AH223" s="230"/>
    </row>
    <row r="224" spans="1:34" hidden="1">
      <c r="A224" s="229"/>
      <c r="B224" s="201" t="s">
        <v>506</v>
      </c>
      <c r="AH224" s="230"/>
    </row>
    <row r="225" spans="1:34" hidden="1">
      <c r="A225" s="229"/>
      <c r="B225" s="201" t="s">
        <v>507</v>
      </c>
      <c r="AH225" s="230"/>
    </row>
    <row r="226" spans="1:34" hidden="1">
      <c r="A226" s="229"/>
      <c r="B226" s="201" t="s">
        <v>508</v>
      </c>
      <c r="AH226" s="230"/>
    </row>
    <row r="227" spans="1:34" hidden="1">
      <c r="A227" s="229"/>
      <c r="B227" s="201" t="s">
        <v>509</v>
      </c>
      <c r="AH227" s="230"/>
    </row>
    <row r="228" spans="1:34" hidden="1">
      <c r="A228" s="229"/>
      <c r="B228" s="201" t="s">
        <v>510</v>
      </c>
      <c r="AH228" s="230"/>
    </row>
    <row r="229" spans="1:34" hidden="1">
      <c r="A229" s="229"/>
      <c r="B229" s="201" t="s">
        <v>247</v>
      </c>
      <c r="AH229" s="230"/>
    </row>
    <row r="230" spans="1:34" hidden="1">
      <c r="A230" s="229"/>
      <c r="B230" s="201" t="s">
        <v>511</v>
      </c>
      <c r="AH230" s="230"/>
    </row>
    <row r="231" spans="1:34" hidden="1">
      <c r="A231" s="229"/>
      <c r="B231" s="201" t="s">
        <v>512</v>
      </c>
      <c r="AH231" s="230"/>
    </row>
    <row r="232" spans="1:34" hidden="1">
      <c r="A232" s="229"/>
      <c r="B232" s="201" t="s">
        <v>513</v>
      </c>
      <c r="AH232" s="230"/>
    </row>
    <row r="233" spans="1:34" hidden="1">
      <c r="A233" s="229"/>
      <c r="B233" s="201" t="s">
        <v>514</v>
      </c>
      <c r="AH233" s="230"/>
    </row>
    <row r="234" spans="1:34" hidden="1">
      <c r="A234" s="229"/>
      <c r="B234" s="201" t="s">
        <v>515</v>
      </c>
      <c r="AH234" s="230"/>
    </row>
    <row r="235" spans="1:34" hidden="1">
      <c r="A235" s="229"/>
      <c r="B235" s="201" t="s">
        <v>516</v>
      </c>
      <c r="AH235" s="230"/>
    </row>
    <row r="236" spans="1:34" hidden="1">
      <c r="A236" s="229"/>
      <c r="B236" s="201" t="s">
        <v>517</v>
      </c>
      <c r="AH236" s="230"/>
    </row>
    <row r="237" spans="1:34" hidden="1">
      <c r="A237" s="229"/>
      <c r="B237" s="201" t="s">
        <v>518</v>
      </c>
      <c r="AH237" s="230"/>
    </row>
    <row r="238" spans="1:34" hidden="1">
      <c r="A238" s="229"/>
      <c r="B238" s="201" t="s">
        <v>519</v>
      </c>
      <c r="AH238" s="230"/>
    </row>
    <row r="239" spans="1:34" hidden="1">
      <c r="A239" s="229"/>
      <c r="B239" s="201" t="s">
        <v>520</v>
      </c>
      <c r="AH239" s="230"/>
    </row>
    <row r="240" spans="1:34" hidden="1">
      <c r="A240" s="229"/>
      <c r="B240" s="201" t="s">
        <v>521</v>
      </c>
      <c r="AH240" s="230"/>
    </row>
    <row r="241" spans="1:34" hidden="1">
      <c r="A241" s="229"/>
      <c r="B241" s="201" t="s">
        <v>522</v>
      </c>
      <c r="AH241" s="230"/>
    </row>
    <row r="242" spans="1:34" hidden="1">
      <c r="A242" s="229"/>
      <c r="B242" s="201" t="s">
        <v>523</v>
      </c>
      <c r="AH242" s="230"/>
    </row>
    <row r="243" spans="1:34" hidden="1">
      <c r="A243" s="229"/>
      <c r="B243" s="201" t="s">
        <v>524</v>
      </c>
      <c r="AH243" s="230"/>
    </row>
    <row r="244" spans="1:34" hidden="1">
      <c r="A244" s="229"/>
      <c r="B244" s="201" t="s">
        <v>535</v>
      </c>
      <c r="AH244" s="230"/>
    </row>
    <row r="245" spans="1:34" hidden="1">
      <c r="A245" s="229"/>
      <c r="B245" s="201" t="s">
        <v>536</v>
      </c>
      <c r="AH245" s="230"/>
    </row>
    <row r="246" spans="1:34" hidden="1">
      <c r="A246" s="229"/>
      <c r="B246" s="201" t="s">
        <v>569</v>
      </c>
      <c r="AH246" s="230"/>
    </row>
    <row r="247" spans="1:34" hidden="1">
      <c r="A247" s="229"/>
      <c r="AH247" s="230"/>
    </row>
    <row r="248" spans="1:34" hidden="1">
      <c r="A248" s="229"/>
      <c r="B248" s="201" t="s">
        <v>248</v>
      </c>
      <c r="AH248" s="230"/>
    </row>
    <row r="249" spans="1:34" hidden="1">
      <c r="A249" s="229"/>
      <c r="AH249" s="230"/>
    </row>
    <row r="250" spans="1:34" hidden="1">
      <c r="A250" s="229"/>
      <c r="B250" s="201" t="s">
        <v>249</v>
      </c>
      <c r="AH250" s="230"/>
    </row>
    <row r="251" spans="1:34" hidden="1">
      <c r="A251" s="229"/>
      <c r="B251" s="201" t="s">
        <v>250</v>
      </c>
      <c r="AH251" s="230"/>
    </row>
    <row r="252" spans="1:34" hidden="1">
      <c r="A252" s="229"/>
      <c r="B252" s="201" t="s">
        <v>251</v>
      </c>
      <c r="AH252" s="230"/>
    </row>
    <row r="253" spans="1:34" hidden="1">
      <c r="A253" s="229"/>
      <c r="B253" s="201" t="s">
        <v>252</v>
      </c>
      <c r="AH253" s="230"/>
    </row>
    <row r="254" spans="1:34" hidden="1">
      <c r="A254" s="229"/>
      <c r="B254" s="201" t="s">
        <v>253</v>
      </c>
      <c r="AH254" s="230"/>
    </row>
    <row r="255" spans="1:34" hidden="1">
      <c r="A255" s="229"/>
      <c r="B255" s="201" t="s">
        <v>254</v>
      </c>
      <c r="AH255" s="230"/>
    </row>
    <row r="256" spans="1:34" hidden="1">
      <c r="A256" s="229"/>
      <c r="B256" s="201" t="s">
        <v>255</v>
      </c>
      <c r="AH256" s="230"/>
    </row>
    <row r="257" spans="1:34" hidden="1">
      <c r="A257" s="229"/>
      <c r="B257" s="201" t="s">
        <v>256</v>
      </c>
      <c r="AH257" s="230"/>
    </row>
    <row r="258" spans="1:34" hidden="1">
      <c r="A258" s="229"/>
      <c r="B258" s="201" t="s">
        <v>257</v>
      </c>
      <c r="AH258" s="230"/>
    </row>
    <row r="259" spans="1:34" hidden="1">
      <c r="A259" s="229"/>
      <c r="B259" s="201" t="s">
        <v>258</v>
      </c>
      <c r="AH259" s="230"/>
    </row>
    <row r="260" spans="1:34" hidden="1">
      <c r="A260" s="229"/>
      <c r="B260" s="201" t="s">
        <v>259</v>
      </c>
      <c r="AH260" s="230"/>
    </row>
    <row r="261" spans="1:34" hidden="1">
      <c r="A261" s="229"/>
      <c r="B261" s="201" t="s">
        <v>260</v>
      </c>
      <c r="AH261" s="230"/>
    </row>
    <row r="262" spans="1:34" hidden="1">
      <c r="A262" s="229"/>
      <c r="AH262" s="230"/>
    </row>
    <row r="263" spans="1:34" hidden="1">
      <c r="A263" s="229"/>
      <c r="B263" s="201" t="s">
        <v>261</v>
      </c>
      <c r="AH263" s="230"/>
    </row>
    <row r="264" spans="1:34" hidden="1">
      <c r="A264" s="229"/>
      <c r="B264" s="201" t="s">
        <v>262</v>
      </c>
      <c r="AH264" s="230"/>
    </row>
    <row r="265" spans="1:34" hidden="1">
      <c r="A265" s="229"/>
      <c r="B265" s="201" t="s">
        <v>263</v>
      </c>
      <c r="AH265" s="230"/>
    </row>
    <row r="266" spans="1:34" hidden="1">
      <c r="A266" s="229"/>
      <c r="B266" s="201" t="s">
        <v>264</v>
      </c>
      <c r="AH266" s="230"/>
    </row>
    <row r="267" spans="1:34" hidden="1">
      <c r="A267" s="229"/>
      <c r="B267" s="201" t="s">
        <v>265</v>
      </c>
      <c r="AH267" s="230"/>
    </row>
    <row r="268" spans="1:34" hidden="1">
      <c r="A268" s="229"/>
      <c r="B268" s="201" t="s">
        <v>266</v>
      </c>
      <c r="AH268" s="230"/>
    </row>
    <row r="269" spans="1:34" hidden="1">
      <c r="A269" s="229"/>
      <c r="B269" s="201" t="s">
        <v>267</v>
      </c>
      <c r="AH269" s="230"/>
    </row>
    <row r="270" spans="1:34" hidden="1">
      <c r="A270" s="229"/>
      <c r="B270" s="201" t="s">
        <v>268</v>
      </c>
      <c r="AH270" s="230"/>
    </row>
    <row r="271" spans="1:34" hidden="1">
      <c r="A271" s="229"/>
      <c r="B271" s="201" t="s">
        <v>269</v>
      </c>
      <c r="AH271" s="230"/>
    </row>
    <row r="272" spans="1:34" hidden="1">
      <c r="A272" s="229"/>
      <c r="B272" s="201" t="s">
        <v>270</v>
      </c>
      <c r="AH272" s="230"/>
    </row>
    <row r="273" spans="1:34" hidden="1">
      <c r="A273" s="229"/>
      <c r="B273" s="201" t="s">
        <v>271</v>
      </c>
      <c r="AH273" s="230"/>
    </row>
    <row r="274" spans="1:34" hidden="1">
      <c r="A274" s="229"/>
      <c r="B274" s="201" t="s">
        <v>272</v>
      </c>
      <c r="AH274" s="230"/>
    </row>
    <row r="275" spans="1:34" hidden="1">
      <c r="A275" s="229"/>
      <c r="AH275" s="230"/>
    </row>
    <row r="276" spans="1:34" hidden="1">
      <c r="A276" s="229"/>
      <c r="B276" s="201" t="s">
        <v>273</v>
      </c>
      <c r="AH276" s="230"/>
    </row>
    <row r="277" spans="1:34" hidden="1">
      <c r="A277" s="229"/>
      <c r="B277" s="201" t="s">
        <v>274</v>
      </c>
      <c r="AH277" s="230"/>
    </row>
    <row r="278" spans="1:34" hidden="1">
      <c r="A278" s="229"/>
      <c r="B278" s="201" t="s">
        <v>275</v>
      </c>
      <c r="AH278" s="230"/>
    </row>
    <row r="279" spans="1:34" hidden="1">
      <c r="A279" s="229"/>
      <c r="B279" s="201" t="s">
        <v>276</v>
      </c>
      <c r="AH279" s="230"/>
    </row>
    <row r="280" spans="1:34" hidden="1">
      <c r="A280" s="229"/>
      <c r="B280" s="201" t="s">
        <v>277</v>
      </c>
      <c r="AH280" s="230"/>
    </row>
    <row r="281" spans="1:34" hidden="1">
      <c r="A281" s="229"/>
      <c r="B281" s="201" t="s">
        <v>278</v>
      </c>
      <c r="AH281" s="230"/>
    </row>
    <row r="282" spans="1:34" hidden="1">
      <c r="A282" s="229"/>
      <c r="B282" s="201" t="s">
        <v>279</v>
      </c>
      <c r="AH282" s="230"/>
    </row>
    <row r="283" spans="1:34" hidden="1">
      <c r="A283" s="229"/>
      <c r="B283" s="201" t="s">
        <v>280</v>
      </c>
      <c r="AH283" s="230"/>
    </row>
    <row r="284" spans="1:34" hidden="1">
      <c r="A284" s="229"/>
      <c r="B284" s="201" t="s">
        <v>281</v>
      </c>
      <c r="AH284" s="230"/>
    </row>
    <row r="285" spans="1:34" hidden="1">
      <c r="A285" s="229"/>
      <c r="B285" s="201" t="s">
        <v>282</v>
      </c>
      <c r="AH285" s="230"/>
    </row>
    <row r="286" spans="1:34" hidden="1">
      <c r="A286" s="229"/>
      <c r="B286" s="201" t="s">
        <v>283</v>
      </c>
      <c r="AH286" s="230"/>
    </row>
    <row r="287" spans="1:34" hidden="1">
      <c r="A287" s="229"/>
      <c r="B287" s="201" t="s">
        <v>284</v>
      </c>
      <c r="AH287" s="230"/>
    </row>
    <row r="288" spans="1:34" hidden="1">
      <c r="A288" s="229"/>
      <c r="B288" s="201" t="s">
        <v>285</v>
      </c>
      <c r="AH288" s="230"/>
    </row>
    <row r="289" spans="1:34" hidden="1">
      <c r="A289" s="229"/>
      <c r="B289" s="201" t="s">
        <v>286</v>
      </c>
      <c r="AH289" s="230"/>
    </row>
    <row r="290" spans="1:34" hidden="1">
      <c r="A290" s="229"/>
      <c r="B290" s="201" t="s">
        <v>287</v>
      </c>
      <c r="AH290" s="230"/>
    </row>
    <row r="291" spans="1:34" hidden="1">
      <c r="A291" s="229"/>
      <c r="B291" s="201" t="s">
        <v>288</v>
      </c>
      <c r="AH291" s="230"/>
    </row>
    <row r="292" spans="1:34" hidden="1">
      <c r="A292" s="229"/>
      <c r="B292" s="201" t="s">
        <v>289</v>
      </c>
      <c r="AH292" s="230"/>
    </row>
    <row r="293" spans="1:34" hidden="1">
      <c r="A293" s="229"/>
      <c r="AH293" s="230"/>
    </row>
    <row r="294" spans="1:34" hidden="1">
      <c r="A294" s="229"/>
      <c r="B294" s="201" t="s">
        <v>290</v>
      </c>
      <c r="AH294" s="230"/>
    </row>
    <row r="295" spans="1:34" hidden="1">
      <c r="A295" s="229"/>
      <c r="B295" s="201" t="s">
        <v>291</v>
      </c>
      <c r="AH295" s="230"/>
    </row>
    <row r="296" spans="1:34" hidden="1">
      <c r="A296" s="229"/>
      <c r="B296" s="201" t="s">
        <v>292</v>
      </c>
      <c r="AH296" s="230"/>
    </row>
    <row r="297" spans="1:34" hidden="1">
      <c r="A297" s="229"/>
      <c r="B297" s="201" t="s">
        <v>293</v>
      </c>
      <c r="AH297" s="230"/>
    </row>
    <row r="298" spans="1:34" hidden="1">
      <c r="A298" s="229"/>
      <c r="B298" s="201" t="s">
        <v>294</v>
      </c>
      <c r="AH298" s="230"/>
    </row>
    <row r="299" spans="1:34" hidden="1">
      <c r="A299" s="229"/>
      <c r="B299" s="201" t="s">
        <v>295</v>
      </c>
      <c r="AH299" s="230"/>
    </row>
    <row r="300" spans="1:34" hidden="1">
      <c r="A300" s="229"/>
      <c r="AH300" s="230"/>
    </row>
    <row r="301" spans="1:34" hidden="1">
      <c r="A301" s="229"/>
      <c r="B301" s="201" t="s">
        <v>296</v>
      </c>
      <c r="AH301" s="230"/>
    </row>
    <row r="302" spans="1:34" hidden="1">
      <c r="A302" s="229"/>
      <c r="B302" s="201" t="s">
        <v>297</v>
      </c>
      <c r="AH302" s="230"/>
    </row>
    <row r="303" spans="1:34" hidden="1">
      <c r="A303" s="229"/>
      <c r="B303" s="201" t="s">
        <v>298</v>
      </c>
      <c r="AH303" s="230"/>
    </row>
    <row r="304" spans="1:34" hidden="1">
      <c r="A304" s="229"/>
      <c r="B304" s="201" t="s">
        <v>299</v>
      </c>
      <c r="AH304" s="230"/>
    </row>
    <row r="305" spans="1:34" hidden="1">
      <c r="A305" s="229"/>
      <c r="B305" s="201" t="s">
        <v>300</v>
      </c>
      <c r="AH305" s="230"/>
    </row>
    <row r="306" spans="1:34" hidden="1">
      <c r="A306" s="229"/>
      <c r="B306" s="201" t="s">
        <v>301</v>
      </c>
      <c r="AH306" s="230"/>
    </row>
    <row r="307" spans="1:34" hidden="1">
      <c r="A307" s="229"/>
      <c r="AH307" s="230"/>
    </row>
    <row r="308" spans="1:34" hidden="1">
      <c r="A308" s="229"/>
      <c r="B308" s="201" t="s">
        <v>302</v>
      </c>
      <c r="AH308" s="230"/>
    </row>
    <row r="309" spans="1:34" hidden="1">
      <c r="A309" s="229"/>
      <c r="B309" s="201" t="s">
        <v>303</v>
      </c>
      <c r="AH309" s="230"/>
    </row>
    <row r="310" spans="1:34" hidden="1">
      <c r="A310" s="229"/>
      <c r="B310" s="201" t="s">
        <v>304</v>
      </c>
      <c r="AH310" s="230"/>
    </row>
    <row r="311" spans="1:34" hidden="1">
      <c r="A311" s="229"/>
      <c r="AH311" s="230"/>
    </row>
    <row r="312" spans="1:34" hidden="1">
      <c r="A312" s="229"/>
      <c r="B312" s="201" t="s">
        <v>305</v>
      </c>
      <c r="AH312" s="230"/>
    </row>
    <row r="313" spans="1:34" hidden="1">
      <c r="A313" s="229"/>
      <c r="B313" s="201" t="s">
        <v>306</v>
      </c>
      <c r="AH313" s="230"/>
    </row>
    <row r="314" spans="1:34" hidden="1">
      <c r="A314" s="229"/>
      <c r="B314" s="201" t="s">
        <v>307</v>
      </c>
      <c r="AH314" s="230"/>
    </row>
    <row r="315" spans="1:34" hidden="1">
      <c r="A315" s="229"/>
      <c r="B315" s="201" t="s">
        <v>308</v>
      </c>
      <c r="AH315" s="230"/>
    </row>
    <row r="316" spans="1:34" hidden="1">
      <c r="A316" s="229"/>
      <c r="B316" s="201" t="s">
        <v>309</v>
      </c>
      <c r="AH316" s="230"/>
    </row>
    <row r="317" spans="1:34" hidden="1">
      <c r="A317" s="229"/>
      <c r="B317" s="201" t="s">
        <v>310</v>
      </c>
      <c r="AH317" s="230"/>
    </row>
    <row r="318" spans="1:34" hidden="1">
      <c r="A318" s="229"/>
      <c r="B318" s="201" t="s">
        <v>311</v>
      </c>
      <c r="AH318" s="230"/>
    </row>
    <row r="319" spans="1:34" hidden="1">
      <c r="A319" s="229"/>
      <c r="AH319" s="230"/>
    </row>
    <row r="320" spans="1:34" hidden="1">
      <c r="A320" s="229"/>
      <c r="B320" s="201" t="s">
        <v>312</v>
      </c>
      <c r="AH320" s="230"/>
    </row>
    <row r="321" spans="1:34" hidden="1">
      <c r="A321" s="229"/>
      <c r="B321" s="201" t="s">
        <v>313</v>
      </c>
      <c r="AH321" s="230"/>
    </row>
    <row r="322" spans="1:34" hidden="1">
      <c r="A322" s="229"/>
      <c r="B322" s="201" t="s">
        <v>314</v>
      </c>
      <c r="AH322" s="230"/>
    </row>
    <row r="323" spans="1:34" hidden="1">
      <c r="A323" s="229"/>
      <c r="B323" s="201" t="s">
        <v>315</v>
      </c>
      <c r="AH323" s="230"/>
    </row>
    <row r="324" spans="1:34" hidden="1">
      <c r="A324" s="229"/>
      <c r="B324" s="201" t="s">
        <v>316</v>
      </c>
      <c r="AH324" s="230"/>
    </row>
    <row r="325" spans="1:34" hidden="1">
      <c r="A325" s="229"/>
      <c r="B325" s="201" t="s">
        <v>317</v>
      </c>
      <c r="AH325" s="230"/>
    </row>
    <row r="326" spans="1:34" hidden="1">
      <c r="A326" s="229"/>
      <c r="B326" s="201" t="s">
        <v>318</v>
      </c>
      <c r="AH326" s="230"/>
    </row>
    <row r="327" spans="1:34" hidden="1">
      <c r="A327" s="229"/>
      <c r="AH327" s="230"/>
    </row>
    <row r="328" spans="1:34" hidden="1">
      <c r="A328" s="229"/>
      <c r="B328" s="201" t="s">
        <v>319</v>
      </c>
      <c r="AH328" s="230"/>
    </row>
    <row r="329" spans="1:34" hidden="1">
      <c r="A329" s="229"/>
      <c r="B329" s="201" t="s">
        <v>320</v>
      </c>
      <c r="AH329" s="230"/>
    </row>
    <row r="330" spans="1:34" hidden="1">
      <c r="A330" s="229"/>
      <c r="B330" s="201" t="s">
        <v>321</v>
      </c>
      <c r="AH330" s="230"/>
    </row>
    <row r="331" spans="1:34" hidden="1">
      <c r="A331" s="229"/>
      <c r="B331" s="201" t="s">
        <v>322</v>
      </c>
      <c r="AH331" s="230"/>
    </row>
    <row r="332" spans="1:34" hidden="1">
      <c r="A332" s="229"/>
      <c r="B332" s="201" t="s">
        <v>323</v>
      </c>
      <c r="AH332" s="230"/>
    </row>
    <row r="333" spans="1:34" hidden="1">
      <c r="A333" s="229"/>
      <c r="B333" s="201" t="s">
        <v>324</v>
      </c>
      <c r="AH333" s="230"/>
    </row>
    <row r="334" spans="1:34" hidden="1">
      <c r="A334" s="229"/>
      <c r="AH334" s="230"/>
    </row>
    <row r="335" spans="1:34" hidden="1">
      <c r="A335" s="229"/>
      <c r="B335" s="201" t="s">
        <v>325</v>
      </c>
      <c r="AH335" s="230"/>
    </row>
    <row r="336" spans="1:34" hidden="1">
      <c r="A336" s="229"/>
      <c r="B336" s="201" t="s">
        <v>326</v>
      </c>
      <c r="AH336" s="230"/>
    </row>
    <row r="337" spans="1:34" hidden="1">
      <c r="A337" s="229"/>
      <c r="AH337" s="230"/>
    </row>
    <row r="338" spans="1:34" hidden="1">
      <c r="A338" s="229"/>
      <c r="B338" s="201" t="s">
        <v>327</v>
      </c>
      <c r="AH338" s="230"/>
    </row>
    <row r="339" spans="1:34" hidden="1">
      <c r="A339" s="229"/>
      <c r="B339" s="201" t="s">
        <v>328</v>
      </c>
      <c r="AH339" s="230"/>
    </row>
    <row r="340" spans="1:34" hidden="1">
      <c r="A340" s="229"/>
      <c r="B340" s="201" t="s">
        <v>329</v>
      </c>
      <c r="AH340" s="230"/>
    </row>
    <row r="341" spans="1:34" hidden="1">
      <c r="A341" s="229"/>
      <c r="B341" s="201" t="s">
        <v>330</v>
      </c>
      <c r="AH341" s="230"/>
    </row>
    <row r="342" spans="1:34" hidden="1">
      <c r="A342" s="229"/>
      <c r="B342" s="201" t="s">
        <v>331</v>
      </c>
      <c r="AH342" s="230"/>
    </row>
    <row r="343" spans="1:34" hidden="1">
      <c r="A343" s="229"/>
      <c r="B343" s="201" t="s">
        <v>332</v>
      </c>
      <c r="AH343" s="230"/>
    </row>
    <row r="344" spans="1:34" hidden="1">
      <c r="A344" s="229"/>
      <c r="AH344" s="230"/>
    </row>
    <row r="345" spans="1:34" hidden="1">
      <c r="A345" s="229"/>
      <c r="B345" s="201" t="s">
        <v>333</v>
      </c>
      <c r="AH345" s="230"/>
    </row>
    <row r="346" spans="1:34" hidden="1">
      <c r="A346" s="229"/>
      <c r="B346" s="201" t="s">
        <v>334</v>
      </c>
      <c r="AH346" s="230"/>
    </row>
    <row r="347" spans="1:34" hidden="1">
      <c r="A347" s="229"/>
      <c r="B347" s="201" t="s">
        <v>335</v>
      </c>
      <c r="AH347" s="230"/>
    </row>
    <row r="348" spans="1:34" hidden="1">
      <c r="A348" s="229"/>
      <c r="B348" s="201" t="s">
        <v>336</v>
      </c>
      <c r="AH348" s="230"/>
    </row>
    <row r="349" spans="1:34" hidden="1">
      <c r="A349" s="229"/>
      <c r="B349" s="201" t="s">
        <v>337</v>
      </c>
      <c r="AH349" s="230"/>
    </row>
    <row r="350" spans="1:34" hidden="1">
      <c r="A350" s="229"/>
      <c r="AH350" s="230"/>
    </row>
    <row r="351" spans="1:34" hidden="1">
      <c r="A351" s="229"/>
      <c r="B351" s="201" t="s">
        <v>338</v>
      </c>
      <c r="AH351" s="230"/>
    </row>
    <row r="352" spans="1:34" hidden="1">
      <c r="A352" s="229"/>
      <c r="B352" s="201" t="s">
        <v>339</v>
      </c>
      <c r="AH352" s="230"/>
    </row>
    <row r="353" spans="1:34" hidden="1">
      <c r="A353" s="229"/>
      <c r="B353" s="201" t="s">
        <v>340</v>
      </c>
      <c r="AH353" s="230"/>
    </row>
    <row r="354" spans="1:34" hidden="1">
      <c r="A354" s="229"/>
      <c r="B354" s="201" t="s">
        <v>341</v>
      </c>
      <c r="AH354" s="230"/>
    </row>
    <row r="355" spans="1:34" hidden="1">
      <c r="A355" s="229"/>
      <c r="B355" s="201" t="s">
        <v>342</v>
      </c>
      <c r="AH355" s="230"/>
    </row>
    <row r="356" spans="1:34" hidden="1">
      <c r="A356" s="229"/>
      <c r="AH356" s="230"/>
    </row>
    <row r="357" spans="1:34" hidden="1">
      <c r="A357" s="229"/>
      <c r="B357" s="201" t="s">
        <v>343</v>
      </c>
      <c r="AH357" s="230"/>
    </row>
    <row r="358" spans="1:34" hidden="1">
      <c r="A358" s="229"/>
      <c r="B358" s="201" t="s">
        <v>344</v>
      </c>
      <c r="AH358" s="230"/>
    </row>
    <row r="359" spans="1:34" hidden="1">
      <c r="A359" s="229"/>
      <c r="B359" s="201" t="s">
        <v>345</v>
      </c>
      <c r="AH359" s="230"/>
    </row>
    <row r="360" spans="1:34" hidden="1">
      <c r="A360" s="229"/>
      <c r="B360" s="201" t="s">
        <v>346</v>
      </c>
      <c r="AH360" s="230"/>
    </row>
    <row r="361" spans="1:34" hidden="1">
      <c r="A361" s="229"/>
      <c r="B361" s="201" t="s">
        <v>347</v>
      </c>
      <c r="AH361" s="230"/>
    </row>
    <row r="362" spans="1:34" hidden="1">
      <c r="A362" s="229"/>
      <c r="AH362" s="230"/>
    </row>
    <row r="363" spans="1:34" hidden="1">
      <c r="A363" s="229"/>
      <c r="B363" s="201" t="s">
        <v>348</v>
      </c>
      <c r="AH363" s="230"/>
    </row>
    <row r="364" spans="1:34" hidden="1">
      <c r="A364" s="229"/>
      <c r="B364" s="201" t="s">
        <v>349</v>
      </c>
      <c r="AH364" s="230"/>
    </row>
    <row r="365" spans="1:34" hidden="1">
      <c r="A365" s="229"/>
      <c r="B365" s="201" t="s">
        <v>350</v>
      </c>
      <c r="AH365" s="230"/>
    </row>
    <row r="366" spans="1:34" hidden="1">
      <c r="A366" s="229"/>
      <c r="B366" s="201" t="s">
        <v>351</v>
      </c>
      <c r="AH366" s="230"/>
    </row>
    <row r="367" spans="1:34" hidden="1">
      <c r="A367" s="229"/>
      <c r="B367" s="201" t="s">
        <v>352</v>
      </c>
      <c r="AH367" s="230"/>
    </row>
    <row r="368" spans="1:34" hidden="1">
      <c r="A368" s="229"/>
      <c r="AH368" s="230"/>
    </row>
    <row r="369" spans="1:34" hidden="1">
      <c r="A369" s="229"/>
      <c r="B369" s="201" t="s">
        <v>353</v>
      </c>
      <c r="AH369" s="230"/>
    </row>
    <row r="370" spans="1:34" hidden="1">
      <c r="A370" s="229"/>
      <c r="B370" s="201" t="s">
        <v>354</v>
      </c>
      <c r="AH370" s="230"/>
    </row>
    <row r="371" spans="1:34" hidden="1">
      <c r="A371" s="229"/>
      <c r="B371" s="201" t="s">
        <v>355</v>
      </c>
      <c r="AH371" s="230"/>
    </row>
    <row r="372" spans="1:34" hidden="1">
      <c r="A372" s="229"/>
      <c r="B372" s="201" t="s">
        <v>356</v>
      </c>
      <c r="AH372" s="230"/>
    </row>
    <row r="373" spans="1:34" hidden="1">
      <c r="A373" s="229"/>
      <c r="B373" s="201" t="s">
        <v>357</v>
      </c>
      <c r="AH373" s="230"/>
    </row>
    <row r="374" spans="1:34" hidden="1">
      <c r="A374" s="229"/>
      <c r="B374" s="201" t="s">
        <v>358</v>
      </c>
      <c r="AH374" s="230"/>
    </row>
    <row r="375" spans="1:34" hidden="1">
      <c r="A375" s="229"/>
      <c r="B375" s="201" t="s">
        <v>359</v>
      </c>
      <c r="AH375" s="230"/>
    </row>
    <row r="376" spans="1:34" hidden="1">
      <c r="A376" s="229"/>
      <c r="B376" s="201" t="s">
        <v>244</v>
      </c>
      <c r="AH376" s="230"/>
    </row>
    <row r="377" spans="1:34" hidden="1">
      <c r="A377" s="229"/>
      <c r="B377" s="201" t="s">
        <v>360</v>
      </c>
      <c r="AH377" s="230"/>
    </row>
    <row r="378" spans="1:34" hidden="1">
      <c r="A378" s="229"/>
      <c r="B378" s="201" t="s">
        <v>361</v>
      </c>
      <c r="AH378" s="230"/>
    </row>
    <row r="379" spans="1:34" hidden="1">
      <c r="A379" s="229"/>
      <c r="AH379" s="230"/>
    </row>
    <row r="380" spans="1:34" hidden="1">
      <c r="A380" s="229"/>
      <c r="B380" s="201" t="s">
        <v>362</v>
      </c>
      <c r="AH380" s="230"/>
    </row>
    <row r="381" spans="1:34" hidden="1">
      <c r="A381" s="229"/>
      <c r="B381" s="201" t="s">
        <v>363</v>
      </c>
      <c r="AH381" s="230"/>
    </row>
    <row r="382" spans="1:34" hidden="1">
      <c r="A382" s="229"/>
      <c r="B382" s="201" t="s">
        <v>364</v>
      </c>
      <c r="AH382" s="230"/>
    </row>
    <row r="383" spans="1:34" hidden="1">
      <c r="A383" s="229"/>
      <c r="B383" s="201" t="s">
        <v>365</v>
      </c>
      <c r="AH383" s="230"/>
    </row>
    <row r="384" spans="1:34" hidden="1">
      <c r="A384" s="229"/>
      <c r="B384" s="201" t="s">
        <v>366</v>
      </c>
      <c r="AH384" s="230"/>
    </row>
    <row r="385" spans="1:34" hidden="1">
      <c r="A385" s="229"/>
      <c r="B385" s="201" t="s">
        <v>367</v>
      </c>
      <c r="AH385" s="230"/>
    </row>
    <row r="386" spans="1:34" hidden="1">
      <c r="A386" s="229"/>
      <c r="AH386" s="230"/>
    </row>
    <row r="387" spans="1:34" hidden="1">
      <c r="A387" s="229"/>
      <c r="B387" s="201" t="s">
        <v>368</v>
      </c>
      <c r="AH387" s="230"/>
    </row>
    <row r="388" spans="1:34" hidden="1">
      <c r="A388" s="229"/>
      <c r="B388" s="201" t="s">
        <v>369</v>
      </c>
      <c r="AH388" s="230"/>
    </row>
    <row r="389" spans="1:34" hidden="1">
      <c r="A389" s="229"/>
      <c r="B389" s="201" t="s">
        <v>370</v>
      </c>
      <c r="AH389" s="230"/>
    </row>
    <row r="390" spans="1:34" hidden="1">
      <c r="A390" s="229"/>
      <c r="B390" s="201" t="s">
        <v>371</v>
      </c>
      <c r="AH390" s="230"/>
    </row>
    <row r="391" spans="1:34" hidden="1">
      <c r="A391" s="229"/>
      <c r="B391" s="201" t="s">
        <v>372</v>
      </c>
      <c r="AH391" s="230"/>
    </row>
    <row r="392" spans="1:34" hidden="1">
      <c r="A392" s="229"/>
      <c r="B392" s="201" t="s">
        <v>373</v>
      </c>
      <c r="AH392" s="230"/>
    </row>
    <row r="393" spans="1:34" hidden="1">
      <c r="A393" s="229"/>
      <c r="B393" s="201" t="s">
        <v>374</v>
      </c>
      <c r="AH393" s="230"/>
    </row>
    <row r="394" spans="1:34" hidden="1">
      <c r="A394" s="229"/>
      <c r="B394" s="201" t="s">
        <v>375</v>
      </c>
      <c r="AH394" s="230"/>
    </row>
    <row r="395" spans="1:34" hidden="1">
      <c r="A395" s="229"/>
      <c r="AH395" s="230"/>
    </row>
    <row r="396" spans="1:34" hidden="1">
      <c r="A396" s="229"/>
      <c r="B396" s="201" t="s">
        <v>376</v>
      </c>
      <c r="AH396" s="230"/>
    </row>
    <row r="397" spans="1:34" hidden="1">
      <c r="A397" s="229"/>
      <c r="B397" s="201" t="s">
        <v>377</v>
      </c>
      <c r="AH397" s="230"/>
    </row>
    <row r="398" spans="1:34" hidden="1">
      <c r="A398" s="229"/>
      <c r="B398" s="201" t="s">
        <v>378</v>
      </c>
      <c r="AH398" s="230"/>
    </row>
    <row r="399" spans="1:34" hidden="1">
      <c r="A399" s="229"/>
      <c r="B399" s="201" t="s">
        <v>379</v>
      </c>
      <c r="AH399" s="230"/>
    </row>
    <row r="400" spans="1:34" hidden="1">
      <c r="A400" s="229"/>
      <c r="B400" s="201" t="s">
        <v>380</v>
      </c>
      <c r="AH400" s="230"/>
    </row>
    <row r="401" spans="1:34" hidden="1">
      <c r="A401" s="229"/>
      <c r="B401" s="201" t="s">
        <v>381</v>
      </c>
      <c r="AH401" s="230"/>
    </row>
    <row r="402" spans="1:34" hidden="1">
      <c r="A402" s="229"/>
      <c r="B402" s="201" t="s">
        <v>382</v>
      </c>
      <c r="AH402" s="230"/>
    </row>
    <row r="403" spans="1:34" hidden="1">
      <c r="A403" s="229"/>
      <c r="B403" s="201" t="s">
        <v>383</v>
      </c>
      <c r="AH403" s="230"/>
    </row>
    <row r="404" spans="1:34" hidden="1">
      <c r="A404" s="229"/>
      <c r="B404" s="201" t="s">
        <v>384</v>
      </c>
      <c r="AH404" s="230"/>
    </row>
    <row r="405" spans="1:34" hidden="1">
      <c r="A405" s="229"/>
      <c r="B405" s="201" t="s">
        <v>385</v>
      </c>
      <c r="AH405" s="230"/>
    </row>
    <row r="406" spans="1:34" hidden="1">
      <c r="A406" s="229"/>
      <c r="B406" s="201" t="s">
        <v>386</v>
      </c>
      <c r="AH406" s="230"/>
    </row>
    <row r="407" spans="1:34" hidden="1">
      <c r="A407" s="229"/>
      <c r="B407" s="201" t="s">
        <v>387</v>
      </c>
      <c r="AH407" s="230"/>
    </row>
    <row r="408" spans="1:34" hidden="1">
      <c r="A408" s="229"/>
      <c r="B408" s="201" t="s">
        <v>388</v>
      </c>
      <c r="AH408" s="230"/>
    </row>
    <row r="409" spans="1:34" hidden="1">
      <c r="A409" s="229"/>
      <c r="B409" s="201" t="s">
        <v>389</v>
      </c>
      <c r="AH409" s="230"/>
    </row>
    <row r="410" spans="1:34" hidden="1">
      <c r="A410" s="229"/>
      <c r="B410" s="201" t="s">
        <v>390</v>
      </c>
      <c r="AH410" s="230"/>
    </row>
    <row r="411" spans="1:34" hidden="1">
      <c r="A411" s="229"/>
      <c r="B411" s="201" t="s">
        <v>391</v>
      </c>
      <c r="AH411" s="230"/>
    </row>
    <row r="412" spans="1:34" hidden="1">
      <c r="A412" s="229"/>
      <c r="AH412" s="230"/>
    </row>
    <row r="413" spans="1:34" hidden="1">
      <c r="A413" s="229"/>
      <c r="B413" s="201" t="s">
        <v>392</v>
      </c>
      <c r="AH413" s="230"/>
    </row>
    <row r="414" spans="1:34" hidden="1">
      <c r="A414" s="229"/>
      <c r="B414" s="201" t="s">
        <v>393</v>
      </c>
      <c r="AH414" s="230"/>
    </row>
    <row r="415" spans="1:34" hidden="1">
      <c r="A415" s="229"/>
      <c r="B415" s="201" t="s">
        <v>394</v>
      </c>
      <c r="AH415" s="230"/>
    </row>
    <row r="416" spans="1:34" hidden="1">
      <c r="A416" s="229"/>
      <c r="B416" s="201" t="s">
        <v>395</v>
      </c>
      <c r="AH416" s="230"/>
    </row>
    <row r="417" spans="1:34" hidden="1">
      <c r="A417" s="229"/>
      <c r="B417" s="201" t="s">
        <v>396</v>
      </c>
      <c r="AH417" s="230"/>
    </row>
    <row r="418" spans="1:34" hidden="1">
      <c r="A418" s="229"/>
      <c r="B418" s="201" t="s">
        <v>397</v>
      </c>
      <c r="AH418" s="230"/>
    </row>
    <row r="419" spans="1:34" hidden="1">
      <c r="A419" s="229"/>
      <c r="B419" s="201" t="s">
        <v>398</v>
      </c>
      <c r="AH419" s="230"/>
    </row>
    <row r="420" spans="1:34" hidden="1">
      <c r="A420" s="229"/>
      <c r="B420" s="201" t="s">
        <v>399</v>
      </c>
      <c r="AH420" s="230"/>
    </row>
    <row r="421" spans="1:34" hidden="1">
      <c r="A421" s="229"/>
      <c r="B421" s="201" t="s">
        <v>400</v>
      </c>
      <c r="AH421" s="230"/>
    </row>
    <row r="422" spans="1:34" hidden="1">
      <c r="A422" s="229"/>
      <c r="B422" s="201" t="s">
        <v>401</v>
      </c>
      <c r="AH422" s="230"/>
    </row>
    <row r="423" spans="1:34" hidden="1">
      <c r="A423" s="229"/>
      <c r="AH423" s="230"/>
    </row>
    <row r="424" spans="1:34" hidden="1">
      <c r="A424" s="229"/>
      <c r="B424" s="201" t="s">
        <v>402</v>
      </c>
      <c r="AH424" s="230"/>
    </row>
    <row r="425" spans="1:34" hidden="1">
      <c r="A425" s="229"/>
      <c r="B425" s="201" t="s">
        <v>403</v>
      </c>
      <c r="AH425" s="230"/>
    </row>
    <row r="426" spans="1:34" hidden="1">
      <c r="A426" s="229"/>
      <c r="B426" s="201" t="s">
        <v>404</v>
      </c>
      <c r="AH426" s="230"/>
    </row>
    <row r="427" spans="1:34" hidden="1">
      <c r="A427" s="229"/>
      <c r="B427" s="201" t="s">
        <v>405</v>
      </c>
      <c r="AH427" s="230"/>
    </row>
    <row r="428" spans="1:34" hidden="1">
      <c r="A428" s="229"/>
      <c r="B428" s="201" t="s">
        <v>406</v>
      </c>
      <c r="AH428" s="230"/>
    </row>
    <row r="429" spans="1:34" hidden="1">
      <c r="A429" s="229"/>
      <c r="B429" s="201" t="s">
        <v>407</v>
      </c>
      <c r="AH429" s="230"/>
    </row>
    <row r="430" spans="1:34" hidden="1">
      <c r="A430" s="229"/>
      <c r="B430" s="201" t="s">
        <v>408</v>
      </c>
      <c r="AH430" s="230"/>
    </row>
    <row r="431" spans="1:34" hidden="1">
      <c r="A431" s="229"/>
      <c r="B431" s="201" t="s">
        <v>409</v>
      </c>
      <c r="AH431" s="230"/>
    </row>
    <row r="432" spans="1:34" hidden="1">
      <c r="A432" s="229"/>
      <c r="B432" s="201" t="s">
        <v>410</v>
      </c>
      <c r="AH432" s="230"/>
    </row>
    <row r="433" spans="1:34" hidden="1">
      <c r="A433" s="229"/>
      <c r="B433" s="201" t="s">
        <v>411</v>
      </c>
      <c r="AH433" s="230"/>
    </row>
    <row r="434" spans="1:34" hidden="1">
      <c r="A434" s="229"/>
      <c r="AH434" s="230"/>
    </row>
    <row r="435" spans="1:34" hidden="1">
      <c r="A435" s="229"/>
      <c r="B435" s="201" t="s">
        <v>412</v>
      </c>
      <c r="AH435" s="230"/>
    </row>
    <row r="436" spans="1:34" hidden="1">
      <c r="A436" s="229"/>
      <c r="B436" s="201" t="s">
        <v>413</v>
      </c>
      <c r="AH436" s="230"/>
    </row>
    <row r="437" spans="1:34" hidden="1">
      <c r="A437" s="229"/>
      <c r="B437" s="201" t="s">
        <v>414</v>
      </c>
      <c r="AH437" s="230"/>
    </row>
    <row r="438" spans="1:34" hidden="1">
      <c r="A438" s="229"/>
      <c r="B438" s="201" t="s">
        <v>415</v>
      </c>
      <c r="AH438" s="230"/>
    </row>
    <row r="439" spans="1:34" hidden="1">
      <c r="A439" s="229"/>
      <c r="B439" s="201" t="s">
        <v>416</v>
      </c>
      <c r="AH439" s="230"/>
    </row>
    <row r="440" spans="1:34" hidden="1">
      <c r="A440" s="229"/>
      <c r="B440" s="201" t="s">
        <v>417</v>
      </c>
      <c r="AH440" s="230"/>
    </row>
    <row r="441" spans="1:34" hidden="1">
      <c r="A441" s="229"/>
      <c r="B441" s="201" t="s">
        <v>418</v>
      </c>
      <c r="AH441" s="230"/>
    </row>
    <row r="442" spans="1:34" hidden="1">
      <c r="A442" s="229"/>
      <c r="B442" s="201" t="s">
        <v>419</v>
      </c>
      <c r="AH442" s="230"/>
    </row>
    <row r="443" spans="1:34" hidden="1">
      <c r="A443" s="229"/>
      <c r="B443" s="201" t="s">
        <v>420</v>
      </c>
      <c r="AH443" s="230"/>
    </row>
    <row r="444" spans="1:34" hidden="1">
      <c r="A444" s="229"/>
      <c r="B444" s="201" t="s">
        <v>421</v>
      </c>
      <c r="AH444" s="230"/>
    </row>
    <row r="445" spans="1:34" hidden="1">
      <c r="A445" s="229"/>
      <c r="AH445" s="230"/>
    </row>
    <row r="446" spans="1:34" hidden="1">
      <c r="A446" s="229"/>
      <c r="B446" s="201" t="s">
        <v>422</v>
      </c>
      <c r="AH446" s="230"/>
    </row>
    <row r="447" spans="1:34" hidden="1">
      <c r="A447" s="229"/>
      <c r="B447" s="201" t="s">
        <v>423</v>
      </c>
      <c r="AH447" s="230"/>
    </row>
    <row r="448" spans="1:34" hidden="1">
      <c r="A448" s="229"/>
      <c r="B448" s="201" t="s">
        <v>424</v>
      </c>
      <c r="AH448" s="230"/>
    </row>
    <row r="449" spans="1:34" hidden="1">
      <c r="A449" s="229"/>
      <c r="B449" s="201" t="s">
        <v>425</v>
      </c>
      <c r="AH449" s="230"/>
    </row>
    <row r="450" spans="1:34" hidden="1">
      <c r="A450" s="229"/>
      <c r="B450" s="201" t="s">
        <v>426</v>
      </c>
      <c r="AH450" s="230"/>
    </row>
    <row r="451" spans="1:34" hidden="1">
      <c r="A451" s="229"/>
      <c r="B451" s="201" t="s">
        <v>427</v>
      </c>
      <c r="AH451" s="230"/>
    </row>
    <row r="452" spans="1:34" hidden="1">
      <c r="A452" s="229"/>
      <c r="B452" s="201" t="s">
        <v>428</v>
      </c>
      <c r="AH452" s="230"/>
    </row>
    <row r="453" spans="1:34" hidden="1">
      <c r="A453" s="229"/>
      <c r="B453" s="201" t="s">
        <v>429</v>
      </c>
      <c r="AH453" s="230"/>
    </row>
    <row r="454" spans="1:34" hidden="1">
      <c r="A454" s="229"/>
      <c r="B454" s="201" t="s">
        <v>430</v>
      </c>
      <c r="AH454" s="230"/>
    </row>
    <row r="455" spans="1:34" hidden="1">
      <c r="A455" s="229"/>
      <c r="B455" s="201" t="s">
        <v>431</v>
      </c>
      <c r="AH455" s="230"/>
    </row>
    <row r="456" spans="1:34" hidden="1">
      <c r="A456" s="229"/>
      <c r="AH456" s="230"/>
    </row>
    <row r="457" spans="1:34" hidden="1">
      <c r="A457" s="229"/>
      <c r="B457" s="201" t="s">
        <v>432</v>
      </c>
      <c r="AH457" s="230"/>
    </row>
    <row r="458" spans="1:34" hidden="1">
      <c r="A458" s="229"/>
      <c r="B458" s="201" t="s">
        <v>433</v>
      </c>
      <c r="AH458" s="230"/>
    </row>
    <row r="459" spans="1:34" hidden="1">
      <c r="A459" s="229"/>
      <c r="B459" s="201" t="s">
        <v>434</v>
      </c>
      <c r="AH459" s="230"/>
    </row>
    <row r="460" spans="1:34" hidden="1">
      <c r="A460" s="229"/>
      <c r="B460" s="201" t="s">
        <v>435</v>
      </c>
      <c r="AH460" s="230"/>
    </row>
    <row r="461" spans="1:34" hidden="1">
      <c r="A461" s="229"/>
      <c r="B461" s="201" t="s">
        <v>436</v>
      </c>
      <c r="AH461" s="230"/>
    </row>
    <row r="462" spans="1:34" hidden="1">
      <c r="A462" s="229"/>
      <c r="B462" s="201" t="s">
        <v>437</v>
      </c>
      <c r="AH462" s="230"/>
    </row>
    <row r="463" spans="1:34" hidden="1">
      <c r="A463" s="229"/>
      <c r="B463" s="201" t="s">
        <v>438</v>
      </c>
      <c r="AH463" s="230"/>
    </row>
    <row r="464" spans="1:34" hidden="1">
      <c r="A464" s="229"/>
      <c r="B464" s="201" t="s">
        <v>439</v>
      </c>
      <c r="AH464" s="230"/>
    </row>
    <row r="465" spans="1:34" hidden="1">
      <c r="A465" s="229"/>
      <c r="B465" s="201" t="s">
        <v>440</v>
      </c>
      <c r="AH465" s="230"/>
    </row>
    <row r="466" spans="1:34" hidden="1">
      <c r="A466" s="229"/>
      <c r="B466" s="201" t="s">
        <v>441</v>
      </c>
      <c r="AH466" s="230"/>
    </row>
    <row r="467" spans="1:34" hidden="1">
      <c r="A467" s="229"/>
      <c r="AH467" s="230"/>
    </row>
    <row r="468" spans="1:34" hidden="1">
      <c r="A468" s="229"/>
      <c r="B468" s="201" t="s">
        <v>442</v>
      </c>
      <c r="AH468" s="230"/>
    </row>
    <row r="469" spans="1:34" hidden="1">
      <c r="A469" s="229"/>
      <c r="B469" s="201" t="s">
        <v>443</v>
      </c>
      <c r="AH469" s="230"/>
    </row>
    <row r="470" spans="1:34" hidden="1">
      <c r="A470" s="229"/>
      <c r="B470" s="201" t="s">
        <v>444</v>
      </c>
      <c r="AH470" s="230"/>
    </row>
    <row r="471" spans="1:34" hidden="1">
      <c r="A471" s="229"/>
      <c r="B471" s="201" t="s">
        <v>445</v>
      </c>
      <c r="AH471" s="230"/>
    </row>
    <row r="472" spans="1:34" hidden="1">
      <c r="A472" s="229"/>
      <c r="B472" s="201" t="s">
        <v>446</v>
      </c>
      <c r="AH472" s="230"/>
    </row>
    <row r="473" spans="1:34" hidden="1">
      <c r="A473" s="229"/>
      <c r="B473" s="201" t="s">
        <v>447</v>
      </c>
      <c r="AH473" s="230"/>
    </row>
    <row r="474" spans="1:34" hidden="1">
      <c r="A474" s="229"/>
      <c r="B474" s="201" t="s">
        <v>448</v>
      </c>
      <c r="AH474" s="230"/>
    </row>
    <row r="475" spans="1:34" hidden="1">
      <c r="A475" s="229"/>
      <c r="B475" s="201" t="s">
        <v>449</v>
      </c>
      <c r="AH475" s="230"/>
    </row>
    <row r="476" spans="1:34" hidden="1">
      <c r="A476" s="229"/>
      <c r="B476" s="201" t="s">
        <v>450</v>
      </c>
      <c r="AH476" s="230"/>
    </row>
    <row r="477" spans="1:34" hidden="1">
      <c r="A477" s="229"/>
      <c r="B477" s="201" t="s">
        <v>451</v>
      </c>
      <c r="AH477" s="230"/>
    </row>
    <row r="478" spans="1:34" hidden="1">
      <c r="A478" s="229"/>
      <c r="AH478" s="230"/>
    </row>
    <row r="479" spans="1:34" hidden="1">
      <c r="A479" s="229"/>
      <c r="B479" s="201" t="s">
        <v>452</v>
      </c>
      <c r="AH479" s="230"/>
    </row>
    <row r="480" spans="1:34" hidden="1">
      <c r="A480" s="229"/>
      <c r="B480" s="201" t="s">
        <v>453</v>
      </c>
      <c r="AH480" s="230"/>
    </row>
    <row r="481" spans="1:34" hidden="1">
      <c r="A481" s="229"/>
      <c r="B481" s="201" t="s">
        <v>454</v>
      </c>
      <c r="AH481" s="230"/>
    </row>
    <row r="482" spans="1:34" hidden="1">
      <c r="A482" s="229"/>
      <c r="B482" s="201" t="s">
        <v>455</v>
      </c>
      <c r="AH482" s="230"/>
    </row>
    <row r="483" spans="1:34" hidden="1">
      <c r="A483" s="229"/>
      <c r="B483" s="201" t="s">
        <v>456</v>
      </c>
      <c r="AH483" s="230"/>
    </row>
    <row r="484" spans="1:34" hidden="1">
      <c r="A484" s="229"/>
      <c r="B484" s="201" t="s">
        <v>457</v>
      </c>
      <c r="AH484" s="230"/>
    </row>
    <row r="485" spans="1:34" hidden="1">
      <c r="A485" s="229"/>
      <c r="B485" s="201" t="s">
        <v>458</v>
      </c>
      <c r="AH485" s="230"/>
    </row>
    <row r="486" spans="1:34" hidden="1">
      <c r="A486" s="229"/>
      <c r="B486" s="201" t="s">
        <v>459</v>
      </c>
      <c r="AH486" s="230"/>
    </row>
    <row r="487" spans="1:34" hidden="1">
      <c r="A487" s="229"/>
      <c r="B487" s="201" t="s">
        <v>460</v>
      </c>
      <c r="AH487" s="230"/>
    </row>
    <row r="488" spans="1:34" hidden="1">
      <c r="A488" s="229"/>
      <c r="B488" s="201" t="s">
        <v>461</v>
      </c>
      <c r="AH488" s="230"/>
    </row>
    <row r="489" spans="1:34" hidden="1">
      <c r="A489" s="229"/>
      <c r="B489" s="201" t="s">
        <v>462</v>
      </c>
      <c r="AH489" s="230"/>
    </row>
    <row r="490" spans="1:34" hidden="1">
      <c r="A490" s="229"/>
      <c r="B490" s="201" t="s">
        <v>463</v>
      </c>
      <c r="AH490" s="230"/>
    </row>
    <row r="491" spans="1:34" hidden="1">
      <c r="A491" s="229"/>
      <c r="B491" s="201" t="s">
        <v>464</v>
      </c>
      <c r="AH491" s="230"/>
    </row>
    <row r="492" spans="1:34" hidden="1">
      <c r="A492" s="229"/>
      <c r="B492" s="201" t="s">
        <v>465</v>
      </c>
      <c r="AH492" s="230"/>
    </row>
    <row r="493" spans="1:34" hidden="1">
      <c r="A493" s="229"/>
      <c r="B493" s="201" t="s">
        <v>466</v>
      </c>
      <c r="AH493" s="230"/>
    </row>
    <row r="494" spans="1:34" hidden="1">
      <c r="A494" s="229"/>
      <c r="B494" s="201" t="s">
        <v>467</v>
      </c>
      <c r="AH494" s="230"/>
    </row>
    <row r="495" spans="1:34" hidden="1">
      <c r="A495" s="229"/>
      <c r="AH495" s="230"/>
    </row>
    <row r="496" spans="1:34">
      <c r="A496" s="229"/>
      <c r="AH496" s="230"/>
    </row>
    <row r="497" spans="1:34">
      <c r="A497" s="229"/>
      <c r="B497" s="201" t="s">
        <v>639</v>
      </c>
      <c r="AH497" s="230"/>
    </row>
    <row r="498" spans="1:34">
      <c r="A498" s="229"/>
      <c r="AH498" s="230"/>
    </row>
    <row r="499" spans="1:34">
      <c r="A499" s="229"/>
      <c r="B499" s="201" t="s">
        <v>684</v>
      </c>
      <c r="AH499" s="230"/>
    </row>
    <row r="500" spans="1:34">
      <c r="A500" s="229"/>
      <c r="AH500" s="230"/>
    </row>
    <row r="501" spans="1:34">
      <c r="A501" s="229"/>
      <c r="C501" s="201" t="s">
        <v>607</v>
      </c>
      <c r="AH501" s="230"/>
    </row>
    <row r="502" spans="1:34">
      <c r="A502" s="229"/>
      <c r="C502" s="201" t="s">
        <v>608</v>
      </c>
      <c r="AH502" s="230"/>
    </row>
    <row r="503" spans="1:34">
      <c r="A503" s="229"/>
      <c r="C503" s="201" t="s">
        <v>609</v>
      </c>
      <c r="AH503" s="230"/>
    </row>
    <row r="504" spans="1:34">
      <c r="A504" s="229"/>
      <c r="D504" s="201" t="s">
        <v>610</v>
      </c>
      <c r="AH504" s="230"/>
    </row>
    <row r="505" spans="1:34">
      <c r="A505" s="229"/>
      <c r="E505" s="201" t="s">
        <v>611</v>
      </c>
      <c r="AH505" s="230"/>
    </row>
    <row r="506" spans="1:34">
      <c r="A506" s="229"/>
      <c r="C506" s="201" t="s">
        <v>612</v>
      </c>
      <c r="AH506" s="230"/>
    </row>
    <row r="507" spans="1:34">
      <c r="A507" s="229"/>
      <c r="D507" s="201" t="s">
        <v>613</v>
      </c>
      <c r="AH507" s="230"/>
    </row>
    <row r="508" spans="1:34">
      <c r="A508" s="229"/>
      <c r="E508" s="201" t="s">
        <v>614</v>
      </c>
      <c r="AH508" s="230"/>
    </row>
    <row r="509" spans="1:34">
      <c r="A509" s="229"/>
      <c r="D509" s="201" t="s">
        <v>610</v>
      </c>
      <c r="AH509" s="230"/>
    </row>
    <row r="510" spans="1:34">
      <c r="A510" s="229"/>
      <c r="E510" s="201" t="s">
        <v>615</v>
      </c>
      <c r="AH510" s="230"/>
    </row>
    <row r="511" spans="1:34">
      <c r="A511" s="229"/>
      <c r="C511" s="201" t="s">
        <v>616</v>
      </c>
      <c r="AH511" s="230"/>
    </row>
    <row r="512" spans="1:34">
      <c r="A512" s="229"/>
      <c r="C512" s="201" t="s">
        <v>632</v>
      </c>
      <c r="AH512" s="230"/>
    </row>
    <row r="513" spans="1:34">
      <c r="A513" s="229"/>
      <c r="C513" s="201" t="s">
        <v>633</v>
      </c>
      <c r="AH513" s="230"/>
    </row>
    <row r="514" spans="1:34">
      <c r="A514" s="229"/>
      <c r="C514" s="201" t="s">
        <v>634</v>
      </c>
      <c r="AH514" s="230"/>
    </row>
    <row r="515" spans="1:34">
      <c r="A515" s="229"/>
      <c r="C515" s="201" t="s">
        <v>635</v>
      </c>
      <c r="AH515" s="230"/>
    </row>
    <row r="516" spans="1:34">
      <c r="A516" s="229"/>
      <c r="C516" s="201" t="s">
        <v>636</v>
      </c>
      <c r="AH516" s="230"/>
    </row>
    <row r="517" spans="1:34">
      <c r="A517" s="229"/>
      <c r="C517" s="201" t="s">
        <v>637</v>
      </c>
      <c r="AH517" s="230"/>
    </row>
    <row r="518" spans="1:34">
      <c r="A518" s="229"/>
      <c r="C518" s="201" t="s">
        <v>638</v>
      </c>
      <c r="AH518" s="230"/>
    </row>
    <row r="519" spans="1:34">
      <c r="A519" s="229"/>
      <c r="C519" s="201" t="s">
        <v>617</v>
      </c>
      <c r="AH519" s="230"/>
    </row>
    <row r="520" spans="1:34">
      <c r="A520" s="229"/>
      <c r="C520" s="201" t="s">
        <v>618</v>
      </c>
      <c r="AH520" s="230"/>
    </row>
    <row r="521" spans="1:34">
      <c r="A521" s="229"/>
      <c r="AH521" s="230"/>
    </row>
    <row r="522" spans="1:34">
      <c r="A522" s="229"/>
      <c r="C522" s="201" t="s">
        <v>619</v>
      </c>
      <c r="AH522" s="230"/>
    </row>
    <row r="523" spans="1:34">
      <c r="A523" s="229"/>
      <c r="D523" s="201" t="s">
        <v>620</v>
      </c>
      <c r="AH523" s="230"/>
    </row>
    <row r="524" spans="1:34">
      <c r="A524" s="229"/>
      <c r="D524" s="201" t="s">
        <v>621</v>
      </c>
      <c r="AH524" s="230"/>
    </row>
    <row r="525" spans="1:34">
      <c r="A525" s="229"/>
      <c r="C525" s="201" t="s">
        <v>622</v>
      </c>
      <c r="AH525" s="230"/>
    </row>
    <row r="526" spans="1:34">
      <c r="A526" s="229"/>
      <c r="D526" s="201" t="s">
        <v>623</v>
      </c>
      <c r="AH526" s="230"/>
    </row>
    <row r="527" spans="1:34">
      <c r="A527" s="229"/>
      <c r="D527" s="201" t="s">
        <v>624</v>
      </c>
      <c r="AH527" s="230"/>
    </row>
    <row r="528" spans="1:34">
      <c r="A528" s="229"/>
      <c r="C528" s="201" t="s">
        <v>625</v>
      </c>
      <c r="AH528" s="230"/>
    </row>
    <row r="529" spans="1:34">
      <c r="A529" s="229"/>
      <c r="D529" s="201" t="s">
        <v>626</v>
      </c>
      <c r="AH529" s="230"/>
    </row>
    <row r="530" spans="1:34">
      <c r="A530" s="229"/>
      <c r="AH530" s="230"/>
    </row>
    <row r="531" spans="1:34">
      <c r="A531" s="229"/>
      <c r="C531" s="201" t="s">
        <v>627</v>
      </c>
      <c r="AH531" s="230"/>
    </row>
    <row r="532" spans="1:34">
      <c r="A532" s="229"/>
      <c r="C532" s="201" t="s">
        <v>628</v>
      </c>
      <c r="AH532" s="230"/>
    </row>
    <row r="533" spans="1:34">
      <c r="A533" s="229"/>
      <c r="C533" s="201" t="s">
        <v>629</v>
      </c>
      <c r="AH533" s="230"/>
    </row>
    <row r="534" spans="1:34">
      <c r="A534" s="229"/>
      <c r="C534" s="201" t="s">
        <v>630</v>
      </c>
      <c r="AH534" s="230"/>
    </row>
    <row r="535" spans="1:34">
      <c r="A535" s="229"/>
      <c r="AH535" s="230"/>
    </row>
    <row r="536" spans="1:34">
      <c r="A536" s="229"/>
      <c r="C536" s="201" t="s">
        <v>631</v>
      </c>
      <c r="AH536" s="230"/>
    </row>
    <row r="537" spans="1:34">
      <c r="A537" s="229"/>
      <c r="D537" s="201" t="s">
        <v>1188</v>
      </c>
      <c r="AH537" s="230"/>
    </row>
    <row r="538" spans="1:34">
      <c r="A538" s="229"/>
      <c r="AH538" s="230"/>
    </row>
    <row r="539" spans="1:34">
      <c r="A539" s="229"/>
      <c r="AH539" s="230"/>
    </row>
    <row r="540" spans="1:34">
      <c r="A540" s="643" t="s">
        <v>43</v>
      </c>
      <c r="B540" s="644"/>
      <c r="C540" s="644"/>
      <c r="D540" s="644"/>
      <c r="E540" s="644"/>
      <c r="F540" s="644"/>
      <c r="G540" s="644"/>
      <c r="H540" s="644"/>
      <c r="I540" s="644"/>
      <c r="J540" s="644"/>
      <c r="K540" s="644"/>
      <c r="L540" s="644"/>
      <c r="M540" s="644"/>
      <c r="N540" s="644"/>
      <c r="O540" s="644"/>
      <c r="P540" s="644"/>
      <c r="Q540" s="644"/>
      <c r="R540" s="644"/>
      <c r="S540" s="644"/>
      <c r="T540" s="644"/>
      <c r="U540" s="644"/>
      <c r="V540" s="644"/>
      <c r="W540" s="644"/>
      <c r="X540" s="644"/>
      <c r="Y540" s="644"/>
      <c r="Z540" s="644"/>
      <c r="AA540" s="644"/>
      <c r="AB540" s="644"/>
      <c r="AC540" s="644"/>
      <c r="AD540" s="644"/>
      <c r="AE540" s="644"/>
      <c r="AF540" s="644"/>
      <c r="AG540" s="644"/>
      <c r="AH540" s="645"/>
    </row>
    <row r="541" spans="1:34">
      <c r="A541" s="229"/>
      <c r="M541" s="507"/>
      <c r="N541" s="507"/>
      <c r="O541" s="507"/>
      <c r="AH541" s="230"/>
    </row>
    <row r="542" spans="1:34">
      <c r="A542" s="229"/>
      <c r="B542" s="201" t="s">
        <v>44</v>
      </c>
      <c r="AH542" s="230"/>
    </row>
    <row r="543" spans="1:34">
      <c r="A543" s="229"/>
      <c r="M543" s="507"/>
      <c r="N543" s="507"/>
      <c r="O543" s="507"/>
      <c r="AH543" s="230"/>
    </row>
    <row r="544" spans="1:34">
      <c r="A544" s="229"/>
      <c r="AH544" s="230"/>
    </row>
    <row r="545" spans="1:34">
      <c r="A545" s="261"/>
      <c r="B545" s="262"/>
      <c r="C545" s="262"/>
      <c r="D545" s="262"/>
      <c r="E545" s="262"/>
      <c r="F545" s="262"/>
      <c r="G545" s="262"/>
      <c r="H545" s="262"/>
      <c r="I545" s="262"/>
      <c r="J545" s="262"/>
      <c r="K545" s="262"/>
      <c r="L545" s="262"/>
      <c r="M545" s="642"/>
      <c r="N545" s="642"/>
      <c r="O545" s="642"/>
      <c r="P545" s="262"/>
      <c r="Q545" s="262"/>
      <c r="R545" s="262"/>
      <c r="S545" s="262"/>
      <c r="T545" s="262"/>
      <c r="U545" s="262"/>
      <c r="V545" s="262"/>
      <c r="W545" s="262"/>
      <c r="X545" s="262"/>
      <c r="Y545" s="262"/>
      <c r="Z545" s="262"/>
      <c r="AA545" s="262"/>
      <c r="AB545" s="262"/>
      <c r="AC545" s="262"/>
      <c r="AD545" s="262"/>
      <c r="AE545" s="262"/>
      <c r="AF545" s="262"/>
      <c r="AG545" s="262"/>
      <c r="AH545" s="263"/>
    </row>
  </sheetData>
  <autoFilter ref="A9:AH539"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76">
    <mergeCell ref="AC1:AH1"/>
    <mergeCell ref="A4:B4"/>
    <mergeCell ref="M4:Q4"/>
    <mergeCell ref="R4:W4"/>
    <mergeCell ref="X4:AB4"/>
    <mergeCell ref="AC4:AH4"/>
    <mergeCell ref="A1:B1"/>
    <mergeCell ref="C1:D1"/>
    <mergeCell ref="E1:L4"/>
    <mergeCell ref="M1:Q1"/>
    <mergeCell ref="R1:W1"/>
    <mergeCell ref="X1:AB1"/>
    <mergeCell ref="A6:B6"/>
    <mergeCell ref="C6:D6"/>
    <mergeCell ref="E6:F6"/>
    <mergeCell ref="A8:A9"/>
    <mergeCell ref="B8:C9"/>
    <mergeCell ref="D8:D9"/>
    <mergeCell ref="E8:E9"/>
    <mergeCell ref="F8:H8"/>
    <mergeCell ref="M16:O16"/>
    <mergeCell ref="J8:J9"/>
    <mergeCell ref="K8:O8"/>
    <mergeCell ref="P8:AA9"/>
    <mergeCell ref="AB8:AH9"/>
    <mergeCell ref="M9:O9"/>
    <mergeCell ref="M10:O10"/>
    <mergeCell ref="M11:O11"/>
    <mergeCell ref="M12:O12"/>
    <mergeCell ref="M13:O13"/>
    <mergeCell ref="M14:O14"/>
    <mergeCell ref="M15:O15"/>
    <mergeCell ref="M24:O24"/>
    <mergeCell ref="M17:O17"/>
    <mergeCell ref="M18:O18"/>
    <mergeCell ref="M19:O19"/>
    <mergeCell ref="P19:AA19"/>
    <mergeCell ref="M20:O20"/>
    <mergeCell ref="P20:AA20"/>
    <mergeCell ref="M21:O21"/>
    <mergeCell ref="P21:AA21"/>
    <mergeCell ref="M22:O22"/>
    <mergeCell ref="P22:AA22"/>
    <mergeCell ref="M23:O23"/>
    <mergeCell ref="A33:AH33"/>
    <mergeCell ref="M25:O25"/>
    <mergeCell ref="M26:O26"/>
    <mergeCell ref="M27:O27"/>
    <mergeCell ref="P27:AA27"/>
    <mergeCell ref="M28:O28"/>
    <mergeCell ref="P28:AA28"/>
    <mergeCell ref="M29:O29"/>
    <mergeCell ref="M30:O30"/>
    <mergeCell ref="M31:O31"/>
    <mergeCell ref="M32:O32"/>
    <mergeCell ref="P32:AA32"/>
    <mergeCell ref="M163:O163"/>
    <mergeCell ref="M34:O34"/>
    <mergeCell ref="M35:O35"/>
    <mergeCell ref="M37:O37"/>
    <mergeCell ref="M82:O82"/>
    <mergeCell ref="M86:O86"/>
    <mergeCell ref="M148:O148"/>
    <mergeCell ref="M150:O150"/>
    <mergeCell ref="M152:O152"/>
    <mergeCell ref="M154:O154"/>
    <mergeCell ref="M157:O157"/>
    <mergeCell ref="M160:O160"/>
    <mergeCell ref="M543:O543"/>
    <mergeCell ref="M545:O545"/>
    <mergeCell ref="M167:O167"/>
    <mergeCell ref="A168:AH168"/>
    <mergeCell ref="M169:O169"/>
    <mergeCell ref="M170:O170"/>
    <mergeCell ref="A540:AH540"/>
    <mergeCell ref="M541:O541"/>
  </mergeCells>
  <phoneticPr fontId="15"/>
  <dataValidations count="1">
    <dataValidation imeMode="on" allowBlank="1" showInputMessage="1" showErrorMessage="1" sqref="C541:C545 C10:C32 C86:C167 C169:C539 C34:C83" xr:uid="{A872CC84-176E-4127-A0B0-104B0C256FC4}"/>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A89D-69B6-4CA2-8959-BFEFB1ECA3C7}">
  <sheetPr>
    <pageSetUpPr fitToPage="1"/>
  </sheetPr>
  <dimension ref="A1:AP559"/>
  <sheetViews>
    <sheetView showGridLines="0" view="pageBreakPreview" zoomScale="85" zoomScaleNormal="70" zoomScaleSheetLayoutView="85" workbookViewId="0">
      <pane ySplit="6" topLeftCell="A7" activePane="bottomLeft" state="frozen"/>
      <selection activeCell="P19" sqref="P19:AA32"/>
      <selection pane="bottomLeft" activeCell="P19" sqref="P19:AA32"/>
    </sheetView>
  </sheetViews>
  <sheetFormatPr defaultColWidth="9" defaultRowHeight="15.75"/>
  <cols>
    <col min="1" max="1" width="4.375" style="251" customWidth="1"/>
    <col min="2" max="2" width="29.75" style="251" bestFit="1" customWidth="1"/>
    <col min="3" max="3" width="19.375" style="251" customWidth="1"/>
    <col min="4" max="5" width="9" style="251" customWidth="1"/>
    <col min="6" max="6" width="5.875" style="251" customWidth="1"/>
    <col min="7" max="7" width="3.875" style="251" customWidth="1"/>
    <col min="8" max="8" width="9" style="251" customWidth="1"/>
    <col min="9" max="9" width="1.125" style="251" customWidth="1"/>
    <col min="10" max="10" width="9" style="251" customWidth="1"/>
    <col min="11" max="11" width="11.75" style="251" customWidth="1"/>
    <col min="12" max="12" width="9" style="251" customWidth="1"/>
    <col min="13" max="34" width="3.125" style="251" customWidth="1"/>
    <col min="35" max="35" width="9" style="251"/>
    <col min="36" max="36" width="19.625" style="251" customWidth="1"/>
    <col min="37" max="38" width="9" style="251"/>
    <col min="39" max="39" width="23.875" style="251" customWidth="1"/>
    <col min="40" max="16384" width="9" style="251"/>
  </cols>
  <sheetData>
    <row r="1" spans="1:39" ht="15.75" customHeight="1">
      <c r="A1" s="699"/>
      <c r="B1" s="699"/>
      <c r="C1" s="701"/>
      <c r="D1" s="701"/>
      <c r="E1" s="702"/>
      <c r="F1" s="702"/>
      <c r="G1" s="702"/>
      <c r="H1" s="702"/>
      <c r="I1" s="702"/>
      <c r="J1" s="702"/>
      <c r="K1" s="702"/>
      <c r="L1" s="702"/>
      <c r="M1" s="699"/>
      <c r="N1" s="699"/>
      <c r="O1" s="699"/>
      <c r="P1" s="699"/>
      <c r="Q1" s="699"/>
      <c r="R1" s="703"/>
      <c r="S1" s="698"/>
      <c r="T1" s="698"/>
      <c r="U1" s="698"/>
      <c r="V1" s="698"/>
      <c r="W1" s="698"/>
      <c r="X1" s="699"/>
      <c r="Y1" s="699"/>
      <c r="Z1" s="699"/>
      <c r="AA1" s="699"/>
      <c r="AB1" s="699"/>
      <c r="AC1" s="698"/>
      <c r="AD1" s="698"/>
      <c r="AE1" s="698"/>
      <c r="AF1" s="698"/>
      <c r="AG1" s="698"/>
      <c r="AH1" s="698"/>
    </row>
    <row r="2" spans="1:39" ht="15.75" customHeight="1">
      <c r="A2" s="264"/>
      <c r="B2" s="264"/>
      <c r="C2" s="265"/>
      <c r="D2" s="265"/>
      <c r="E2" s="702"/>
      <c r="F2" s="702"/>
      <c r="G2" s="702"/>
      <c r="H2" s="702"/>
      <c r="I2" s="702"/>
      <c r="J2" s="702"/>
      <c r="K2" s="702"/>
      <c r="L2" s="702"/>
      <c r="M2" s="264"/>
      <c r="N2" s="264"/>
      <c r="O2" s="264"/>
      <c r="P2" s="264"/>
      <c r="Q2" s="264"/>
      <c r="R2" s="266"/>
      <c r="S2" s="267"/>
      <c r="T2" s="267"/>
      <c r="U2" s="267"/>
      <c r="V2" s="267"/>
      <c r="W2" s="267"/>
      <c r="X2" s="264"/>
      <c r="Y2" s="264"/>
      <c r="Z2" s="264"/>
      <c r="AA2" s="264"/>
      <c r="AB2" s="264"/>
      <c r="AC2" s="267"/>
      <c r="AD2" s="267"/>
      <c r="AE2" s="267"/>
      <c r="AF2" s="267"/>
      <c r="AG2" s="267"/>
      <c r="AH2" s="267"/>
    </row>
    <row r="3" spans="1:39" ht="15.75" customHeight="1">
      <c r="A3" s="264"/>
      <c r="B3" s="264"/>
      <c r="C3" s="265"/>
      <c r="D3" s="265"/>
      <c r="E3" s="702"/>
      <c r="F3" s="702"/>
      <c r="G3" s="702"/>
      <c r="H3" s="702"/>
      <c r="I3" s="702"/>
      <c r="J3" s="702"/>
      <c r="K3" s="702"/>
      <c r="L3" s="702"/>
      <c r="M3" s="264"/>
      <c r="N3" s="264"/>
      <c r="O3" s="264"/>
      <c r="P3" s="264"/>
      <c r="Q3" s="264"/>
      <c r="R3" s="266"/>
      <c r="S3" s="267"/>
      <c r="T3" s="267"/>
      <c r="U3" s="267"/>
      <c r="V3" s="267"/>
      <c r="W3" s="267"/>
      <c r="X3" s="264"/>
      <c r="Y3" s="264"/>
      <c r="Z3" s="264"/>
      <c r="AA3" s="264"/>
      <c r="AB3" s="264"/>
      <c r="AC3" s="267"/>
      <c r="AD3" s="267"/>
      <c r="AE3" s="267"/>
      <c r="AF3" s="267"/>
      <c r="AG3" s="267"/>
      <c r="AH3" s="267"/>
    </row>
    <row r="4" spans="1:39" ht="15.75" customHeight="1">
      <c r="A4" s="699"/>
      <c r="B4" s="699"/>
      <c r="C4" s="267"/>
      <c r="E4" s="702"/>
      <c r="F4" s="702"/>
      <c r="G4" s="702"/>
      <c r="H4" s="702"/>
      <c r="I4" s="702"/>
      <c r="J4" s="702"/>
      <c r="K4" s="702"/>
      <c r="L4" s="702"/>
      <c r="M4" s="699"/>
      <c r="N4" s="699"/>
      <c r="O4" s="699"/>
      <c r="P4" s="699"/>
      <c r="Q4" s="699"/>
      <c r="R4" s="700"/>
      <c r="S4" s="698"/>
      <c r="T4" s="698"/>
      <c r="U4" s="698"/>
      <c r="V4" s="698"/>
      <c r="W4" s="698"/>
      <c r="X4" s="699"/>
      <c r="Y4" s="699"/>
      <c r="Z4" s="699"/>
      <c r="AA4" s="699"/>
      <c r="AB4" s="699"/>
      <c r="AC4" s="698"/>
      <c r="AD4" s="698"/>
      <c r="AE4" s="698"/>
      <c r="AF4" s="698"/>
      <c r="AG4" s="698"/>
      <c r="AH4" s="698"/>
    </row>
    <row r="5" spans="1:39" ht="5.25" customHeight="1"/>
    <row r="6" spans="1:39">
      <c r="A6" s="680" t="s">
        <v>20</v>
      </c>
      <c r="B6" s="681"/>
      <c r="C6" s="682" t="s">
        <v>640</v>
      </c>
      <c r="D6" s="683"/>
      <c r="E6" s="684" t="s">
        <v>21</v>
      </c>
      <c r="F6" s="684"/>
      <c r="G6" s="685" t="s">
        <v>641</v>
      </c>
      <c r="H6" s="686"/>
      <c r="I6" s="686"/>
      <c r="J6" s="686"/>
      <c r="K6" s="686"/>
      <c r="L6" s="686"/>
      <c r="M6" s="686"/>
      <c r="N6" s="686"/>
      <c r="O6" s="686"/>
      <c r="P6" s="686"/>
      <c r="Q6" s="686"/>
      <c r="R6" s="686"/>
      <c r="S6" s="686"/>
      <c r="T6" s="686"/>
      <c r="U6" s="686"/>
      <c r="V6" s="686"/>
      <c r="W6" s="686"/>
      <c r="X6" s="686"/>
      <c r="Y6" s="686"/>
      <c r="Z6" s="686"/>
      <c r="AA6" s="686"/>
      <c r="AB6" s="686"/>
      <c r="AC6" s="686"/>
      <c r="AD6" s="686"/>
      <c r="AE6" s="686"/>
      <c r="AF6" s="686"/>
      <c r="AG6" s="686"/>
      <c r="AH6" s="687"/>
    </row>
    <row r="7" spans="1:39" ht="5.25" customHeight="1"/>
    <row r="8" spans="1:39">
      <c r="A8" s="688" t="s">
        <v>22</v>
      </c>
      <c r="B8" s="688" t="s">
        <v>23</v>
      </c>
      <c r="C8" s="688"/>
      <c r="D8" s="688" t="s">
        <v>24</v>
      </c>
      <c r="E8" s="690" t="s">
        <v>25</v>
      </c>
      <c r="F8" s="688" t="s">
        <v>26</v>
      </c>
      <c r="G8" s="688"/>
      <c r="H8" s="688"/>
      <c r="I8" s="268"/>
      <c r="J8" s="692" t="s">
        <v>27</v>
      </c>
      <c r="K8" s="688" t="s">
        <v>28</v>
      </c>
      <c r="L8" s="688"/>
      <c r="M8" s="688"/>
      <c r="N8" s="688"/>
      <c r="O8" s="688"/>
      <c r="P8" s="694" t="s">
        <v>29</v>
      </c>
      <c r="Q8" s="694"/>
      <c r="R8" s="694"/>
      <c r="S8" s="694"/>
      <c r="T8" s="694"/>
      <c r="U8" s="694"/>
      <c r="V8" s="694"/>
      <c r="W8" s="694"/>
      <c r="X8" s="694"/>
      <c r="Y8" s="694"/>
      <c r="Z8" s="694"/>
      <c r="AA8" s="694"/>
      <c r="AB8" s="694" t="s">
        <v>30</v>
      </c>
      <c r="AC8" s="694"/>
      <c r="AD8" s="694"/>
      <c r="AE8" s="694"/>
      <c r="AF8" s="694"/>
      <c r="AG8" s="694"/>
      <c r="AH8" s="694"/>
    </row>
    <row r="9" spans="1:39" ht="16.5" thickBot="1">
      <c r="A9" s="689"/>
      <c r="B9" s="689"/>
      <c r="C9" s="689"/>
      <c r="D9" s="689"/>
      <c r="E9" s="691"/>
      <c r="F9" s="269" t="s">
        <v>31</v>
      </c>
      <c r="G9" s="270" t="s">
        <v>32</v>
      </c>
      <c r="H9" s="271" t="s">
        <v>33</v>
      </c>
      <c r="I9" s="272"/>
      <c r="J9" s="693"/>
      <c r="K9" s="269" t="s">
        <v>34</v>
      </c>
      <c r="L9" s="270" t="s">
        <v>35</v>
      </c>
      <c r="M9" s="696" t="s">
        <v>36</v>
      </c>
      <c r="N9" s="696"/>
      <c r="O9" s="697"/>
      <c r="P9" s="695"/>
      <c r="Q9" s="695"/>
      <c r="R9" s="695"/>
      <c r="S9" s="695"/>
      <c r="T9" s="695"/>
      <c r="U9" s="695"/>
      <c r="V9" s="695"/>
      <c r="W9" s="695"/>
      <c r="X9" s="695"/>
      <c r="Y9" s="695"/>
      <c r="Z9" s="695"/>
      <c r="AA9" s="695"/>
      <c r="AB9" s="695"/>
      <c r="AC9" s="695"/>
      <c r="AD9" s="695"/>
      <c r="AE9" s="695"/>
      <c r="AF9" s="695"/>
      <c r="AG9" s="695"/>
      <c r="AH9" s="695"/>
    </row>
    <row r="10" spans="1:39" ht="16.5" thickTop="1">
      <c r="A10" s="273">
        <f>+IF(C10&lt;&gt;"",ROW()-9,"")</f>
        <v>1</v>
      </c>
      <c r="B10" s="274" t="s">
        <v>227</v>
      </c>
      <c r="C10" s="274" t="s">
        <v>719</v>
      </c>
      <c r="D10" s="275" t="s">
        <v>1189</v>
      </c>
      <c r="E10" s="276">
        <v>1</v>
      </c>
      <c r="F10" s="276">
        <v>7</v>
      </c>
      <c r="G10" s="276">
        <v>0</v>
      </c>
      <c r="H10" s="276">
        <v>0</v>
      </c>
      <c r="I10" s="273"/>
      <c r="J10" s="277" t="s">
        <v>129</v>
      </c>
      <c r="K10" s="276"/>
      <c r="L10" s="276"/>
      <c r="M10" s="679"/>
      <c r="N10" s="679"/>
      <c r="O10" s="679"/>
      <c r="P10" s="278"/>
      <c r="Q10" s="278"/>
      <c r="R10" s="278"/>
      <c r="S10" s="278"/>
      <c r="T10" s="278"/>
      <c r="U10" s="278"/>
      <c r="V10" s="278"/>
      <c r="W10" s="278"/>
      <c r="X10" s="278"/>
      <c r="Y10" s="278"/>
      <c r="Z10" s="278"/>
      <c r="AA10" s="278"/>
      <c r="AB10" s="279"/>
      <c r="AC10" s="278"/>
      <c r="AD10" s="278"/>
      <c r="AE10" s="278"/>
      <c r="AF10" s="278"/>
      <c r="AG10" s="278"/>
      <c r="AH10" s="277"/>
      <c r="AJ10" s="251" t="s">
        <v>1190</v>
      </c>
      <c r="AM10" s="251" t="s">
        <v>1191</v>
      </c>
    </row>
    <row r="11" spans="1:39">
      <c r="A11" s="276">
        <f t="shared" ref="A11:A46" si="0">+IF(C11&lt;&gt;"",ROW()-9,"")</f>
        <v>2</v>
      </c>
      <c r="B11" s="276" t="s">
        <v>1012</v>
      </c>
      <c r="C11" s="276" t="s">
        <v>1192</v>
      </c>
      <c r="D11" s="275" t="s">
        <v>1193</v>
      </c>
      <c r="E11" s="276">
        <v>0</v>
      </c>
      <c r="F11" s="276">
        <v>2</v>
      </c>
      <c r="G11" s="276">
        <v>0</v>
      </c>
      <c r="H11" s="276">
        <f t="shared" ref="H11:H46" si="1">IF(C11="","",0)</f>
        <v>0</v>
      </c>
      <c r="I11" s="273"/>
      <c r="J11" s="277" t="s">
        <v>129</v>
      </c>
      <c r="K11" s="276"/>
      <c r="L11" s="276"/>
      <c r="M11" s="679"/>
      <c r="N11" s="679"/>
      <c r="O11" s="679"/>
      <c r="P11" s="273"/>
      <c r="Q11" s="278"/>
      <c r="R11" s="278"/>
      <c r="S11" s="278"/>
      <c r="T11" s="278"/>
      <c r="U11" s="278"/>
      <c r="V11" s="278"/>
      <c r="W11" s="278"/>
      <c r="X11" s="278"/>
      <c r="Y11" s="278"/>
      <c r="Z11" s="278"/>
      <c r="AA11" s="278"/>
      <c r="AB11" s="273"/>
      <c r="AC11" s="278"/>
      <c r="AD11" s="278"/>
      <c r="AE11" s="278"/>
      <c r="AF11" s="278"/>
      <c r="AG11" s="278"/>
      <c r="AH11" s="277"/>
      <c r="AJ11" s="251" t="s">
        <v>1194</v>
      </c>
      <c r="AM11" s="251" t="s">
        <v>1195</v>
      </c>
    </row>
    <row r="12" spans="1:39">
      <c r="A12" s="276">
        <f t="shared" si="0"/>
        <v>3</v>
      </c>
      <c r="B12" s="276" t="s">
        <v>237</v>
      </c>
      <c r="C12" s="276" t="s">
        <v>1196</v>
      </c>
      <c r="D12" s="275" t="b">
        <v>1</v>
      </c>
      <c r="E12" s="276">
        <v>0</v>
      </c>
      <c r="F12" s="276">
        <v>0</v>
      </c>
      <c r="G12" s="276">
        <v>0</v>
      </c>
      <c r="H12" s="276">
        <f t="shared" si="1"/>
        <v>0</v>
      </c>
      <c r="I12" s="273"/>
      <c r="J12" s="277" t="s">
        <v>133</v>
      </c>
      <c r="K12" s="276"/>
      <c r="L12" s="276"/>
      <c r="M12" s="679"/>
      <c r="N12" s="679"/>
      <c r="O12" s="679"/>
      <c r="P12" s="273"/>
      <c r="Q12" s="278"/>
      <c r="R12" s="278"/>
      <c r="S12" s="278"/>
      <c r="T12" s="278"/>
      <c r="U12" s="278"/>
      <c r="V12" s="278"/>
      <c r="W12" s="278"/>
      <c r="X12" s="278"/>
      <c r="Y12" s="278"/>
      <c r="Z12" s="278"/>
      <c r="AA12" s="278"/>
      <c r="AB12" s="273"/>
      <c r="AC12" s="278"/>
      <c r="AD12" s="278"/>
      <c r="AE12" s="278"/>
      <c r="AF12" s="278"/>
      <c r="AG12" s="278"/>
      <c r="AH12" s="277"/>
      <c r="AJ12" s="251" t="s">
        <v>1190</v>
      </c>
      <c r="AM12" s="251" t="s">
        <v>1197</v>
      </c>
    </row>
    <row r="13" spans="1:39">
      <c r="A13" s="276">
        <f t="shared" si="0"/>
        <v>4</v>
      </c>
      <c r="B13" s="276" t="s">
        <v>238</v>
      </c>
      <c r="C13" s="276" t="s">
        <v>1198</v>
      </c>
      <c r="D13" s="275" t="b">
        <v>1</v>
      </c>
      <c r="E13" s="276">
        <v>0</v>
      </c>
      <c r="F13" s="276">
        <v>0</v>
      </c>
      <c r="G13" s="276">
        <v>0</v>
      </c>
      <c r="H13" s="276">
        <f t="shared" si="1"/>
        <v>0</v>
      </c>
      <c r="I13" s="273"/>
      <c r="J13" s="277" t="s">
        <v>133</v>
      </c>
      <c r="K13" s="276"/>
      <c r="L13" s="276"/>
      <c r="M13" s="679"/>
      <c r="N13" s="679"/>
      <c r="O13" s="679"/>
      <c r="P13" s="273"/>
      <c r="Q13" s="278"/>
      <c r="R13" s="278"/>
      <c r="S13" s="278"/>
      <c r="T13" s="278"/>
      <c r="U13" s="278"/>
      <c r="V13" s="278"/>
      <c r="W13" s="278"/>
      <c r="X13" s="278"/>
      <c r="Y13" s="278"/>
      <c r="Z13" s="278"/>
      <c r="AA13" s="278"/>
      <c r="AB13" s="273"/>
      <c r="AC13" s="278"/>
      <c r="AD13" s="278"/>
      <c r="AE13" s="278"/>
      <c r="AF13" s="278"/>
      <c r="AG13" s="278"/>
      <c r="AH13" s="277"/>
      <c r="AJ13" s="251" t="s">
        <v>1190</v>
      </c>
      <c r="AM13" s="251" t="s">
        <v>1199</v>
      </c>
    </row>
    <row r="14" spans="1:39">
      <c r="A14" s="276">
        <f t="shared" si="0"/>
        <v>5</v>
      </c>
      <c r="B14" s="276" t="s">
        <v>1200</v>
      </c>
      <c r="C14" s="276" t="s">
        <v>1201</v>
      </c>
      <c r="D14" s="275" t="b">
        <v>1</v>
      </c>
      <c r="E14" s="276">
        <v>0</v>
      </c>
      <c r="F14" s="276">
        <v>0</v>
      </c>
      <c r="G14" s="276">
        <v>0</v>
      </c>
      <c r="H14" s="276">
        <f t="shared" si="1"/>
        <v>0</v>
      </c>
      <c r="I14" s="273"/>
      <c r="J14" s="277" t="s">
        <v>133</v>
      </c>
      <c r="K14" s="276"/>
      <c r="L14" s="276"/>
      <c r="M14" s="679"/>
      <c r="N14" s="679"/>
      <c r="O14" s="679"/>
      <c r="P14" s="273"/>
      <c r="Q14" s="278"/>
      <c r="R14" s="278"/>
      <c r="S14" s="278"/>
      <c r="T14" s="278"/>
      <c r="U14" s="278"/>
      <c r="V14" s="278"/>
      <c r="W14" s="278"/>
      <c r="X14" s="278"/>
      <c r="Y14" s="278"/>
      <c r="Z14" s="278"/>
      <c r="AA14" s="278"/>
      <c r="AB14" s="273"/>
      <c r="AC14" s="278"/>
      <c r="AD14" s="278"/>
      <c r="AE14" s="278"/>
      <c r="AF14" s="278"/>
      <c r="AG14" s="278"/>
      <c r="AH14" s="277"/>
      <c r="AJ14" s="251" t="s">
        <v>1190</v>
      </c>
      <c r="AM14" s="251" t="s">
        <v>1202</v>
      </c>
    </row>
    <row r="15" spans="1:39">
      <c r="A15" s="276">
        <f t="shared" si="0"/>
        <v>6</v>
      </c>
      <c r="B15" s="276" t="s">
        <v>1203</v>
      </c>
      <c r="C15" s="276" t="s">
        <v>1204</v>
      </c>
      <c r="D15" s="275" t="b">
        <v>1</v>
      </c>
      <c r="E15" s="276">
        <v>0</v>
      </c>
      <c r="F15" s="276">
        <v>8</v>
      </c>
      <c r="G15" s="276">
        <v>0</v>
      </c>
      <c r="H15" s="276">
        <f t="shared" si="1"/>
        <v>0</v>
      </c>
      <c r="I15" s="273"/>
      <c r="J15" s="277" t="s">
        <v>129</v>
      </c>
      <c r="K15" s="276"/>
      <c r="L15" s="276"/>
      <c r="M15" s="679"/>
      <c r="N15" s="679"/>
      <c r="O15" s="679"/>
      <c r="P15" s="273"/>
      <c r="Q15" s="278"/>
      <c r="R15" s="278"/>
      <c r="S15" s="278"/>
      <c r="T15" s="278"/>
      <c r="U15" s="278"/>
      <c r="V15" s="278"/>
      <c r="W15" s="278"/>
      <c r="X15" s="278"/>
      <c r="Y15" s="278"/>
      <c r="Z15" s="278"/>
      <c r="AA15" s="278"/>
      <c r="AB15" s="273"/>
      <c r="AC15" s="278"/>
      <c r="AD15" s="278"/>
      <c r="AE15" s="278"/>
      <c r="AF15" s="278"/>
      <c r="AG15" s="278"/>
      <c r="AH15" s="277"/>
      <c r="AJ15" s="251" t="s">
        <v>1205</v>
      </c>
      <c r="AM15" s="251" t="s">
        <v>1206</v>
      </c>
    </row>
    <row r="16" spans="1:39">
      <c r="A16" s="276">
        <f t="shared" si="0"/>
        <v>7</v>
      </c>
      <c r="B16" s="276" t="s">
        <v>1207</v>
      </c>
      <c r="C16" s="276" t="s">
        <v>1208</v>
      </c>
      <c r="D16" s="275" t="b">
        <v>1</v>
      </c>
      <c r="E16" s="276">
        <v>0</v>
      </c>
      <c r="F16" s="276">
        <v>80</v>
      </c>
      <c r="G16" s="276">
        <v>0</v>
      </c>
      <c r="H16" s="276">
        <f t="shared" si="1"/>
        <v>0</v>
      </c>
      <c r="I16" s="273"/>
      <c r="J16" s="277" t="s">
        <v>131</v>
      </c>
      <c r="K16" s="276"/>
      <c r="L16" s="276"/>
      <c r="M16" s="679"/>
      <c r="N16" s="679"/>
      <c r="O16" s="679"/>
      <c r="P16" s="273"/>
      <c r="Q16" s="278"/>
      <c r="R16" s="278"/>
      <c r="S16" s="278"/>
      <c r="T16" s="278"/>
      <c r="U16" s="278"/>
      <c r="V16" s="278"/>
      <c r="W16" s="278"/>
      <c r="X16" s="278"/>
      <c r="Y16" s="278"/>
      <c r="Z16" s="278"/>
      <c r="AA16" s="278"/>
      <c r="AB16" s="273"/>
      <c r="AC16" s="278"/>
      <c r="AD16" s="278"/>
      <c r="AE16" s="278"/>
      <c r="AF16" s="278"/>
      <c r="AG16" s="278"/>
      <c r="AH16" s="277"/>
      <c r="AJ16" s="251" t="s">
        <v>1205</v>
      </c>
      <c r="AM16" s="251" t="s">
        <v>1209</v>
      </c>
    </row>
    <row r="17" spans="1:39">
      <c r="A17" s="276">
        <f t="shared" si="0"/>
        <v>8</v>
      </c>
      <c r="B17" s="276" t="s">
        <v>1210</v>
      </c>
      <c r="C17" s="276" t="s">
        <v>1211</v>
      </c>
      <c r="D17" s="275" t="b">
        <v>1</v>
      </c>
      <c r="E17" s="276">
        <v>0</v>
      </c>
      <c r="F17" s="276">
        <v>8</v>
      </c>
      <c r="G17" s="276">
        <v>0</v>
      </c>
      <c r="H17" s="276">
        <f t="shared" si="1"/>
        <v>0</v>
      </c>
      <c r="I17" s="273"/>
      <c r="J17" s="277" t="s">
        <v>129</v>
      </c>
      <c r="K17" s="276"/>
      <c r="L17" s="276"/>
      <c r="M17" s="679"/>
      <c r="N17" s="679"/>
      <c r="O17" s="679"/>
      <c r="P17" s="273"/>
      <c r="Q17" s="278"/>
      <c r="R17" s="278"/>
      <c r="S17" s="278"/>
      <c r="T17" s="278"/>
      <c r="U17" s="278"/>
      <c r="V17" s="278"/>
      <c r="W17" s="278"/>
      <c r="X17" s="278"/>
      <c r="Y17" s="278"/>
      <c r="Z17" s="278"/>
      <c r="AA17" s="278"/>
      <c r="AB17" s="273"/>
      <c r="AC17" s="278"/>
      <c r="AD17" s="278"/>
      <c r="AE17" s="278"/>
      <c r="AF17" s="278"/>
      <c r="AG17" s="278"/>
      <c r="AH17" s="277"/>
      <c r="AJ17" s="251" t="s">
        <v>1212</v>
      </c>
      <c r="AM17" s="251" t="s">
        <v>1213</v>
      </c>
    </row>
    <row r="18" spans="1:39">
      <c r="A18" s="276">
        <f t="shared" si="0"/>
        <v>9</v>
      </c>
      <c r="B18" s="276" t="s">
        <v>1214</v>
      </c>
      <c r="C18" s="276" t="s">
        <v>1215</v>
      </c>
      <c r="D18" s="275" t="b">
        <v>1</v>
      </c>
      <c r="E18" s="276">
        <v>0</v>
      </c>
      <c r="F18" s="276">
        <v>60</v>
      </c>
      <c r="G18" s="276">
        <v>0</v>
      </c>
      <c r="H18" s="276">
        <f t="shared" si="1"/>
        <v>0</v>
      </c>
      <c r="I18" s="273"/>
      <c r="J18" s="277" t="s">
        <v>131</v>
      </c>
      <c r="K18" s="276"/>
      <c r="L18" s="276"/>
      <c r="M18" s="679"/>
      <c r="N18" s="679"/>
      <c r="O18" s="679"/>
      <c r="P18" s="273"/>
      <c r="Q18" s="278"/>
      <c r="R18" s="278"/>
      <c r="S18" s="278"/>
      <c r="T18" s="278"/>
      <c r="U18" s="278"/>
      <c r="V18" s="278"/>
      <c r="W18" s="278"/>
      <c r="X18" s="278"/>
      <c r="Y18" s="278"/>
      <c r="Z18" s="278"/>
      <c r="AA18" s="278"/>
      <c r="AB18" s="273"/>
      <c r="AC18" s="278"/>
      <c r="AD18" s="278"/>
      <c r="AE18" s="278"/>
      <c r="AF18" s="278"/>
      <c r="AG18" s="278"/>
      <c r="AH18" s="277"/>
      <c r="AJ18" s="251" t="s">
        <v>1212</v>
      </c>
      <c r="AM18" s="251" t="s">
        <v>1216</v>
      </c>
    </row>
    <row r="19" spans="1:39">
      <c r="A19" s="276">
        <f t="shared" si="0"/>
        <v>10</v>
      </c>
      <c r="B19" s="276" t="s">
        <v>230</v>
      </c>
      <c r="C19" s="276" t="s">
        <v>650</v>
      </c>
      <c r="D19" s="275" t="b">
        <v>1</v>
      </c>
      <c r="E19" s="276">
        <v>0</v>
      </c>
      <c r="F19" s="276">
        <v>8</v>
      </c>
      <c r="G19" s="276">
        <v>0</v>
      </c>
      <c r="H19" s="276">
        <f t="shared" si="1"/>
        <v>0</v>
      </c>
      <c r="I19" s="273"/>
      <c r="J19" s="277" t="s">
        <v>129</v>
      </c>
      <c r="K19" s="276"/>
      <c r="L19" s="276"/>
      <c r="M19" s="679"/>
      <c r="N19" s="679"/>
      <c r="O19" s="679"/>
      <c r="P19" s="273"/>
      <c r="Q19" s="278"/>
      <c r="R19" s="278"/>
      <c r="S19" s="278"/>
      <c r="T19" s="278"/>
      <c r="U19" s="278"/>
      <c r="V19" s="278"/>
      <c r="W19" s="278"/>
      <c r="X19" s="278"/>
      <c r="Y19" s="278"/>
      <c r="Z19" s="278"/>
      <c r="AA19" s="278"/>
      <c r="AB19" s="273"/>
      <c r="AC19" s="278"/>
      <c r="AD19" s="278"/>
      <c r="AE19" s="278"/>
      <c r="AF19" s="278"/>
      <c r="AG19" s="278"/>
      <c r="AH19" s="277"/>
      <c r="AJ19" s="251" t="s">
        <v>1190</v>
      </c>
      <c r="AM19" s="251" t="s">
        <v>572</v>
      </c>
    </row>
    <row r="20" spans="1:39">
      <c r="A20" s="276">
        <f t="shared" si="0"/>
        <v>11</v>
      </c>
      <c r="B20" s="276" t="s">
        <v>231</v>
      </c>
      <c r="C20" s="276" t="s">
        <v>702</v>
      </c>
      <c r="D20" s="275" t="b">
        <v>1</v>
      </c>
      <c r="E20" s="276">
        <v>0</v>
      </c>
      <c r="F20" s="276">
        <v>60</v>
      </c>
      <c r="G20" s="276">
        <v>0</v>
      </c>
      <c r="H20" s="276">
        <f t="shared" si="1"/>
        <v>0</v>
      </c>
      <c r="I20" s="273"/>
      <c r="J20" s="277" t="s">
        <v>131</v>
      </c>
      <c r="K20" s="276"/>
      <c r="L20" s="276"/>
      <c r="M20" s="679"/>
      <c r="N20" s="679"/>
      <c r="O20" s="679"/>
      <c r="P20" s="273"/>
      <c r="Q20" s="278"/>
      <c r="R20" s="278"/>
      <c r="S20" s="278"/>
      <c r="T20" s="278"/>
      <c r="U20" s="278"/>
      <c r="V20" s="278"/>
      <c r="W20" s="278"/>
      <c r="X20" s="278"/>
      <c r="Y20" s="278"/>
      <c r="Z20" s="278"/>
      <c r="AA20" s="278"/>
      <c r="AB20" s="273"/>
      <c r="AC20" s="278"/>
      <c r="AD20" s="278"/>
      <c r="AE20" s="278"/>
      <c r="AF20" s="278"/>
      <c r="AG20" s="278"/>
      <c r="AH20" s="277"/>
      <c r="AJ20" s="251" t="s">
        <v>586</v>
      </c>
      <c r="AM20" s="251" t="s">
        <v>1106</v>
      </c>
    </row>
    <row r="21" spans="1:39">
      <c r="A21" s="276">
        <f t="shared" si="0"/>
        <v>12</v>
      </c>
      <c r="B21" s="276" t="s">
        <v>468</v>
      </c>
      <c r="C21" s="276" t="s">
        <v>1217</v>
      </c>
      <c r="D21" s="275" t="b">
        <v>1</v>
      </c>
      <c r="E21" s="276">
        <v>0</v>
      </c>
      <c r="F21" s="276">
        <v>100</v>
      </c>
      <c r="G21" s="276">
        <v>0</v>
      </c>
      <c r="H21" s="276">
        <f t="shared" si="1"/>
        <v>0</v>
      </c>
      <c r="I21" s="273"/>
      <c r="J21" s="277" t="s">
        <v>131</v>
      </c>
      <c r="K21" s="276"/>
      <c r="L21" s="276"/>
      <c r="M21" s="679"/>
      <c r="N21" s="679"/>
      <c r="O21" s="679"/>
      <c r="P21" s="273"/>
      <c r="Q21" s="278"/>
      <c r="R21" s="278"/>
      <c r="S21" s="278"/>
      <c r="T21" s="278"/>
      <c r="U21" s="278"/>
      <c r="V21" s="278"/>
      <c r="W21" s="278"/>
      <c r="X21" s="278"/>
      <c r="Y21" s="278"/>
      <c r="Z21" s="278"/>
      <c r="AA21" s="278"/>
      <c r="AB21" s="273"/>
      <c r="AC21" s="278"/>
      <c r="AD21" s="278"/>
      <c r="AE21" s="278"/>
      <c r="AF21" s="278"/>
      <c r="AG21" s="278"/>
      <c r="AH21" s="277"/>
      <c r="AJ21" s="251" t="s">
        <v>1218</v>
      </c>
      <c r="AM21" s="251" t="s">
        <v>1219</v>
      </c>
    </row>
    <row r="22" spans="1:39">
      <c r="A22" s="276">
        <f t="shared" si="0"/>
        <v>13</v>
      </c>
      <c r="B22" s="276" t="s">
        <v>1032</v>
      </c>
      <c r="C22" s="276" t="s">
        <v>712</v>
      </c>
      <c r="D22" s="275" t="b">
        <v>1</v>
      </c>
      <c r="E22" s="276">
        <v>0</v>
      </c>
      <c r="F22" s="276">
        <v>0</v>
      </c>
      <c r="G22" s="276">
        <v>0</v>
      </c>
      <c r="H22" s="276">
        <f t="shared" si="1"/>
        <v>0</v>
      </c>
      <c r="I22" s="273"/>
      <c r="J22" s="277" t="s">
        <v>133</v>
      </c>
      <c r="K22" s="276"/>
      <c r="L22" s="276"/>
      <c r="M22" s="679"/>
      <c r="N22" s="679"/>
      <c r="O22" s="679"/>
      <c r="P22" s="273"/>
      <c r="Q22" s="278"/>
      <c r="R22" s="278"/>
      <c r="S22" s="278"/>
      <c r="T22" s="278"/>
      <c r="U22" s="278"/>
      <c r="V22" s="278"/>
      <c r="W22" s="278"/>
      <c r="X22" s="278"/>
      <c r="Y22" s="278"/>
      <c r="Z22" s="278"/>
      <c r="AA22" s="278"/>
      <c r="AB22" s="273"/>
      <c r="AC22" s="278"/>
      <c r="AD22" s="278"/>
      <c r="AE22" s="278"/>
      <c r="AF22" s="278"/>
      <c r="AG22" s="278"/>
      <c r="AH22" s="277"/>
      <c r="AJ22" s="251" t="s">
        <v>1220</v>
      </c>
      <c r="AM22" s="251" t="s">
        <v>1221</v>
      </c>
    </row>
    <row r="23" spans="1:39">
      <c r="A23" s="276">
        <f t="shared" si="0"/>
        <v>14</v>
      </c>
      <c r="B23" s="276" t="s">
        <v>470</v>
      </c>
      <c r="C23" s="276" t="s">
        <v>1222</v>
      </c>
      <c r="D23" s="275" t="b">
        <v>1</v>
      </c>
      <c r="E23" s="276">
        <v>0</v>
      </c>
      <c r="F23" s="276">
        <v>100</v>
      </c>
      <c r="G23" s="276">
        <v>0</v>
      </c>
      <c r="H23" s="276">
        <f t="shared" si="1"/>
        <v>0</v>
      </c>
      <c r="I23" s="273"/>
      <c r="J23" s="277" t="s">
        <v>131</v>
      </c>
      <c r="K23" s="276"/>
      <c r="L23" s="276"/>
      <c r="M23" s="679"/>
      <c r="N23" s="679"/>
      <c r="O23" s="679"/>
      <c r="P23" s="273"/>
      <c r="Q23" s="278"/>
      <c r="R23" s="278"/>
      <c r="S23" s="278"/>
      <c r="T23" s="278"/>
      <c r="U23" s="278"/>
      <c r="V23" s="278"/>
      <c r="W23" s="278"/>
      <c r="X23" s="278"/>
      <c r="Y23" s="278"/>
      <c r="Z23" s="278"/>
      <c r="AA23" s="278"/>
      <c r="AB23" s="273"/>
      <c r="AC23" s="278"/>
      <c r="AD23" s="278"/>
      <c r="AE23" s="278"/>
      <c r="AF23" s="278"/>
      <c r="AG23" s="278"/>
      <c r="AH23" s="277"/>
      <c r="AJ23" s="251" t="s">
        <v>1218</v>
      </c>
      <c r="AM23" s="251" t="s">
        <v>1219</v>
      </c>
    </row>
    <row r="24" spans="1:39">
      <c r="A24" s="276">
        <f t="shared" si="0"/>
        <v>15</v>
      </c>
      <c r="B24" s="276" t="s">
        <v>472</v>
      </c>
      <c r="C24" s="276" t="s">
        <v>1223</v>
      </c>
      <c r="D24" s="275" t="b">
        <v>1</v>
      </c>
      <c r="E24" s="276">
        <v>0</v>
      </c>
      <c r="F24" s="276">
        <v>100</v>
      </c>
      <c r="G24" s="276">
        <v>0</v>
      </c>
      <c r="H24" s="276">
        <f t="shared" si="1"/>
        <v>0</v>
      </c>
      <c r="I24" s="273"/>
      <c r="J24" s="277" t="s">
        <v>131</v>
      </c>
      <c r="L24" s="276"/>
      <c r="M24" s="679"/>
      <c r="N24" s="679"/>
      <c r="O24" s="679"/>
      <c r="P24" s="273"/>
      <c r="Q24" s="278"/>
      <c r="R24" s="278"/>
      <c r="S24" s="278"/>
      <c r="T24" s="278"/>
      <c r="U24" s="278"/>
      <c r="V24" s="278"/>
      <c r="W24" s="278"/>
      <c r="X24" s="278"/>
      <c r="Y24" s="278"/>
      <c r="Z24" s="278"/>
      <c r="AA24" s="278"/>
      <c r="AB24" s="273"/>
      <c r="AC24" s="278"/>
      <c r="AD24" s="278"/>
      <c r="AE24" s="278"/>
      <c r="AF24" s="278"/>
      <c r="AG24" s="278"/>
      <c r="AH24" s="277"/>
      <c r="AJ24" s="251" t="s">
        <v>1218</v>
      </c>
      <c r="AM24" s="251" t="s">
        <v>1219</v>
      </c>
    </row>
    <row r="25" spans="1:39">
      <c r="A25" s="276">
        <f t="shared" si="0"/>
        <v>16</v>
      </c>
      <c r="B25" s="276" t="s">
        <v>1224</v>
      </c>
      <c r="C25" s="276" t="s">
        <v>1225</v>
      </c>
      <c r="D25" s="275" t="b">
        <v>1</v>
      </c>
      <c r="E25" s="276">
        <v>0</v>
      </c>
      <c r="F25" s="276">
        <v>0</v>
      </c>
      <c r="G25" s="276">
        <v>0</v>
      </c>
      <c r="H25" s="276">
        <f t="shared" si="1"/>
        <v>0</v>
      </c>
      <c r="I25" s="273"/>
      <c r="J25" s="277" t="s">
        <v>133</v>
      </c>
      <c r="K25" s="276"/>
      <c r="L25" s="276"/>
      <c r="M25" s="679"/>
      <c r="N25" s="679"/>
      <c r="O25" s="679"/>
      <c r="P25" s="273"/>
      <c r="Q25" s="278"/>
      <c r="R25" s="278"/>
      <c r="S25" s="278"/>
      <c r="T25" s="278"/>
      <c r="U25" s="278"/>
      <c r="V25" s="278"/>
      <c r="W25" s="278"/>
      <c r="X25" s="278"/>
      <c r="Y25" s="278"/>
      <c r="Z25" s="278"/>
      <c r="AA25" s="278"/>
      <c r="AB25" s="273"/>
      <c r="AC25" s="278"/>
      <c r="AD25" s="278"/>
      <c r="AE25" s="278"/>
      <c r="AF25" s="278"/>
      <c r="AG25" s="278"/>
      <c r="AH25" s="277"/>
      <c r="AJ25" s="251" t="s">
        <v>1190</v>
      </c>
      <c r="AM25" s="251" t="s">
        <v>1226</v>
      </c>
    </row>
    <row r="26" spans="1:39">
      <c r="A26" s="276">
        <f t="shared" si="0"/>
        <v>17</v>
      </c>
      <c r="B26" s="276" t="s">
        <v>1024</v>
      </c>
      <c r="C26" s="276" t="s">
        <v>1227</v>
      </c>
      <c r="D26" s="275" t="b">
        <v>1</v>
      </c>
      <c r="E26" s="276">
        <v>0</v>
      </c>
      <c r="F26" s="276">
        <v>0</v>
      </c>
      <c r="G26" s="276">
        <v>0</v>
      </c>
      <c r="H26" s="276">
        <f t="shared" si="1"/>
        <v>0</v>
      </c>
      <c r="I26" s="273"/>
      <c r="J26" s="277" t="s">
        <v>133</v>
      </c>
      <c r="K26" s="276"/>
      <c r="L26" s="276"/>
      <c r="M26" s="679"/>
      <c r="N26" s="679"/>
      <c r="O26" s="679"/>
      <c r="P26" s="273"/>
      <c r="Q26" s="278"/>
      <c r="R26" s="278"/>
      <c r="S26" s="278"/>
      <c r="T26" s="278"/>
      <c r="U26" s="278"/>
      <c r="V26" s="278"/>
      <c r="W26" s="278"/>
      <c r="X26" s="278"/>
      <c r="Y26" s="278"/>
      <c r="Z26" s="278"/>
      <c r="AA26" s="278"/>
      <c r="AB26" s="273"/>
      <c r="AC26" s="278"/>
      <c r="AD26" s="278"/>
      <c r="AE26" s="278"/>
      <c r="AF26" s="278"/>
      <c r="AG26" s="278"/>
      <c r="AH26" s="277"/>
      <c r="AJ26" s="251" t="s">
        <v>1121</v>
      </c>
      <c r="AM26" s="251" t="s">
        <v>1122</v>
      </c>
    </row>
    <row r="27" spans="1:39">
      <c r="A27" s="276">
        <f t="shared" si="0"/>
        <v>18</v>
      </c>
      <c r="B27" s="276" t="s">
        <v>240</v>
      </c>
      <c r="C27" s="276" t="s">
        <v>1228</v>
      </c>
      <c r="D27" s="275" t="b">
        <v>1</v>
      </c>
      <c r="E27" s="276">
        <v>0</v>
      </c>
      <c r="F27" s="276">
        <v>80</v>
      </c>
      <c r="G27" s="276">
        <v>0</v>
      </c>
      <c r="H27" s="276">
        <f t="shared" si="1"/>
        <v>0</v>
      </c>
      <c r="I27" s="273"/>
      <c r="J27" s="277" t="s">
        <v>131</v>
      </c>
      <c r="K27" s="276"/>
      <c r="L27" s="276"/>
      <c r="M27" s="679"/>
      <c r="N27" s="679"/>
      <c r="O27" s="679"/>
      <c r="P27" s="273"/>
      <c r="Q27" s="278"/>
      <c r="R27" s="278"/>
      <c r="S27" s="278"/>
      <c r="T27" s="278"/>
      <c r="U27" s="278"/>
      <c r="V27" s="278"/>
      <c r="W27" s="278"/>
      <c r="X27" s="278"/>
      <c r="Y27" s="278"/>
      <c r="Z27" s="278"/>
      <c r="AA27" s="278"/>
      <c r="AB27" s="273"/>
      <c r="AC27" s="278"/>
      <c r="AD27" s="278"/>
      <c r="AE27" s="278"/>
      <c r="AF27" s="278"/>
      <c r="AG27" s="278"/>
      <c r="AH27" s="277"/>
      <c r="AJ27" s="251" t="s">
        <v>868</v>
      </c>
      <c r="AM27" s="251" t="s">
        <v>1229</v>
      </c>
    </row>
    <row r="28" spans="1:39">
      <c r="A28" s="276">
        <f t="shared" si="0"/>
        <v>19</v>
      </c>
      <c r="B28" s="276" t="s">
        <v>474</v>
      </c>
      <c r="C28" s="276" t="s">
        <v>1230</v>
      </c>
      <c r="D28" s="275" t="b">
        <v>1</v>
      </c>
      <c r="E28" s="276">
        <v>0</v>
      </c>
      <c r="F28" s="276">
        <v>100</v>
      </c>
      <c r="G28" s="276">
        <v>0</v>
      </c>
      <c r="H28" s="276">
        <f t="shared" si="1"/>
        <v>0</v>
      </c>
      <c r="I28" s="273"/>
      <c r="J28" s="277" t="s">
        <v>131</v>
      </c>
      <c r="K28" s="276"/>
      <c r="L28" s="276"/>
      <c r="M28" s="676"/>
      <c r="N28" s="677"/>
      <c r="O28" s="678"/>
      <c r="P28" s="273"/>
      <c r="Q28" s="278"/>
      <c r="R28" s="278"/>
      <c r="S28" s="278"/>
      <c r="T28" s="278"/>
      <c r="U28" s="278"/>
      <c r="V28" s="278"/>
      <c r="W28" s="278"/>
      <c r="X28" s="278"/>
      <c r="Y28" s="278"/>
      <c r="Z28" s="278"/>
      <c r="AA28" s="278"/>
      <c r="AB28" s="273"/>
      <c r="AC28" s="278"/>
      <c r="AD28" s="278"/>
      <c r="AE28" s="278"/>
      <c r="AF28" s="278"/>
      <c r="AG28" s="278"/>
      <c r="AH28" s="277"/>
      <c r="AJ28" s="251" t="s">
        <v>1218</v>
      </c>
      <c r="AM28" s="251" t="s">
        <v>1219</v>
      </c>
    </row>
    <row r="29" spans="1:39">
      <c r="A29" s="276">
        <f t="shared" si="0"/>
        <v>20</v>
      </c>
      <c r="B29" s="276" t="s">
        <v>476</v>
      </c>
      <c r="C29" s="276" t="s">
        <v>1231</v>
      </c>
      <c r="D29" s="275" t="b">
        <v>1</v>
      </c>
      <c r="E29" s="276">
        <v>0</v>
      </c>
      <c r="F29" s="276">
        <v>100</v>
      </c>
      <c r="G29" s="276">
        <v>0</v>
      </c>
      <c r="H29" s="276">
        <f t="shared" si="1"/>
        <v>0</v>
      </c>
      <c r="I29" s="273"/>
      <c r="J29" s="277" t="s">
        <v>131</v>
      </c>
      <c r="K29" s="276"/>
      <c r="L29" s="276"/>
      <c r="M29" s="676"/>
      <c r="N29" s="677"/>
      <c r="O29" s="678"/>
      <c r="P29" s="273"/>
      <c r="Q29" s="278"/>
      <c r="R29" s="278"/>
      <c r="S29" s="278"/>
      <c r="T29" s="278"/>
      <c r="U29" s="278"/>
      <c r="V29" s="278"/>
      <c r="W29" s="278"/>
      <c r="X29" s="278"/>
      <c r="Y29" s="278"/>
      <c r="Z29" s="278"/>
      <c r="AA29" s="278"/>
      <c r="AB29" s="273"/>
      <c r="AC29" s="278"/>
      <c r="AD29" s="278"/>
      <c r="AE29" s="278"/>
      <c r="AF29" s="278"/>
      <c r="AG29" s="278"/>
      <c r="AH29" s="277"/>
      <c r="AJ29" s="251" t="s">
        <v>1218</v>
      </c>
      <c r="AM29" s="251" t="s">
        <v>1219</v>
      </c>
    </row>
    <row r="30" spans="1:39">
      <c r="A30" s="276">
        <f t="shared" si="0"/>
        <v>21</v>
      </c>
      <c r="B30" s="276" t="s">
        <v>1232</v>
      </c>
      <c r="C30" s="276" t="s">
        <v>1233</v>
      </c>
      <c r="D30" s="275" t="b">
        <v>1</v>
      </c>
      <c r="E30" s="276">
        <v>0</v>
      </c>
      <c r="F30" s="276">
        <v>30</v>
      </c>
      <c r="G30" s="276">
        <v>0</v>
      </c>
      <c r="H30" s="276">
        <f t="shared" si="1"/>
        <v>0</v>
      </c>
      <c r="I30" s="273"/>
      <c r="J30" s="277" t="s">
        <v>131</v>
      </c>
      <c r="K30" s="276"/>
      <c r="L30" s="276"/>
      <c r="M30" s="676"/>
      <c r="N30" s="677"/>
      <c r="O30" s="678"/>
      <c r="P30" s="273"/>
      <c r="Q30" s="278"/>
      <c r="R30" s="278"/>
      <c r="S30" s="278"/>
      <c r="T30" s="278"/>
      <c r="U30" s="278"/>
      <c r="V30" s="278"/>
      <c r="W30" s="278"/>
      <c r="X30" s="278"/>
      <c r="Y30" s="278"/>
      <c r="Z30" s="278"/>
      <c r="AA30" s="278"/>
      <c r="AB30" s="273"/>
      <c r="AC30" s="278"/>
      <c r="AD30" s="278"/>
      <c r="AE30" s="278"/>
      <c r="AF30" s="278"/>
      <c r="AG30" s="278"/>
      <c r="AH30" s="277"/>
      <c r="AJ30" s="251" t="s">
        <v>1234</v>
      </c>
      <c r="AM30" s="251" t="s">
        <v>1235</v>
      </c>
    </row>
    <row r="31" spans="1:39">
      <c r="A31" s="276">
        <f t="shared" si="0"/>
        <v>22</v>
      </c>
      <c r="B31" s="276" t="s">
        <v>242</v>
      </c>
      <c r="C31" s="276" t="s">
        <v>1236</v>
      </c>
      <c r="D31" s="275" t="b">
        <v>1</v>
      </c>
      <c r="E31" s="276">
        <v>0</v>
      </c>
      <c r="F31" s="276">
        <v>42</v>
      </c>
      <c r="G31" s="276">
        <v>0</v>
      </c>
      <c r="H31" s="276">
        <f t="shared" si="1"/>
        <v>0</v>
      </c>
      <c r="I31" s="273"/>
      <c r="J31" s="277" t="s">
        <v>131</v>
      </c>
      <c r="K31" s="276"/>
      <c r="L31" s="276"/>
      <c r="M31" s="676"/>
      <c r="N31" s="677"/>
      <c r="O31" s="678"/>
      <c r="P31" s="273"/>
      <c r="Q31" s="278"/>
      <c r="R31" s="278"/>
      <c r="S31" s="278"/>
      <c r="T31" s="278"/>
      <c r="U31" s="278"/>
      <c r="V31" s="278"/>
      <c r="W31" s="278"/>
      <c r="X31" s="278"/>
      <c r="Y31" s="278"/>
      <c r="Z31" s="278"/>
      <c r="AA31" s="278"/>
      <c r="AB31" s="273"/>
      <c r="AC31" s="278"/>
      <c r="AD31" s="278"/>
      <c r="AE31" s="278"/>
      <c r="AF31" s="278"/>
      <c r="AG31" s="278"/>
      <c r="AH31" s="277"/>
      <c r="AJ31" s="251" t="s">
        <v>1237</v>
      </c>
      <c r="AM31" s="251" t="s">
        <v>1238</v>
      </c>
    </row>
    <row r="32" spans="1:39">
      <c r="A32" s="276">
        <f t="shared" si="0"/>
        <v>23</v>
      </c>
      <c r="B32" s="276" t="s">
        <v>1239</v>
      </c>
      <c r="C32" s="276" t="s">
        <v>1240</v>
      </c>
      <c r="D32" s="275" t="b">
        <v>1</v>
      </c>
      <c r="E32" s="276">
        <v>0</v>
      </c>
      <c r="F32" s="276">
        <v>0</v>
      </c>
      <c r="G32" s="276">
        <v>0</v>
      </c>
      <c r="H32" s="276">
        <f t="shared" si="1"/>
        <v>0</v>
      </c>
      <c r="I32" s="273"/>
      <c r="J32" s="277" t="s">
        <v>133</v>
      </c>
      <c r="K32" s="276"/>
      <c r="L32" s="276"/>
      <c r="M32" s="676"/>
      <c r="N32" s="677"/>
      <c r="O32" s="678"/>
      <c r="P32" s="273"/>
      <c r="Q32" s="278"/>
      <c r="R32" s="278"/>
      <c r="S32" s="278"/>
      <c r="T32" s="278"/>
      <c r="U32" s="278"/>
      <c r="V32" s="278"/>
      <c r="W32" s="278"/>
      <c r="X32" s="278"/>
      <c r="Y32" s="278"/>
      <c r="Z32" s="278"/>
      <c r="AA32" s="278"/>
      <c r="AB32" s="273"/>
      <c r="AC32" s="278"/>
      <c r="AD32" s="278"/>
      <c r="AE32" s="278"/>
      <c r="AF32" s="278"/>
      <c r="AG32" s="278"/>
      <c r="AH32" s="277"/>
      <c r="AJ32" s="251" t="s">
        <v>1241</v>
      </c>
      <c r="AM32" s="251" t="s">
        <v>1242</v>
      </c>
    </row>
    <row r="33" spans="1:42" ht="31.5">
      <c r="A33" s="276">
        <f t="shared" si="0"/>
        <v>24</v>
      </c>
      <c r="B33" s="276" t="s">
        <v>232</v>
      </c>
      <c r="C33" s="276" t="s">
        <v>1243</v>
      </c>
      <c r="D33" s="275" t="b">
        <v>1</v>
      </c>
      <c r="E33" s="276">
        <v>0</v>
      </c>
      <c r="F33" s="276">
        <v>120</v>
      </c>
      <c r="G33" s="276">
        <v>0</v>
      </c>
      <c r="H33" s="276">
        <f t="shared" si="1"/>
        <v>0</v>
      </c>
      <c r="I33" s="273"/>
      <c r="J33" s="277" t="s">
        <v>131</v>
      </c>
      <c r="K33" s="276"/>
      <c r="L33" s="276"/>
      <c r="M33" s="676"/>
      <c r="N33" s="677"/>
      <c r="O33" s="678"/>
      <c r="P33" s="273"/>
      <c r="Q33" s="278"/>
      <c r="R33" s="278"/>
      <c r="S33" s="278"/>
      <c r="T33" s="278"/>
      <c r="U33" s="278"/>
      <c r="V33" s="278"/>
      <c r="W33" s="278"/>
      <c r="X33" s="278"/>
      <c r="Y33" s="278"/>
      <c r="Z33" s="278"/>
      <c r="AA33" s="278"/>
      <c r="AB33" s="273"/>
      <c r="AC33" s="278"/>
      <c r="AD33" s="278"/>
      <c r="AE33" s="278"/>
      <c r="AF33" s="278"/>
      <c r="AG33" s="278"/>
      <c r="AH33" s="277"/>
      <c r="AJ33" s="280" t="s">
        <v>1111</v>
      </c>
      <c r="AM33" s="280" t="s">
        <v>1112</v>
      </c>
      <c r="AP33" s="280"/>
    </row>
    <row r="34" spans="1:42">
      <c r="A34" s="276">
        <f t="shared" si="0"/>
        <v>25</v>
      </c>
      <c r="B34" s="276" t="s">
        <v>233</v>
      </c>
      <c r="C34" s="276" t="s">
        <v>573</v>
      </c>
      <c r="D34" s="275" t="b">
        <v>1</v>
      </c>
      <c r="E34" s="276">
        <v>0</v>
      </c>
      <c r="F34" s="276">
        <v>20</v>
      </c>
      <c r="G34" s="276">
        <v>0</v>
      </c>
      <c r="H34" s="276">
        <f t="shared" si="1"/>
        <v>0</v>
      </c>
      <c r="I34" s="273"/>
      <c r="J34" s="277" t="s">
        <v>131</v>
      </c>
      <c r="K34" s="276"/>
      <c r="L34" s="276"/>
      <c r="M34" s="676"/>
      <c r="N34" s="677"/>
      <c r="O34" s="678"/>
      <c r="P34" s="273"/>
      <c r="Q34" s="278"/>
      <c r="R34" s="278"/>
      <c r="S34" s="278"/>
      <c r="T34" s="278"/>
      <c r="U34" s="278"/>
      <c r="V34" s="278"/>
      <c r="W34" s="278"/>
      <c r="X34" s="278"/>
      <c r="Y34" s="278"/>
      <c r="Z34" s="278"/>
      <c r="AA34" s="278"/>
      <c r="AB34" s="273"/>
      <c r="AC34" s="278"/>
      <c r="AD34" s="278"/>
      <c r="AE34" s="278"/>
      <c r="AF34" s="278"/>
      <c r="AG34" s="278"/>
      <c r="AH34" s="277"/>
      <c r="AJ34" s="251" t="s">
        <v>1194</v>
      </c>
      <c r="AM34" s="251" t="s">
        <v>1244</v>
      </c>
    </row>
    <row r="35" spans="1:42">
      <c r="A35" s="276">
        <f t="shared" si="0"/>
        <v>26</v>
      </c>
      <c r="B35" s="276" t="s">
        <v>235</v>
      </c>
      <c r="C35" s="276" t="s">
        <v>575</v>
      </c>
      <c r="D35" s="275" t="b">
        <v>1</v>
      </c>
      <c r="E35" s="276">
        <v>0</v>
      </c>
      <c r="F35" s="276">
        <v>15</v>
      </c>
      <c r="G35" s="276">
        <v>0</v>
      </c>
      <c r="H35" s="276">
        <f t="shared" si="1"/>
        <v>0</v>
      </c>
      <c r="I35" s="273"/>
      <c r="J35" s="277" t="s">
        <v>129</v>
      </c>
      <c r="K35" s="276"/>
      <c r="L35" s="276"/>
      <c r="M35" s="676"/>
      <c r="N35" s="677"/>
      <c r="O35" s="678"/>
      <c r="P35" s="273"/>
      <c r="Q35" s="278"/>
      <c r="R35" s="278"/>
      <c r="S35" s="278"/>
      <c r="T35" s="278"/>
      <c r="U35" s="278"/>
      <c r="V35" s="278"/>
      <c r="W35" s="278"/>
      <c r="X35" s="278"/>
      <c r="Y35" s="278"/>
      <c r="Z35" s="278"/>
      <c r="AA35" s="278"/>
      <c r="AB35" s="273"/>
      <c r="AC35" s="278"/>
      <c r="AD35" s="278"/>
      <c r="AE35" s="278"/>
      <c r="AF35" s="278"/>
      <c r="AG35" s="278"/>
      <c r="AH35" s="277"/>
      <c r="AJ35" s="251" t="s">
        <v>1194</v>
      </c>
      <c r="AM35" s="251" t="s">
        <v>1245</v>
      </c>
    </row>
    <row r="36" spans="1:42">
      <c r="A36" s="276">
        <f t="shared" si="0"/>
        <v>27</v>
      </c>
      <c r="B36" s="276" t="s">
        <v>234</v>
      </c>
      <c r="C36" s="276" t="s">
        <v>574</v>
      </c>
      <c r="D36" s="275" t="b">
        <v>1</v>
      </c>
      <c r="E36" s="276">
        <v>0</v>
      </c>
      <c r="F36" s="276">
        <v>9</v>
      </c>
      <c r="G36" s="276">
        <v>0</v>
      </c>
      <c r="H36" s="276">
        <f t="shared" si="1"/>
        <v>0</v>
      </c>
      <c r="I36" s="273"/>
      <c r="J36" s="277" t="s">
        <v>129</v>
      </c>
      <c r="K36" s="276"/>
      <c r="L36" s="276"/>
      <c r="M36" s="676"/>
      <c r="N36" s="677"/>
      <c r="O36" s="678"/>
      <c r="P36" s="273"/>
      <c r="Q36" s="278"/>
      <c r="R36" s="278"/>
      <c r="S36" s="278"/>
      <c r="T36" s="278"/>
      <c r="U36" s="278"/>
      <c r="V36" s="278"/>
      <c r="W36" s="278"/>
      <c r="X36" s="278"/>
      <c r="Y36" s="278"/>
      <c r="Z36" s="278"/>
      <c r="AA36" s="278"/>
      <c r="AB36" s="273"/>
      <c r="AC36" s="278"/>
      <c r="AD36" s="278"/>
      <c r="AE36" s="278"/>
      <c r="AF36" s="278"/>
      <c r="AG36" s="278"/>
      <c r="AH36" s="277"/>
      <c r="AJ36" s="251" t="s">
        <v>1194</v>
      </c>
      <c r="AM36" s="251" t="s">
        <v>1246</v>
      </c>
    </row>
    <row r="37" spans="1:42">
      <c r="A37" s="276">
        <f t="shared" si="0"/>
        <v>28</v>
      </c>
      <c r="B37" s="276" t="s">
        <v>1016</v>
      </c>
      <c r="C37" s="276" t="s">
        <v>1247</v>
      </c>
      <c r="D37" s="275" t="b">
        <v>1</v>
      </c>
      <c r="E37" s="276">
        <v>0</v>
      </c>
      <c r="F37" s="276">
        <v>9</v>
      </c>
      <c r="G37" s="276">
        <v>0</v>
      </c>
      <c r="H37" s="276">
        <f t="shared" si="1"/>
        <v>0</v>
      </c>
      <c r="I37" s="273"/>
      <c r="J37" s="277" t="s">
        <v>129</v>
      </c>
      <c r="K37" s="276"/>
      <c r="L37" s="276"/>
      <c r="M37" s="676"/>
      <c r="N37" s="677"/>
      <c r="O37" s="678"/>
      <c r="P37" s="273"/>
      <c r="Q37" s="278"/>
      <c r="R37" s="278"/>
      <c r="S37" s="278"/>
      <c r="T37" s="278"/>
      <c r="U37" s="278"/>
      <c r="V37" s="278"/>
      <c r="W37" s="278"/>
      <c r="X37" s="278"/>
      <c r="Y37" s="278"/>
      <c r="Z37" s="278"/>
      <c r="AA37" s="278"/>
      <c r="AB37" s="273"/>
      <c r="AC37" s="278"/>
      <c r="AD37" s="278"/>
      <c r="AE37" s="278"/>
      <c r="AF37" s="278"/>
      <c r="AG37" s="278"/>
      <c r="AH37" s="277"/>
      <c r="AJ37" s="251" t="s">
        <v>1194</v>
      </c>
      <c r="AM37" s="251" t="s">
        <v>1248</v>
      </c>
    </row>
    <row r="38" spans="1:42" ht="31.5">
      <c r="A38" s="276">
        <f t="shared" si="0"/>
        <v>29</v>
      </c>
      <c r="B38" s="276" t="s">
        <v>1249</v>
      </c>
      <c r="C38" s="276" t="s">
        <v>1250</v>
      </c>
      <c r="D38" s="275" t="b">
        <v>1</v>
      </c>
      <c r="E38" s="276">
        <v>0</v>
      </c>
      <c r="F38" s="276">
        <v>9</v>
      </c>
      <c r="G38" s="276">
        <v>0</v>
      </c>
      <c r="H38" s="276">
        <f t="shared" si="1"/>
        <v>0</v>
      </c>
      <c r="I38" s="273"/>
      <c r="J38" s="277" t="s">
        <v>129</v>
      </c>
      <c r="K38" s="276"/>
      <c r="L38" s="276"/>
      <c r="M38" s="676"/>
      <c r="N38" s="677"/>
      <c r="O38" s="678"/>
      <c r="P38" s="273"/>
      <c r="Q38" s="278"/>
      <c r="R38" s="278"/>
      <c r="S38" s="278"/>
      <c r="T38" s="278"/>
      <c r="U38" s="278"/>
      <c r="V38" s="278"/>
      <c r="W38" s="278"/>
      <c r="X38" s="278"/>
      <c r="Y38" s="278"/>
      <c r="Z38" s="278"/>
      <c r="AA38" s="278"/>
      <c r="AB38" s="273"/>
      <c r="AC38" s="278"/>
      <c r="AD38" s="278"/>
      <c r="AE38" s="278"/>
      <c r="AF38" s="278"/>
      <c r="AG38" s="278"/>
      <c r="AH38" s="277"/>
      <c r="AJ38" s="251" t="s">
        <v>1194</v>
      </c>
      <c r="AM38" s="280" t="s">
        <v>1251</v>
      </c>
    </row>
    <row r="39" spans="1:42" ht="31.5">
      <c r="A39" s="276">
        <f t="shared" si="0"/>
        <v>30</v>
      </c>
      <c r="B39" s="276" t="s">
        <v>1252</v>
      </c>
      <c r="C39" s="276" t="s">
        <v>1253</v>
      </c>
      <c r="D39" s="275" t="b">
        <v>1</v>
      </c>
      <c r="E39" s="276">
        <v>0</v>
      </c>
      <c r="F39" s="276">
        <v>9</v>
      </c>
      <c r="G39" s="276">
        <v>0</v>
      </c>
      <c r="H39" s="276">
        <f t="shared" si="1"/>
        <v>0</v>
      </c>
      <c r="I39" s="273"/>
      <c r="J39" s="277" t="s">
        <v>129</v>
      </c>
      <c r="K39" s="276"/>
      <c r="L39" s="276"/>
      <c r="M39" s="679"/>
      <c r="N39" s="679"/>
      <c r="O39" s="679"/>
      <c r="P39" s="273"/>
      <c r="Q39" s="278"/>
      <c r="R39" s="278"/>
      <c r="S39" s="278"/>
      <c r="T39" s="278"/>
      <c r="U39" s="278"/>
      <c r="V39" s="278"/>
      <c r="W39" s="278"/>
      <c r="X39" s="278"/>
      <c r="Y39" s="278"/>
      <c r="Z39" s="278"/>
      <c r="AA39" s="278"/>
      <c r="AB39" s="273"/>
      <c r="AC39" s="278"/>
      <c r="AD39" s="278"/>
      <c r="AE39" s="278"/>
      <c r="AF39" s="278"/>
      <c r="AG39" s="278"/>
      <c r="AH39" s="277"/>
      <c r="AJ39" s="251" t="s">
        <v>1194</v>
      </c>
      <c r="AM39" s="280" t="s">
        <v>1254</v>
      </c>
    </row>
    <row r="40" spans="1:42">
      <c r="A40" s="276">
        <f t="shared" si="0"/>
        <v>31</v>
      </c>
      <c r="B40" s="276" t="s">
        <v>1255</v>
      </c>
      <c r="C40" s="276" t="s">
        <v>1256</v>
      </c>
      <c r="D40" s="275" t="b">
        <v>1</v>
      </c>
      <c r="E40" s="276">
        <v>0</v>
      </c>
      <c r="F40" s="276">
        <v>20</v>
      </c>
      <c r="G40" s="276">
        <v>0</v>
      </c>
      <c r="H40" s="276">
        <f t="shared" si="1"/>
        <v>0</v>
      </c>
      <c r="I40" s="273"/>
      <c r="J40" s="277" t="s">
        <v>129</v>
      </c>
      <c r="K40" s="276"/>
      <c r="L40" s="276"/>
      <c r="M40" s="679"/>
      <c r="N40" s="679"/>
      <c r="O40" s="679"/>
      <c r="P40" s="273"/>
      <c r="Q40" s="278"/>
      <c r="R40" s="278"/>
      <c r="S40" s="278"/>
      <c r="T40" s="278"/>
      <c r="U40" s="278"/>
      <c r="V40" s="278"/>
      <c r="W40" s="278"/>
      <c r="X40" s="278"/>
      <c r="Y40" s="278"/>
      <c r="Z40" s="278"/>
      <c r="AA40" s="278"/>
      <c r="AB40" s="273"/>
      <c r="AC40" s="278"/>
      <c r="AD40" s="278"/>
      <c r="AE40" s="278"/>
      <c r="AF40" s="278"/>
      <c r="AG40" s="278"/>
      <c r="AH40" s="277"/>
      <c r="AJ40" s="251" t="s">
        <v>1257</v>
      </c>
      <c r="AM40" s="251" t="s">
        <v>1258</v>
      </c>
    </row>
    <row r="41" spans="1:42">
      <c r="A41" s="276">
        <f t="shared" si="0"/>
        <v>32</v>
      </c>
      <c r="B41" s="276" t="s">
        <v>1259</v>
      </c>
      <c r="C41" s="276" t="s">
        <v>1260</v>
      </c>
      <c r="D41" s="275" t="b">
        <v>1</v>
      </c>
      <c r="E41" s="276">
        <v>0</v>
      </c>
      <c r="F41" s="276">
        <v>20</v>
      </c>
      <c r="G41" s="276">
        <v>0</v>
      </c>
      <c r="H41" s="276">
        <f t="shared" si="1"/>
        <v>0</v>
      </c>
      <c r="I41" s="273"/>
      <c r="J41" s="277" t="s">
        <v>129</v>
      </c>
      <c r="K41" s="276"/>
      <c r="L41" s="276"/>
      <c r="M41" s="679"/>
      <c r="N41" s="679"/>
      <c r="O41" s="679"/>
      <c r="P41" s="273"/>
      <c r="Q41" s="278"/>
      <c r="R41" s="278"/>
      <c r="S41" s="278"/>
      <c r="T41" s="278"/>
      <c r="U41" s="278"/>
      <c r="V41" s="278"/>
      <c r="W41" s="278"/>
      <c r="X41" s="278"/>
      <c r="Y41" s="278"/>
      <c r="Z41" s="278"/>
      <c r="AA41" s="278"/>
      <c r="AB41" s="273"/>
      <c r="AC41" s="278"/>
      <c r="AD41" s="278"/>
      <c r="AE41" s="278"/>
      <c r="AF41" s="278"/>
      <c r="AG41" s="278"/>
      <c r="AH41" s="277"/>
      <c r="AJ41" s="251" t="s">
        <v>1257</v>
      </c>
      <c r="AM41" s="251" t="s">
        <v>1261</v>
      </c>
    </row>
    <row r="42" spans="1:42">
      <c r="A42" s="276">
        <f t="shared" si="0"/>
        <v>33</v>
      </c>
      <c r="B42" s="276" t="s">
        <v>1262</v>
      </c>
      <c r="C42" s="276" t="s">
        <v>1263</v>
      </c>
      <c r="D42" s="275" t="b">
        <v>1</v>
      </c>
      <c r="E42" s="276">
        <v>0</v>
      </c>
      <c r="F42" s="276">
        <v>24</v>
      </c>
      <c r="G42" s="276">
        <v>0</v>
      </c>
      <c r="H42" s="276">
        <f t="shared" si="1"/>
        <v>0</v>
      </c>
      <c r="I42" s="273"/>
      <c r="J42" s="277" t="s">
        <v>1017</v>
      </c>
      <c r="K42" s="276"/>
      <c r="L42" s="276"/>
      <c r="M42" s="679"/>
      <c r="N42" s="679"/>
      <c r="O42" s="679"/>
      <c r="P42" s="273"/>
      <c r="Q42" s="278"/>
      <c r="R42" s="278"/>
      <c r="S42" s="278"/>
      <c r="T42" s="278"/>
      <c r="U42" s="278"/>
      <c r="V42" s="278"/>
      <c r="W42" s="278"/>
      <c r="X42" s="278"/>
      <c r="Y42" s="278"/>
      <c r="Z42" s="278"/>
      <c r="AA42" s="278"/>
      <c r="AB42" s="273"/>
      <c r="AC42" s="278"/>
      <c r="AD42" s="278"/>
      <c r="AE42" s="278"/>
      <c r="AF42" s="278"/>
      <c r="AG42" s="278"/>
      <c r="AH42" s="277"/>
      <c r="AJ42" s="251" t="s">
        <v>1264</v>
      </c>
      <c r="AM42" s="251" t="s">
        <v>1265</v>
      </c>
    </row>
    <row r="43" spans="1:42">
      <c r="A43" s="276">
        <f t="shared" si="0"/>
        <v>34</v>
      </c>
      <c r="B43" s="276" t="s">
        <v>1266</v>
      </c>
      <c r="C43" s="276" t="s">
        <v>1267</v>
      </c>
      <c r="D43" s="275" t="b">
        <v>1</v>
      </c>
      <c r="E43" s="276">
        <v>0</v>
      </c>
      <c r="F43" s="276">
        <v>40</v>
      </c>
      <c r="G43" s="276">
        <v>0</v>
      </c>
      <c r="H43" s="276">
        <f t="shared" si="1"/>
        <v>0</v>
      </c>
      <c r="I43" s="273"/>
      <c r="J43" s="277" t="s">
        <v>131</v>
      </c>
      <c r="K43" s="276"/>
      <c r="L43" s="276"/>
      <c r="M43" s="679"/>
      <c r="N43" s="679"/>
      <c r="O43" s="679"/>
      <c r="P43" s="273"/>
      <c r="Q43" s="278"/>
      <c r="R43" s="278"/>
      <c r="S43" s="278"/>
      <c r="T43" s="278"/>
      <c r="U43" s="278"/>
      <c r="V43" s="278"/>
      <c r="W43" s="278"/>
      <c r="X43" s="278"/>
      <c r="Y43" s="278"/>
      <c r="Z43" s="278"/>
      <c r="AA43" s="278"/>
      <c r="AB43" s="273"/>
      <c r="AC43" s="278"/>
      <c r="AD43" s="278"/>
      <c r="AE43" s="278"/>
      <c r="AF43" s="278"/>
      <c r="AG43" s="278"/>
      <c r="AH43" s="277"/>
      <c r="AJ43" s="251" t="s">
        <v>1264</v>
      </c>
      <c r="AM43" s="251" t="s">
        <v>1268</v>
      </c>
    </row>
    <row r="44" spans="1:42">
      <c r="A44" s="276">
        <f t="shared" si="0"/>
        <v>35</v>
      </c>
      <c r="B44" s="276" t="s">
        <v>228</v>
      </c>
      <c r="C44" s="276" t="s">
        <v>1269</v>
      </c>
      <c r="D44" s="275" t="b">
        <v>1</v>
      </c>
      <c r="E44" s="276">
        <v>0</v>
      </c>
      <c r="F44" s="276">
        <v>7</v>
      </c>
      <c r="G44" s="276">
        <v>0</v>
      </c>
      <c r="H44" s="276">
        <f t="shared" si="1"/>
        <v>0</v>
      </c>
      <c r="I44" s="273"/>
      <c r="J44" s="277" t="s">
        <v>129</v>
      </c>
      <c r="K44" s="276"/>
      <c r="L44" s="276"/>
      <c r="M44" s="679"/>
      <c r="N44" s="679"/>
      <c r="O44" s="679"/>
      <c r="P44" s="273"/>
      <c r="Q44" s="278"/>
      <c r="R44" s="278"/>
      <c r="S44" s="278"/>
      <c r="T44" s="278"/>
      <c r="U44" s="278"/>
      <c r="V44" s="278"/>
      <c r="W44" s="278"/>
      <c r="X44" s="278"/>
      <c r="Y44" s="278"/>
      <c r="Z44" s="278"/>
      <c r="AA44" s="278"/>
      <c r="AB44" s="273"/>
      <c r="AC44" s="278"/>
      <c r="AD44" s="278"/>
      <c r="AE44" s="278"/>
      <c r="AF44" s="278"/>
      <c r="AG44" s="278"/>
      <c r="AH44" s="277"/>
      <c r="AJ44" s="251" t="s">
        <v>1190</v>
      </c>
      <c r="AM44" s="251" t="s">
        <v>1270</v>
      </c>
    </row>
    <row r="45" spans="1:42">
      <c r="A45" s="276">
        <f t="shared" si="0"/>
        <v>36</v>
      </c>
      <c r="B45" s="276" t="s">
        <v>229</v>
      </c>
      <c r="C45" s="276" t="s">
        <v>1271</v>
      </c>
      <c r="D45" s="275" t="b">
        <v>1</v>
      </c>
      <c r="E45" s="276">
        <v>0</v>
      </c>
      <c r="F45" s="276">
        <v>100</v>
      </c>
      <c r="G45" s="276">
        <v>0</v>
      </c>
      <c r="H45" s="276">
        <f t="shared" si="1"/>
        <v>0</v>
      </c>
      <c r="I45" s="273"/>
      <c r="J45" s="277" t="s">
        <v>131</v>
      </c>
      <c r="K45" s="276"/>
      <c r="L45" s="276"/>
      <c r="M45" s="679"/>
      <c r="N45" s="679"/>
      <c r="O45" s="679"/>
      <c r="P45" s="273"/>
      <c r="Q45" s="278"/>
      <c r="R45" s="278"/>
      <c r="S45" s="278"/>
      <c r="T45" s="278"/>
      <c r="U45" s="278"/>
      <c r="V45" s="278"/>
      <c r="W45" s="278"/>
      <c r="X45" s="278"/>
      <c r="Y45" s="278"/>
      <c r="Z45" s="278"/>
      <c r="AA45" s="278"/>
      <c r="AB45" s="273"/>
      <c r="AC45" s="278"/>
      <c r="AD45" s="278"/>
      <c r="AE45" s="278"/>
      <c r="AF45" s="278"/>
      <c r="AG45" s="278"/>
      <c r="AH45" s="277"/>
      <c r="AJ45" s="251" t="s">
        <v>1218</v>
      </c>
      <c r="AM45" s="251" t="s">
        <v>1219</v>
      </c>
    </row>
    <row r="46" spans="1:42" ht="31.5">
      <c r="A46" s="276">
        <f t="shared" si="0"/>
        <v>37</v>
      </c>
      <c r="B46" s="276" t="s">
        <v>243</v>
      </c>
      <c r="C46" s="276" t="s">
        <v>1272</v>
      </c>
      <c r="D46" s="275" t="b">
        <v>1</v>
      </c>
      <c r="E46" s="276">
        <v>0</v>
      </c>
      <c r="F46" s="276">
        <v>513</v>
      </c>
      <c r="G46" s="276">
        <v>0</v>
      </c>
      <c r="H46" s="276">
        <f t="shared" si="1"/>
        <v>0</v>
      </c>
      <c r="I46" s="273"/>
      <c r="J46" s="277" t="s">
        <v>131</v>
      </c>
      <c r="K46" s="276"/>
      <c r="L46" s="276"/>
      <c r="M46" s="679"/>
      <c r="N46" s="679"/>
      <c r="O46" s="679"/>
      <c r="P46" s="273"/>
      <c r="Q46" s="278"/>
      <c r="R46" s="278"/>
      <c r="S46" s="278"/>
      <c r="T46" s="278"/>
      <c r="U46" s="278"/>
      <c r="V46" s="278"/>
      <c r="W46" s="278"/>
      <c r="X46" s="278"/>
      <c r="Y46" s="278"/>
      <c r="Z46" s="278"/>
      <c r="AA46" s="278"/>
      <c r="AB46" s="273"/>
      <c r="AC46" s="278"/>
      <c r="AD46" s="278"/>
      <c r="AE46" s="278"/>
      <c r="AF46" s="278"/>
      <c r="AG46" s="278"/>
      <c r="AH46" s="277"/>
      <c r="AJ46" s="251" t="s">
        <v>1190</v>
      </c>
      <c r="AM46" s="280" t="s">
        <v>1273</v>
      </c>
    </row>
    <row r="47" spans="1:42">
      <c r="A47" s="671" t="s">
        <v>37</v>
      </c>
      <c r="B47" s="672"/>
      <c r="C47" s="672"/>
      <c r="D47" s="672"/>
      <c r="E47" s="672"/>
      <c r="F47" s="672"/>
      <c r="G47" s="672"/>
      <c r="H47" s="672"/>
      <c r="I47" s="672"/>
      <c r="J47" s="672"/>
      <c r="K47" s="672"/>
      <c r="L47" s="672"/>
      <c r="M47" s="672"/>
      <c r="N47" s="672"/>
      <c r="O47" s="672"/>
      <c r="P47" s="672"/>
      <c r="Q47" s="672"/>
      <c r="R47" s="672"/>
      <c r="S47" s="672"/>
      <c r="T47" s="672"/>
      <c r="U47" s="672"/>
      <c r="V47" s="672"/>
      <c r="W47" s="672"/>
      <c r="X47" s="672"/>
      <c r="Y47" s="672"/>
      <c r="Z47" s="672"/>
      <c r="AA47" s="672"/>
      <c r="AB47" s="672"/>
      <c r="AC47" s="672"/>
      <c r="AD47" s="672"/>
      <c r="AE47" s="672"/>
      <c r="AF47" s="672"/>
      <c r="AG47" s="672"/>
      <c r="AH47" s="673"/>
    </row>
    <row r="48" spans="1:42">
      <c r="A48" s="281"/>
      <c r="B48" s="242"/>
      <c r="C48" s="242"/>
      <c r="D48" s="282"/>
      <c r="E48" s="242"/>
      <c r="F48" s="242"/>
      <c r="G48" s="242"/>
      <c r="H48" s="242"/>
      <c r="I48" s="242"/>
      <c r="J48" s="242"/>
      <c r="K48" s="242"/>
      <c r="L48" s="242"/>
      <c r="M48" s="675"/>
      <c r="N48" s="675"/>
      <c r="O48" s="675"/>
      <c r="P48" s="242"/>
      <c r="Q48" s="242"/>
      <c r="R48" s="242"/>
      <c r="S48" s="242"/>
      <c r="T48" s="242"/>
      <c r="U48" s="242"/>
      <c r="V48" s="242"/>
      <c r="W48" s="242"/>
      <c r="X48" s="242"/>
      <c r="Y48" s="242"/>
      <c r="Z48" s="242"/>
      <c r="AA48" s="242"/>
      <c r="AB48" s="242"/>
      <c r="AC48" s="242"/>
      <c r="AD48" s="242"/>
      <c r="AE48" s="242"/>
      <c r="AF48" s="242"/>
      <c r="AG48" s="242"/>
      <c r="AH48" s="244"/>
    </row>
    <row r="49" spans="1:34">
      <c r="A49" s="283"/>
      <c r="B49" s="251" t="s">
        <v>38</v>
      </c>
      <c r="M49" s="674"/>
      <c r="N49" s="674"/>
      <c r="O49" s="674"/>
      <c r="AH49" s="253"/>
    </row>
    <row r="50" spans="1:34">
      <c r="A50" s="283"/>
      <c r="AH50" s="253"/>
    </row>
    <row r="51" spans="1:34">
      <c r="A51" s="283"/>
      <c r="B51" s="231" t="s">
        <v>577</v>
      </c>
      <c r="C51" s="232" t="s">
        <v>844</v>
      </c>
      <c r="D51" s="232"/>
      <c r="E51" s="231" t="s">
        <v>845</v>
      </c>
      <c r="F51" s="232" t="s">
        <v>846</v>
      </c>
      <c r="G51" s="232"/>
      <c r="H51" s="232"/>
      <c r="I51" s="232"/>
      <c r="J51" s="232"/>
      <c r="K51" s="232"/>
      <c r="L51" s="232"/>
      <c r="M51" s="647"/>
      <c r="N51" s="647"/>
      <c r="O51" s="647"/>
      <c r="P51" s="232"/>
      <c r="Q51" s="232"/>
      <c r="R51" s="232"/>
      <c r="S51" s="232"/>
      <c r="T51" s="232"/>
      <c r="U51" s="232"/>
      <c r="V51" s="232"/>
      <c r="W51" s="232"/>
      <c r="X51" s="232"/>
      <c r="Y51" s="232"/>
      <c r="Z51" s="232"/>
      <c r="AA51" s="232"/>
      <c r="AB51" s="232"/>
      <c r="AC51" s="232"/>
      <c r="AD51" s="233"/>
      <c r="AH51" s="253"/>
    </row>
    <row r="52" spans="1:34">
      <c r="A52" s="283"/>
      <c r="B52" s="239" t="s">
        <v>47</v>
      </c>
      <c r="C52" s="235" t="s">
        <v>714</v>
      </c>
      <c r="D52" s="235"/>
      <c r="E52" s="236" t="s">
        <v>847</v>
      </c>
      <c r="F52" s="237" t="s">
        <v>847</v>
      </c>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8"/>
      <c r="AH52" s="253"/>
    </row>
    <row r="53" spans="1:34">
      <c r="A53" s="283"/>
      <c r="B53" s="239" t="s">
        <v>60</v>
      </c>
      <c r="C53" s="235" t="s">
        <v>714</v>
      </c>
      <c r="D53" s="235"/>
      <c r="E53" s="239" t="s">
        <v>850</v>
      </c>
      <c r="F53" s="235" t="s">
        <v>1143</v>
      </c>
      <c r="G53" s="235"/>
      <c r="H53" s="235"/>
      <c r="I53" s="235"/>
      <c r="J53" s="235"/>
      <c r="K53" s="235"/>
      <c r="L53" s="235" t="s">
        <v>852</v>
      </c>
      <c r="M53" s="235" t="s">
        <v>1144</v>
      </c>
      <c r="N53" s="235"/>
      <c r="O53" s="235"/>
      <c r="P53" s="235"/>
      <c r="Q53" s="235"/>
      <c r="R53" s="235"/>
      <c r="S53" s="235"/>
      <c r="T53" s="235"/>
      <c r="U53" s="235"/>
      <c r="V53" s="235"/>
      <c r="W53" s="235"/>
      <c r="X53" s="235"/>
      <c r="Y53" s="235"/>
      <c r="Z53" s="235"/>
      <c r="AA53" s="235"/>
      <c r="AB53" s="235"/>
      <c r="AC53" s="235"/>
      <c r="AD53" s="240"/>
      <c r="AH53" s="253"/>
    </row>
    <row r="54" spans="1:34">
      <c r="A54" s="283"/>
      <c r="B54" s="239" t="s">
        <v>606</v>
      </c>
      <c r="C54" s="235" t="s">
        <v>714</v>
      </c>
      <c r="D54" s="235"/>
      <c r="E54" s="239" t="s">
        <v>857</v>
      </c>
      <c r="F54" s="235" t="s">
        <v>1146</v>
      </c>
      <c r="G54" s="235"/>
      <c r="H54" s="235"/>
      <c r="I54" s="235"/>
      <c r="J54" s="235"/>
      <c r="K54" s="235"/>
      <c r="L54" s="235" t="s">
        <v>852</v>
      </c>
      <c r="M54" s="235" t="s">
        <v>1147</v>
      </c>
      <c r="N54" s="235"/>
      <c r="O54" s="235"/>
      <c r="P54" s="235"/>
      <c r="Q54" s="235"/>
      <c r="R54" s="235"/>
      <c r="S54" s="235"/>
      <c r="T54" s="235"/>
      <c r="U54" s="235"/>
      <c r="V54" s="235"/>
      <c r="W54" s="235"/>
      <c r="X54" s="235"/>
      <c r="Y54" s="235"/>
      <c r="Z54" s="235"/>
      <c r="AA54" s="235"/>
      <c r="AB54" s="235"/>
      <c r="AC54" s="235"/>
      <c r="AD54" s="240"/>
      <c r="AH54" s="253"/>
    </row>
    <row r="55" spans="1:34">
      <c r="A55" s="283"/>
      <c r="B55" s="243" t="s">
        <v>49</v>
      </c>
      <c r="C55" s="242" t="s">
        <v>714</v>
      </c>
      <c r="D55" s="242"/>
      <c r="E55" s="243" t="s">
        <v>857</v>
      </c>
      <c r="F55" s="242" t="s">
        <v>1148</v>
      </c>
      <c r="G55" s="242"/>
      <c r="H55" s="242"/>
      <c r="I55" s="242"/>
      <c r="J55" s="242"/>
      <c r="K55" s="242"/>
      <c r="L55" s="242" t="s">
        <v>852</v>
      </c>
      <c r="M55" s="242" t="s">
        <v>75</v>
      </c>
      <c r="N55" s="242"/>
      <c r="O55" s="242"/>
      <c r="P55" s="242"/>
      <c r="Q55" s="242"/>
      <c r="R55" s="242"/>
      <c r="S55" s="242"/>
      <c r="T55" s="242"/>
      <c r="U55" s="242"/>
      <c r="V55" s="242"/>
      <c r="W55" s="242"/>
      <c r="X55" s="242"/>
      <c r="Y55" s="242"/>
      <c r="Z55" s="242"/>
      <c r="AA55" s="242"/>
      <c r="AB55" s="242"/>
      <c r="AC55" s="242" t="s">
        <v>890</v>
      </c>
      <c r="AD55" s="244"/>
      <c r="AH55" s="253"/>
    </row>
    <row r="56" spans="1:34">
      <c r="A56" s="283"/>
      <c r="B56" s="247"/>
      <c r="C56" s="246"/>
      <c r="D56" s="246"/>
      <c r="E56" s="247"/>
      <c r="F56" s="246" t="s">
        <v>1149</v>
      </c>
      <c r="G56" s="246"/>
      <c r="H56" s="246"/>
      <c r="I56" s="246"/>
      <c r="J56" s="246"/>
      <c r="K56" s="246"/>
      <c r="L56" s="246" t="s">
        <v>852</v>
      </c>
      <c r="M56" s="248" t="s">
        <v>76</v>
      </c>
      <c r="N56" s="246"/>
      <c r="O56" s="246"/>
      <c r="P56" s="246"/>
      <c r="Q56" s="246"/>
      <c r="R56" s="246"/>
      <c r="S56" s="246"/>
      <c r="T56" s="246"/>
      <c r="U56" s="246"/>
      <c r="V56" s="246"/>
      <c r="W56" s="246"/>
      <c r="X56" s="246"/>
      <c r="Y56" s="246"/>
      <c r="Z56" s="246"/>
      <c r="AA56" s="246"/>
      <c r="AB56" s="246"/>
      <c r="AC56" s="246"/>
      <c r="AD56" s="249"/>
      <c r="AH56" s="253"/>
    </row>
    <row r="57" spans="1:34">
      <c r="A57" s="283"/>
      <c r="B57" s="243" t="s">
        <v>213</v>
      </c>
      <c r="C57" s="242" t="s">
        <v>714</v>
      </c>
      <c r="D57" s="242"/>
      <c r="E57" s="243" t="s">
        <v>857</v>
      </c>
      <c r="F57" s="242" t="s">
        <v>75</v>
      </c>
      <c r="G57" s="242"/>
      <c r="H57" s="242"/>
      <c r="I57" s="242"/>
      <c r="J57" s="242"/>
      <c r="K57" s="242"/>
      <c r="L57" s="242" t="s">
        <v>852</v>
      </c>
      <c r="M57" s="242" t="s">
        <v>1151</v>
      </c>
      <c r="N57" s="242"/>
      <c r="O57" s="242"/>
      <c r="P57" s="242"/>
      <c r="Q57" s="242"/>
      <c r="R57" s="242"/>
      <c r="S57" s="242"/>
      <c r="T57" s="242"/>
      <c r="U57" s="242"/>
      <c r="V57" s="242"/>
      <c r="W57" s="242"/>
      <c r="X57" s="242"/>
      <c r="Y57" s="242"/>
      <c r="Z57" s="242"/>
      <c r="AA57" s="242"/>
      <c r="AB57" s="242"/>
      <c r="AC57" s="242"/>
      <c r="AD57" s="244"/>
      <c r="AH57" s="253"/>
    </row>
    <row r="58" spans="1:34">
      <c r="A58" s="283"/>
      <c r="B58" s="252"/>
      <c r="E58" s="252"/>
      <c r="F58" s="251" t="s">
        <v>1152</v>
      </c>
      <c r="L58" s="251" t="s">
        <v>855</v>
      </c>
      <c r="M58" s="251" t="s">
        <v>79</v>
      </c>
      <c r="AC58" s="251" t="s">
        <v>896</v>
      </c>
      <c r="AD58" s="253"/>
      <c r="AH58" s="253"/>
    </row>
    <row r="59" spans="1:34">
      <c r="A59" s="283"/>
      <c r="B59" s="247"/>
      <c r="C59" s="246"/>
      <c r="D59" s="246"/>
      <c r="E59" s="247"/>
      <c r="F59" s="246" t="s">
        <v>1153</v>
      </c>
      <c r="G59" s="246"/>
      <c r="H59" s="246"/>
      <c r="I59" s="246"/>
      <c r="J59" s="246"/>
      <c r="K59" s="246"/>
      <c r="L59" s="246" t="s">
        <v>855</v>
      </c>
      <c r="M59" s="251" t="s">
        <v>79</v>
      </c>
      <c r="N59" s="246"/>
      <c r="O59" s="246"/>
      <c r="P59" s="246"/>
      <c r="Q59" s="246"/>
      <c r="R59" s="246"/>
      <c r="S59" s="246"/>
      <c r="T59" s="246"/>
      <c r="U59" s="246"/>
      <c r="V59" s="246"/>
      <c r="W59" s="246"/>
      <c r="X59" s="246"/>
      <c r="Y59" s="246"/>
      <c r="Z59" s="246"/>
      <c r="AA59" s="246"/>
      <c r="AB59" s="246"/>
      <c r="AC59" s="246" t="s">
        <v>896</v>
      </c>
      <c r="AD59" s="249"/>
      <c r="AH59" s="253"/>
    </row>
    <row r="60" spans="1:34">
      <c r="A60" s="283"/>
      <c r="B60" s="243" t="s">
        <v>214</v>
      </c>
      <c r="C60" s="242" t="s">
        <v>714</v>
      </c>
      <c r="D60" s="242"/>
      <c r="E60" s="243" t="s">
        <v>857</v>
      </c>
      <c r="F60" s="242" t="s">
        <v>75</v>
      </c>
      <c r="G60" s="242"/>
      <c r="H60" s="242"/>
      <c r="I60" s="242"/>
      <c r="J60" s="242"/>
      <c r="K60" s="242"/>
      <c r="L60" s="242" t="s">
        <v>852</v>
      </c>
      <c r="M60" s="242" t="s">
        <v>1154</v>
      </c>
      <c r="N60" s="242"/>
      <c r="O60" s="242"/>
      <c r="P60" s="242"/>
      <c r="Q60" s="242"/>
      <c r="R60" s="242"/>
      <c r="S60" s="242"/>
      <c r="T60" s="242"/>
      <c r="U60" s="242"/>
      <c r="V60" s="242"/>
      <c r="W60" s="242"/>
      <c r="X60" s="242"/>
      <c r="Y60" s="242"/>
      <c r="Z60" s="242"/>
      <c r="AA60" s="242"/>
      <c r="AB60" s="242"/>
      <c r="AC60" s="242"/>
      <c r="AD60" s="244"/>
      <c r="AH60" s="253"/>
    </row>
    <row r="61" spans="1:34">
      <c r="A61" s="283"/>
      <c r="B61" s="252"/>
      <c r="E61" s="252"/>
      <c r="F61" s="251" t="s">
        <v>1155</v>
      </c>
      <c r="L61" s="251" t="s">
        <v>855</v>
      </c>
      <c r="M61" s="251" t="s">
        <v>79</v>
      </c>
      <c r="AC61" s="251" t="s">
        <v>896</v>
      </c>
      <c r="AD61" s="253"/>
      <c r="AH61" s="253"/>
    </row>
    <row r="62" spans="1:34">
      <c r="A62" s="283"/>
      <c r="B62" s="247"/>
      <c r="C62" s="246"/>
      <c r="D62" s="246"/>
      <c r="E62" s="247"/>
      <c r="F62" s="246" t="s">
        <v>1156</v>
      </c>
      <c r="G62" s="246"/>
      <c r="H62" s="246"/>
      <c r="I62" s="246"/>
      <c r="J62" s="246"/>
      <c r="K62" s="246"/>
      <c r="L62" s="246" t="s">
        <v>855</v>
      </c>
      <c r="M62" s="251" t="s">
        <v>79</v>
      </c>
      <c r="N62" s="246"/>
      <c r="O62" s="246"/>
      <c r="P62" s="246"/>
      <c r="Q62" s="246"/>
      <c r="R62" s="246"/>
      <c r="S62" s="246"/>
      <c r="T62" s="246"/>
      <c r="U62" s="246"/>
      <c r="V62" s="246"/>
      <c r="W62" s="246"/>
      <c r="X62" s="246"/>
      <c r="Y62" s="246"/>
      <c r="Z62" s="246"/>
      <c r="AA62" s="246"/>
      <c r="AB62" s="246"/>
      <c r="AC62" s="246" t="s">
        <v>896</v>
      </c>
      <c r="AD62" s="249"/>
      <c r="AH62" s="253"/>
    </row>
    <row r="63" spans="1:34">
      <c r="A63" s="283"/>
      <c r="B63" s="243" t="s">
        <v>215</v>
      </c>
      <c r="C63" s="242" t="s">
        <v>714</v>
      </c>
      <c r="D63" s="242"/>
      <c r="E63" s="243" t="s">
        <v>857</v>
      </c>
      <c r="F63" s="242" t="s">
        <v>1148</v>
      </c>
      <c r="G63" s="242"/>
      <c r="H63" s="242"/>
      <c r="I63" s="242"/>
      <c r="J63" s="242"/>
      <c r="K63" s="242"/>
      <c r="L63" s="242" t="s">
        <v>852</v>
      </c>
      <c r="M63" s="242" t="s">
        <v>1158</v>
      </c>
      <c r="N63" s="242"/>
      <c r="O63" s="242"/>
      <c r="P63" s="242"/>
      <c r="Q63" s="242"/>
      <c r="R63" s="242"/>
      <c r="S63" s="242"/>
      <c r="T63" s="242"/>
      <c r="U63" s="242"/>
      <c r="V63" s="242"/>
      <c r="W63" s="242"/>
      <c r="X63" s="242"/>
      <c r="Y63" s="242"/>
      <c r="Z63" s="242"/>
      <c r="AA63" s="242"/>
      <c r="AB63" s="242"/>
      <c r="AC63" s="242"/>
      <c r="AD63" s="244"/>
      <c r="AH63" s="253"/>
    </row>
    <row r="64" spans="1:34">
      <c r="A64" s="283"/>
      <c r="B64" s="252"/>
      <c r="E64" s="252"/>
      <c r="F64" s="251" t="s">
        <v>1159</v>
      </c>
      <c r="L64" s="251" t="s">
        <v>855</v>
      </c>
      <c r="M64" s="251" t="s">
        <v>79</v>
      </c>
      <c r="AC64" s="251" t="s">
        <v>896</v>
      </c>
      <c r="AD64" s="253"/>
      <c r="AH64" s="253"/>
    </row>
    <row r="65" spans="1:34">
      <c r="A65" s="283"/>
      <c r="B65" s="247"/>
      <c r="C65" s="246"/>
      <c r="D65" s="246"/>
      <c r="E65" s="247"/>
      <c r="F65" s="246" t="s">
        <v>1160</v>
      </c>
      <c r="G65" s="246"/>
      <c r="H65" s="246"/>
      <c r="I65" s="246"/>
      <c r="J65" s="246"/>
      <c r="K65" s="246"/>
      <c r="L65" s="246" t="s">
        <v>855</v>
      </c>
      <c r="M65" s="251" t="s">
        <v>79</v>
      </c>
      <c r="N65" s="246"/>
      <c r="O65" s="246"/>
      <c r="P65" s="246"/>
      <c r="Q65" s="246"/>
      <c r="R65" s="246"/>
      <c r="S65" s="246"/>
      <c r="T65" s="246"/>
      <c r="U65" s="246"/>
      <c r="V65" s="246"/>
      <c r="W65" s="246"/>
      <c r="X65" s="246"/>
      <c r="Y65" s="246"/>
      <c r="Z65" s="246"/>
      <c r="AA65" s="246"/>
      <c r="AB65" s="246"/>
      <c r="AC65" s="246" t="s">
        <v>896</v>
      </c>
      <c r="AD65" s="249"/>
      <c r="AH65" s="253"/>
    </row>
    <row r="66" spans="1:34">
      <c r="A66" s="283"/>
      <c r="B66" s="239" t="s">
        <v>51</v>
      </c>
      <c r="C66" s="235" t="s">
        <v>714</v>
      </c>
      <c r="D66" s="235"/>
      <c r="E66" s="239" t="s">
        <v>857</v>
      </c>
      <c r="F66" s="235" t="s">
        <v>1274</v>
      </c>
      <c r="G66" s="235"/>
      <c r="H66" s="235"/>
      <c r="I66" s="235"/>
      <c r="J66" s="235"/>
      <c r="K66" s="235"/>
      <c r="L66" s="235" t="s">
        <v>855</v>
      </c>
      <c r="M66" s="235" t="s">
        <v>87</v>
      </c>
      <c r="N66" s="235"/>
      <c r="O66" s="235"/>
      <c r="P66" s="235"/>
      <c r="Q66" s="235"/>
      <c r="R66" s="235"/>
      <c r="S66" s="235"/>
      <c r="T66" s="235"/>
      <c r="U66" s="235"/>
      <c r="V66" s="235"/>
      <c r="W66" s="235"/>
      <c r="X66" s="235"/>
      <c r="Y66" s="235"/>
      <c r="Z66" s="235"/>
      <c r="AA66" s="235"/>
      <c r="AB66" s="235"/>
      <c r="AC66" s="235"/>
      <c r="AD66" s="240"/>
      <c r="AH66" s="253"/>
    </row>
    <row r="67" spans="1:34">
      <c r="A67" s="283"/>
      <c r="B67" s="243" t="s">
        <v>1275</v>
      </c>
      <c r="C67" s="242" t="s">
        <v>714</v>
      </c>
      <c r="D67" s="242"/>
      <c r="E67" s="243" t="s">
        <v>857</v>
      </c>
      <c r="F67" s="242" t="s">
        <v>1148</v>
      </c>
      <c r="G67" s="242"/>
      <c r="H67" s="242"/>
      <c r="I67" s="242"/>
      <c r="J67" s="242"/>
      <c r="K67" s="242"/>
      <c r="L67" s="242" t="s">
        <v>852</v>
      </c>
      <c r="M67" s="242" t="s">
        <v>863</v>
      </c>
      <c r="N67" s="242"/>
      <c r="O67" s="242"/>
      <c r="P67" s="242"/>
      <c r="Q67" s="242"/>
      <c r="R67" s="242"/>
      <c r="S67" s="242"/>
      <c r="T67" s="242"/>
      <c r="U67" s="242"/>
      <c r="V67" s="242"/>
      <c r="W67" s="242"/>
      <c r="X67" s="242"/>
      <c r="Y67" s="242"/>
      <c r="Z67" s="242"/>
      <c r="AA67" s="242"/>
      <c r="AB67" s="242"/>
      <c r="AC67" s="242"/>
      <c r="AD67" s="244"/>
      <c r="AH67" s="253"/>
    </row>
    <row r="68" spans="1:34">
      <c r="A68" s="283"/>
      <c r="B68" s="252"/>
      <c r="E68" s="252"/>
      <c r="F68" s="251" t="s">
        <v>1161</v>
      </c>
      <c r="L68" s="251" t="s">
        <v>855</v>
      </c>
      <c r="M68" s="251" t="s">
        <v>79</v>
      </c>
      <c r="AC68" s="251" t="s">
        <v>896</v>
      </c>
      <c r="AD68" s="253"/>
      <c r="AH68" s="253"/>
    </row>
    <row r="69" spans="1:34">
      <c r="A69" s="283"/>
      <c r="B69" s="247"/>
      <c r="C69" s="246"/>
      <c r="D69" s="246"/>
      <c r="E69" s="247"/>
      <c r="F69" s="246" t="s">
        <v>1162</v>
      </c>
      <c r="G69" s="246"/>
      <c r="H69" s="246"/>
      <c r="I69" s="246"/>
      <c r="J69" s="246"/>
      <c r="K69" s="246"/>
      <c r="L69" s="246" t="s">
        <v>855</v>
      </c>
      <c r="M69" s="251" t="s">
        <v>79</v>
      </c>
      <c r="N69" s="246"/>
      <c r="O69" s="246"/>
      <c r="P69" s="246"/>
      <c r="Q69" s="246"/>
      <c r="R69" s="246"/>
      <c r="S69" s="246"/>
      <c r="T69" s="246"/>
      <c r="U69" s="246"/>
      <c r="V69" s="246"/>
      <c r="W69" s="246"/>
      <c r="X69" s="246"/>
      <c r="Y69" s="246"/>
      <c r="Z69" s="246"/>
      <c r="AA69" s="246"/>
      <c r="AB69" s="246"/>
      <c r="AC69" s="246" t="s">
        <v>896</v>
      </c>
      <c r="AD69" s="249"/>
      <c r="AH69" s="253"/>
    </row>
    <row r="70" spans="1:34">
      <c r="A70" s="283"/>
      <c r="B70" s="239" t="s">
        <v>50</v>
      </c>
      <c r="C70" s="235" t="s">
        <v>714</v>
      </c>
      <c r="D70" s="235"/>
      <c r="E70" s="239" t="s">
        <v>857</v>
      </c>
      <c r="F70" s="235" t="s">
        <v>1276</v>
      </c>
      <c r="G70" s="235"/>
      <c r="H70" s="235"/>
      <c r="I70" s="235"/>
      <c r="J70" s="235"/>
      <c r="K70" s="235"/>
      <c r="L70" s="235" t="s">
        <v>855</v>
      </c>
      <c r="M70" s="235" t="s">
        <v>1277</v>
      </c>
      <c r="N70" s="235"/>
      <c r="O70" s="235"/>
      <c r="P70" s="235"/>
      <c r="Q70" s="235"/>
      <c r="R70" s="235"/>
      <c r="S70" s="235"/>
      <c r="T70" s="235"/>
      <c r="U70" s="235"/>
      <c r="V70" s="235"/>
      <c r="W70" s="235"/>
      <c r="X70" s="235"/>
      <c r="Y70" s="235"/>
      <c r="Z70" s="235"/>
      <c r="AA70" s="235"/>
      <c r="AB70" s="235"/>
      <c r="AC70" s="235"/>
      <c r="AD70" s="240"/>
      <c r="AH70" s="253"/>
    </row>
    <row r="71" spans="1:34">
      <c r="A71" s="283"/>
      <c r="B71" s="243" t="s">
        <v>874</v>
      </c>
      <c r="C71" s="242" t="s">
        <v>714</v>
      </c>
      <c r="D71" s="242"/>
      <c r="E71" s="243" t="s">
        <v>857</v>
      </c>
      <c r="F71" s="242" t="s">
        <v>1148</v>
      </c>
      <c r="G71" s="242"/>
      <c r="H71" s="242"/>
      <c r="I71" s="242"/>
      <c r="J71" s="242"/>
      <c r="K71" s="242"/>
      <c r="L71" s="242" t="s">
        <v>852</v>
      </c>
      <c r="M71" s="242" t="s">
        <v>875</v>
      </c>
      <c r="N71" s="242"/>
      <c r="O71" s="242"/>
      <c r="P71" s="242"/>
      <c r="Q71" s="242"/>
      <c r="R71" s="242"/>
      <c r="S71" s="242"/>
      <c r="T71" s="242"/>
      <c r="U71" s="242"/>
      <c r="V71" s="242"/>
      <c r="W71" s="242"/>
      <c r="X71" s="242"/>
      <c r="Y71" s="242"/>
      <c r="Z71" s="242"/>
      <c r="AA71" s="242"/>
      <c r="AB71" s="242"/>
      <c r="AC71" s="242"/>
      <c r="AD71" s="244"/>
      <c r="AH71" s="253"/>
    </row>
    <row r="72" spans="1:34">
      <c r="A72" s="283"/>
      <c r="B72" s="252"/>
      <c r="E72" s="252"/>
      <c r="F72" s="251" t="s">
        <v>1164</v>
      </c>
      <c r="L72" s="251" t="s">
        <v>855</v>
      </c>
      <c r="M72" s="251" t="s">
        <v>79</v>
      </c>
      <c r="AC72" s="251" t="s">
        <v>896</v>
      </c>
      <c r="AD72" s="253"/>
      <c r="AH72" s="253"/>
    </row>
    <row r="73" spans="1:34">
      <c r="A73" s="283"/>
      <c r="B73" s="247"/>
      <c r="C73" s="246"/>
      <c r="D73" s="246"/>
      <c r="E73" s="247"/>
      <c r="F73" s="246" t="s">
        <v>1165</v>
      </c>
      <c r="G73" s="246"/>
      <c r="H73" s="246"/>
      <c r="I73" s="246"/>
      <c r="J73" s="246"/>
      <c r="K73" s="246"/>
      <c r="L73" s="246" t="s">
        <v>855</v>
      </c>
      <c r="M73" s="251" t="s">
        <v>79</v>
      </c>
      <c r="N73" s="246"/>
      <c r="O73" s="246"/>
      <c r="P73" s="246"/>
      <c r="Q73" s="246"/>
      <c r="R73" s="246"/>
      <c r="S73" s="246"/>
      <c r="T73" s="246"/>
      <c r="U73" s="246"/>
      <c r="V73" s="246"/>
      <c r="W73" s="246"/>
      <c r="X73" s="246"/>
      <c r="Y73" s="246"/>
      <c r="Z73" s="246"/>
      <c r="AA73" s="246"/>
      <c r="AB73" s="246"/>
      <c r="AC73" s="246" t="s">
        <v>896</v>
      </c>
      <c r="AD73" s="249"/>
      <c r="AH73" s="253"/>
    </row>
    <row r="74" spans="1:34">
      <c r="A74" s="283"/>
      <c r="B74" s="243" t="s">
        <v>52</v>
      </c>
      <c r="C74" s="242" t="s">
        <v>714</v>
      </c>
      <c r="D74" s="242"/>
      <c r="E74" s="243" t="s">
        <v>857</v>
      </c>
      <c r="F74" s="242" t="s">
        <v>1167</v>
      </c>
      <c r="G74" s="242"/>
      <c r="H74" s="242"/>
      <c r="I74" s="242"/>
      <c r="J74" s="242"/>
      <c r="K74" s="242"/>
      <c r="L74" s="242" t="s">
        <v>855</v>
      </c>
      <c r="M74" s="242" t="s">
        <v>1168</v>
      </c>
      <c r="N74" s="242"/>
      <c r="O74" s="242"/>
      <c r="P74" s="242"/>
      <c r="Q74" s="242"/>
      <c r="R74" s="242"/>
      <c r="S74" s="242"/>
      <c r="T74" s="242"/>
      <c r="U74" s="242"/>
      <c r="V74" s="242"/>
      <c r="W74" s="242"/>
      <c r="X74" s="242"/>
      <c r="Y74" s="242"/>
      <c r="Z74" s="242"/>
      <c r="AA74" s="242"/>
      <c r="AB74" s="242"/>
      <c r="AC74" s="242"/>
      <c r="AD74" s="244"/>
      <c r="AH74" s="253"/>
    </row>
    <row r="75" spans="1:34">
      <c r="A75" s="283"/>
      <c r="B75" s="247"/>
      <c r="C75" s="246"/>
      <c r="D75" s="246"/>
      <c r="E75" s="247"/>
      <c r="F75" s="246" t="s">
        <v>1169</v>
      </c>
      <c r="G75" s="246"/>
      <c r="H75" s="246"/>
      <c r="I75" s="246"/>
      <c r="J75" s="246"/>
      <c r="K75" s="246"/>
      <c r="L75" s="246" t="s">
        <v>855</v>
      </c>
      <c r="M75" s="246" t="s">
        <v>1170</v>
      </c>
      <c r="N75" s="246"/>
      <c r="O75" s="246"/>
      <c r="P75" s="246"/>
      <c r="Q75" s="246"/>
      <c r="R75" s="246"/>
      <c r="S75" s="246"/>
      <c r="T75" s="246"/>
      <c r="U75" s="246"/>
      <c r="V75" s="246"/>
      <c r="W75" s="246"/>
      <c r="X75" s="246"/>
      <c r="Y75" s="246"/>
      <c r="Z75" s="246"/>
      <c r="AA75" s="246"/>
      <c r="AB75" s="246"/>
      <c r="AC75" s="246"/>
      <c r="AD75" s="249"/>
      <c r="AH75" s="253"/>
    </row>
    <row r="76" spans="1:34">
      <c r="A76" s="283"/>
      <c r="B76" s="243" t="s">
        <v>54</v>
      </c>
      <c r="C76" s="242" t="s">
        <v>714</v>
      </c>
      <c r="D76" s="242"/>
      <c r="E76" s="243" t="s">
        <v>857</v>
      </c>
      <c r="F76" s="242" t="s">
        <v>1172</v>
      </c>
      <c r="G76" s="242"/>
      <c r="H76" s="242"/>
      <c r="I76" s="242"/>
      <c r="J76" s="242"/>
      <c r="K76" s="242"/>
      <c r="L76" s="242" t="s">
        <v>855</v>
      </c>
      <c r="M76" s="242" t="s">
        <v>1173</v>
      </c>
      <c r="N76" s="242"/>
      <c r="O76" s="242"/>
      <c r="P76" s="242"/>
      <c r="Q76" s="242"/>
      <c r="R76" s="242"/>
      <c r="S76" s="242"/>
      <c r="T76" s="242"/>
      <c r="U76" s="242"/>
      <c r="V76" s="242"/>
      <c r="W76" s="242"/>
      <c r="X76" s="242"/>
      <c r="Y76" s="242"/>
      <c r="Z76" s="242"/>
      <c r="AA76" s="242"/>
      <c r="AB76" s="242"/>
      <c r="AC76" s="242"/>
      <c r="AD76" s="244"/>
      <c r="AH76" s="253"/>
    </row>
    <row r="77" spans="1:34">
      <c r="A77" s="283"/>
      <c r="B77" s="247"/>
      <c r="C77" s="246"/>
      <c r="D77" s="246"/>
      <c r="E77" s="247"/>
      <c r="F77" s="246" t="s">
        <v>1174</v>
      </c>
      <c r="G77" s="246"/>
      <c r="H77" s="246"/>
      <c r="I77" s="246"/>
      <c r="J77" s="246"/>
      <c r="K77" s="246"/>
      <c r="L77" s="246" t="s">
        <v>855</v>
      </c>
      <c r="M77" s="246" t="s">
        <v>76</v>
      </c>
      <c r="N77" s="246"/>
      <c r="O77" s="246"/>
      <c r="P77" s="246"/>
      <c r="Q77" s="246"/>
      <c r="R77" s="246"/>
      <c r="S77" s="246"/>
      <c r="T77" s="246"/>
      <c r="U77" s="246"/>
      <c r="V77" s="246"/>
      <c r="W77" s="246"/>
      <c r="X77" s="246"/>
      <c r="Y77" s="246"/>
      <c r="Z77" s="246"/>
      <c r="AA77" s="246"/>
      <c r="AB77" s="246"/>
      <c r="AC77" s="246"/>
      <c r="AD77" s="249"/>
      <c r="AH77" s="253"/>
    </row>
    <row r="78" spans="1:34">
      <c r="A78" s="283"/>
      <c r="B78" s="243" t="s">
        <v>57</v>
      </c>
      <c r="C78" s="242" t="s">
        <v>714</v>
      </c>
      <c r="D78" s="242"/>
      <c r="E78" s="252" t="s">
        <v>857</v>
      </c>
      <c r="F78" s="242" t="s">
        <v>1092</v>
      </c>
      <c r="G78" s="242"/>
      <c r="H78" s="242"/>
      <c r="I78" s="242"/>
      <c r="J78" s="242"/>
      <c r="K78" s="242"/>
      <c r="L78" s="251" t="s">
        <v>855</v>
      </c>
      <c r="M78" s="242" t="s">
        <v>1175</v>
      </c>
      <c r="N78" s="242"/>
      <c r="O78" s="242"/>
      <c r="P78" s="242"/>
      <c r="Q78" s="242"/>
      <c r="R78" s="242"/>
      <c r="S78" s="242"/>
      <c r="T78" s="242"/>
      <c r="U78" s="242"/>
      <c r="V78" s="242"/>
      <c r="W78" s="242"/>
      <c r="X78" s="242"/>
      <c r="Y78" s="242"/>
      <c r="Z78" s="242"/>
      <c r="AA78" s="242"/>
      <c r="AB78" s="242"/>
      <c r="AC78" s="242"/>
      <c r="AD78" s="244"/>
      <c r="AH78" s="253"/>
    </row>
    <row r="79" spans="1:34">
      <c r="A79" s="283"/>
      <c r="B79" s="247"/>
      <c r="C79" s="246"/>
      <c r="D79" s="246"/>
      <c r="E79" s="247"/>
      <c r="F79" s="246" t="s">
        <v>1176</v>
      </c>
      <c r="G79" s="246"/>
      <c r="H79" s="246"/>
      <c r="I79" s="246"/>
      <c r="J79" s="246"/>
      <c r="K79" s="246"/>
      <c r="L79" s="246" t="s">
        <v>855</v>
      </c>
      <c r="M79" s="248" t="s">
        <v>76</v>
      </c>
      <c r="N79" s="246"/>
      <c r="O79" s="246"/>
      <c r="P79" s="246"/>
      <c r="Q79" s="246"/>
      <c r="R79" s="246"/>
      <c r="S79" s="246"/>
      <c r="T79" s="246"/>
      <c r="U79" s="246"/>
      <c r="V79" s="246"/>
      <c r="W79" s="246"/>
      <c r="X79" s="246"/>
      <c r="Y79" s="246"/>
      <c r="Z79" s="246"/>
      <c r="AA79" s="246"/>
      <c r="AB79" s="246"/>
      <c r="AC79" s="246"/>
      <c r="AD79" s="249"/>
      <c r="AH79" s="253"/>
    </row>
    <row r="80" spans="1:34">
      <c r="A80" s="283"/>
      <c r="B80" s="239" t="s">
        <v>55</v>
      </c>
      <c r="C80" s="235" t="s">
        <v>1177</v>
      </c>
      <c r="D80" s="235"/>
      <c r="E80" s="239" t="s">
        <v>857</v>
      </c>
      <c r="F80" s="235"/>
      <c r="G80" s="235"/>
      <c r="H80" s="235"/>
      <c r="I80" s="235"/>
      <c r="J80" s="235"/>
      <c r="K80" s="235"/>
      <c r="L80" s="235"/>
      <c r="M80" s="235"/>
      <c r="N80" s="235"/>
      <c r="O80" s="235"/>
      <c r="P80" s="235"/>
      <c r="Q80" s="235"/>
      <c r="R80" s="235"/>
      <c r="S80" s="235"/>
      <c r="T80" s="235"/>
      <c r="U80" s="235"/>
      <c r="V80" s="235"/>
      <c r="W80" s="235"/>
      <c r="X80" s="235"/>
      <c r="Y80" s="235"/>
      <c r="Z80" s="235"/>
      <c r="AA80" s="235"/>
      <c r="AB80" s="235"/>
      <c r="AC80" s="235"/>
      <c r="AD80" s="240"/>
      <c r="AH80" s="253"/>
    </row>
    <row r="81" spans="1:34">
      <c r="A81" s="283"/>
      <c r="B81" s="239" t="s">
        <v>55</v>
      </c>
      <c r="C81" s="235" t="s">
        <v>1178</v>
      </c>
      <c r="D81" s="235"/>
      <c r="E81" s="239" t="s">
        <v>857</v>
      </c>
      <c r="F81" s="235"/>
      <c r="G81" s="235"/>
      <c r="H81" s="235"/>
      <c r="I81" s="235"/>
      <c r="J81" s="235"/>
      <c r="K81" s="235"/>
      <c r="L81" s="235"/>
      <c r="M81" s="235"/>
      <c r="N81" s="235"/>
      <c r="O81" s="235"/>
      <c r="P81" s="235"/>
      <c r="Q81" s="235"/>
      <c r="R81" s="235"/>
      <c r="S81" s="235"/>
      <c r="T81" s="235"/>
      <c r="U81" s="235"/>
      <c r="V81" s="235"/>
      <c r="W81" s="235"/>
      <c r="X81" s="235"/>
      <c r="Y81" s="235"/>
      <c r="Z81" s="235"/>
      <c r="AA81" s="235"/>
      <c r="AB81" s="235"/>
      <c r="AC81" s="235"/>
      <c r="AD81" s="240"/>
      <c r="AH81" s="253"/>
    </row>
    <row r="82" spans="1:34">
      <c r="A82" s="283"/>
      <c r="B82" s="239" t="s">
        <v>55</v>
      </c>
      <c r="C82" s="235" t="s">
        <v>1179</v>
      </c>
      <c r="D82" s="235"/>
      <c r="E82" s="239" t="s">
        <v>857</v>
      </c>
      <c r="F82" s="235"/>
      <c r="G82" s="235"/>
      <c r="H82" s="235"/>
      <c r="I82" s="235"/>
      <c r="J82" s="235"/>
      <c r="K82" s="235"/>
      <c r="L82" s="235"/>
      <c r="M82" s="235"/>
      <c r="N82" s="235"/>
      <c r="O82" s="235"/>
      <c r="P82" s="235"/>
      <c r="Q82" s="235"/>
      <c r="R82" s="235"/>
      <c r="S82" s="235"/>
      <c r="T82" s="235"/>
      <c r="U82" s="235"/>
      <c r="V82" s="235"/>
      <c r="W82" s="235"/>
      <c r="X82" s="235"/>
      <c r="Y82" s="235"/>
      <c r="Z82" s="235"/>
      <c r="AA82" s="235"/>
      <c r="AB82" s="235"/>
      <c r="AC82" s="235"/>
      <c r="AD82" s="240"/>
      <c r="AH82" s="253"/>
    </row>
    <row r="83" spans="1:34">
      <c r="A83" s="283"/>
      <c r="B83" s="239" t="s">
        <v>1278</v>
      </c>
      <c r="C83" s="235" t="s">
        <v>714</v>
      </c>
      <c r="D83" s="235"/>
      <c r="E83" s="239" t="s">
        <v>857</v>
      </c>
      <c r="F83" s="235" t="s">
        <v>1181</v>
      </c>
      <c r="G83" s="235"/>
      <c r="H83" s="235"/>
      <c r="I83" s="235"/>
      <c r="J83" s="235"/>
      <c r="K83" s="235"/>
      <c r="L83" s="235" t="s">
        <v>855</v>
      </c>
      <c r="M83" s="235" t="s">
        <v>1182</v>
      </c>
      <c r="N83" s="235"/>
      <c r="O83" s="235"/>
      <c r="P83" s="235"/>
      <c r="Q83" s="235"/>
      <c r="R83" s="235"/>
      <c r="S83" s="235"/>
      <c r="T83" s="235"/>
      <c r="U83" s="235"/>
      <c r="V83" s="235"/>
      <c r="W83" s="235"/>
      <c r="X83" s="235"/>
      <c r="Y83" s="235"/>
      <c r="Z83" s="235"/>
      <c r="AA83" s="235"/>
      <c r="AB83" s="235"/>
      <c r="AC83" s="235"/>
      <c r="AD83" s="240"/>
      <c r="AH83" s="253"/>
    </row>
    <row r="84" spans="1:34">
      <c r="A84" s="283"/>
      <c r="B84" s="239" t="s">
        <v>1279</v>
      </c>
      <c r="C84" s="235"/>
      <c r="D84" s="235"/>
      <c r="E84" s="239"/>
      <c r="F84" s="235"/>
      <c r="G84" s="235"/>
      <c r="H84" s="235"/>
      <c r="I84" s="235"/>
      <c r="J84" s="235"/>
      <c r="K84" s="235"/>
      <c r="L84" s="235"/>
      <c r="M84" s="235"/>
      <c r="N84" s="235"/>
      <c r="O84" s="235"/>
      <c r="P84" s="235"/>
      <c r="Q84" s="235"/>
      <c r="R84" s="235"/>
      <c r="S84" s="235"/>
      <c r="T84" s="235"/>
      <c r="U84" s="235"/>
      <c r="V84" s="235"/>
      <c r="W84" s="235"/>
      <c r="X84" s="235"/>
      <c r="Y84" s="235"/>
      <c r="Z84" s="235"/>
      <c r="AA84" s="235"/>
      <c r="AB84" s="235"/>
      <c r="AC84" s="235"/>
      <c r="AD84" s="240"/>
      <c r="AH84" s="253"/>
    </row>
    <row r="85" spans="1:34">
      <c r="A85" s="283"/>
      <c r="B85" s="239" t="s">
        <v>217</v>
      </c>
      <c r="C85" s="235"/>
      <c r="D85" s="235"/>
      <c r="E85" s="239"/>
      <c r="F85" s="235"/>
      <c r="G85" s="235"/>
      <c r="H85" s="235"/>
      <c r="I85" s="235"/>
      <c r="J85" s="235"/>
      <c r="K85" s="235"/>
      <c r="L85" s="235"/>
      <c r="M85" s="235"/>
      <c r="N85" s="235"/>
      <c r="O85" s="235"/>
      <c r="P85" s="235"/>
      <c r="Q85" s="235"/>
      <c r="R85" s="235"/>
      <c r="S85" s="235"/>
      <c r="T85" s="235"/>
      <c r="U85" s="235"/>
      <c r="V85" s="235"/>
      <c r="W85" s="235"/>
      <c r="X85" s="235"/>
      <c r="Y85" s="235"/>
      <c r="Z85" s="235"/>
      <c r="AA85" s="235"/>
      <c r="AB85" s="235"/>
      <c r="AC85" s="235"/>
      <c r="AD85" s="240"/>
      <c r="AH85" s="253"/>
    </row>
    <row r="86" spans="1:34">
      <c r="A86" s="283"/>
      <c r="D86" s="267"/>
      <c r="AH86" s="253"/>
    </row>
    <row r="87" spans="1:34">
      <c r="A87" s="283"/>
      <c r="B87" s="254" t="s">
        <v>941</v>
      </c>
      <c r="C87" s="255"/>
      <c r="D87" s="256"/>
      <c r="E87" s="255"/>
      <c r="F87" s="255"/>
      <c r="G87" s="255"/>
      <c r="H87" s="255"/>
      <c r="I87" s="255"/>
      <c r="J87" s="255"/>
      <c r="K87" s="255"/>
      <c r="L87" s="255"/>
      <c r="M87" s="255"/>
      <c r="N87" s="255"/>
      <c r="O87" s="255"/>
      <c r="P87" s="255"/>
      <c r="Q87" s="255"/>
      <c r="R87" s="255"/>
      <c r="S87" s="255"/>
      <c r="T87" s="255"/>
      <c r="U87" s="255"/>
      <c r="V87" s="255"/>
      <c r="W87" s="255"/>
      <c r="X87" s="255"/>
      <c r="Y87" s="255"/>
      <c r="Z87" s="255"/>
      <c r="AA87" s="255"/>
      <c r="AB87" s="255"/>
      <c r="AC87" s="255"/>
      <c r="AD87" s="255"/>
      <c r="AH87" s="253"/>
    </row>
    <row r="88" spans="1:34">
      <c r="A88" s="283"/>
      <c r="B88" s="251" t="s">
        <v>1185</v>
      </c>
      <c r="D88" s="267"/>
      <c r="AH88" s="253"/>
    </row>
    <row r="89" spans="1:34">
      <c r="A89" s="283"/>
      <c r="C89" s="251" t="s">
        <v>136</v>
      </c>
      <c r="D89" s="267"/>
      <c r="AH89" s="253"/>
    </row>
    <row r="90" spans="1:34">
      <c r="A90" s="283"/>
      <c r="C90" s="251" t="s">
        <v>137</v>
      </c>
      <c r="D90" s="267"/>
      <c r="AH90" s="253"/>
    </row>
    <row r="91" spans="1:34">
      <c r="A91" s="283"/>
      <c r="C91" s="251" t="s">
        <v>138</v>
      </c>
      <c r="D91" s="267"/>
      <c r="AH91" s="253"/>
    </row>
    <row r="92" spans="1:34">
      <c r="A92" s="283"/>
      <c r="C92" s="251" t="s">
        <v>139</v>
      </c>
      <c r="D92" s="267"/>
      <c r="AH92" s="253"/>
    </row>
    <row r="93" spans="1:34">
      <c r="A93" s="283"/>
      <c r="C93" s="251" t="s">
        <v>142</v>
      </c>
      <c r="D93" s="267"/>
      <c r="AH93" s="253"/>
    </row>
    <row r="94" spans="1:34">
      <c r="A94" s="283"/>
      <c r="C94" s="251" t="s">
        <v>141</v>
      </c>
      <c r="D94" s="267"/>
      <c r="AH94" s="253"/>
    </row>
    <row r="95" spans="1:34">
      <c r="A95" s="283"/>
      <c r="C95" s="251" t="s">
        <v>140</v>
      </c>
      <c r="D95" s="267"/>
      <c r="AH95" s="253"/>
    </row>
    <row r="96" spans="1:34">
      <c r="A96" s="283"/>
      <c r="C96" s="251" t="s">
        <v>143</v>
      </c>
      <c r="D96" s="267"/>
      <c r="AH96" s="253"/>
    </row>
    <row r="97" spans="1:34">
      <c r="A97" s="283"/>
      <c r="D97" s="267"/>
      <c r="AH97" s="253"/>
    </row>
    <row r="98" spans="1:34">
      <c r="A98" s="283"/>
      <c r="B98" s="251" t="s">
        <v>39</v>
      </c>
      <c r="M98" s="674"/>
      <c r="N98" s="674"/>
      <c r="O98" s="674"/>
      <c r="AH98" s="253"/>
    </row>
    <row r="99" spans="1:34">
      <c r="A99" s="283"/>
      <c r="AH99" s="253"/>
    </row>
    <row r="100" spans="1:34">
      <c r="A100" s="283"/>
      <c r="B100" s="257" t="s">
        <v>950</v>
      </c>
      <c r="D100" s="284"/>
      <c r="AH100" s="253"/>
    </row>
    <row r="101" spans="1:34">
      <c r="A101" s="283"/>
      <c r="B101" s="257"/>
      <c r="D101" s="284"/>
      <c r="AH101" s="253"/>
    </row>
    <row r="102" spans="1:34">
      <c r="A102" s="283"/>
      <c r="B102" s="251" t="s">
        <v>41</v>
      </c>
      <c r="M102" s="674"/>
      <c r="N102" s="674"/>
      <c r="O102" s="674"/>
      <c r="AH102" s="253"/>
    </row>
    <row r="103" spans="1:34">
      <c r="A103" s="283"/>
      <c r="B103" s="251" t="s">
        <v>220</v>
      </c>
      <c r="AH103" s="253"/>
    </row>
    <row r="104" spans="1:34">
      <c r="A104" s="283"/>
      <c r="B104" s="285" t="s">
        <v>135</v>
      </c>
      <c r="AH104" s="253"/>
    </row>
    <row r="105" spans="1:34">
      <c r="A105" s="283"/>
      <c r="B105" s="286" t="s">
        <v>1186</v>
      </c>
      <c r="AH105" s="253"/>
    </row>
    <row r="106" spans="1:34">
      <c r="A106" s="283"/>
      <c r="B106" s="251" t="s">
        <v>148</v>
      </c>
      <c r="AH106" s="253"/>
    </row>
    <row r="107" spans="1:34">
      <c r="A107" s="283"/>
      <c r="B107" s="286" t="s">
        <v>1187</v>
      </c>
      <c r="AH107" s="253"/>
    </row>
    <row r="108" spans="1:34">
      <c r="A108" s="283"/>
      <c r="B108" s="251" t="s">
        <v>151</v>
      </c>
      <c r="AH108" s="253"/>
    </row>
    <row r="109" spans="1:34">
      <c r="A109" s="283"/>
      <c r="B109" s="251" t="s">
        <v>152</v>
      </c>
      <c r="AH109" s="253"/>
    </row>
    <row r="110" spans="1:34">
      <c r="A110" s="283"/>
      <c r="B110" s="251" t="s">
        <v>154</v>
      </c>
      <c r="AH110" s="253"/>
    </row>
    <row r="111" spans="1:34">
      <c r="A111" s="283"/>
      <c r="B111" s="251" t="s">
        <v>155</v>
      </c>
      <c r="AH111" s="253"/>
    </row>
    <row r="112" spans="1:34">
      <c r="A112" s="283"/>
      <c r="B112" s="251" t="s">
        <v>156</v>
      </c>
      <c r="AH112" s="253"/>
    </row>
    <row r="113" spans="1:34">
      <c r="A113" s="283"/>
      <c r="B113" s="251" t="s">
        <v>157</v>
      </c>
      <c r="AH113" s="253"/>
    </row>
    <row r="114" spans="1:34">
      <c r="A114" s="283"/>
      <c r="B114" s="251" t="s">
        <v>158</v>
      </c>
      <c r="AH114" s="253"/>
    </row>
    <row r="115" spans="1:34">
      <c r="A115" s="283"/>
      <c r="B115" s="251" t="s">
        <v>159</v>
      </c>
      <c r="AH115" s="253"/>
    </row>
    <row r="116" spans="1:34">
      <c r="A116" s="283"/>
      <c r="B116" s="251" t="s">
        <v>161</v>
      </c>
      <c r="AH116" s="253"/>
    </row>
    <row r="117" spans="1:34">
      <c r="A117" s="283"/>
      <c r="B117" s="251" t="s">
        <v>162</v>
      </c>
      <c r="AH117" s="253"/>
    </row>
    <row r="118" spans="1:34">
      <c r="A118" s="283"/>
      <c r="B118" s="286" t="s">
        <v>164</v>
      </c>
      <c r="AH118" s="253"/>
    </row>
    <row r="119" spans="1:34">
      <c r="A119" s="283"/>
      <c r="B119" s="251" t="s">
        <v>150</v>
      </c>
      <c r="AH119" s="253"/>
    </row>
    <row r="120" spans="1:34">
      <c r="A120" s="283"/>
      <c r="B120" s="251" t="s">
        <v>165</v>
      </c>
      <c r="AH120" s="253"/>
    </row>
    <row r="121" spans="1:34">
      <c r="A121" s="283"/>
      <c r="B121" s="251" t="s">
        <v>153</v>
      </c>
      <c r="AH121" s="253"/>
    </row>
    <row r="122" spans="1:34">
      <c r="A122" s="283"/>
      <c r="B122" s="251" t="s">
        <v>166</v>
      </c>
      <c r="AH122" s="253"/>
    </row>
    <row r="123" spans="1:34">
      <c r="A123" s="283"/>
      <c r="B123" s="251" t="s">
        <v>167</v>
      </c>
      <c r="AH123" s="253"/>
    </row>
    <row r="124" spans="1:34">
      <c r="A124" s="283"/>
      <c r="B124" s="251" t="s">
        <v>212</v>
      </c>
      <c r="AH124" s="253"/>
    </row>
    <row r="125" spans="1:34">
      <c r="A125" s="283"/>
      <c r="B125" s="251" t="s">
        <v>168</v>
      </c>
      <c r="AH125" s="253"/>
    </row>
    <row r="126" spans="1:34">
      <c r="A126" s="283"/>
      <c r="B126" s="251" t="s">
        <v>169</v>
      </c>
      <c r="AH126" s="253"/>
    </row>
    <row r="127" spans="1:34">
      <c r="A127" s="283"/>
      <c r="B127" s="251" t="s">
        <v>170</v>
      </c>
      <c r="AH127" s="253"/>
    </row>
    <row r="128" spans="1:34">
      <c r="A128" s="283"/>
      <c r="B128" s="251" t="s">
        <v>171</v>
      </c>
      <c r="AH128" s="253"/>
    </row>
    <row r="129" spans="1:34">
      <c r="A129" s="283"/>
      <c r="B129" s="251" t="s">
        <v>172</v>
      </c>
      <c r="AH129" s="253"/>
    </row>
    <row r="130" spans="1:34">
      <c r="A130" s="283"/>
      <c r="B130" s="251" t="s">
        <v>182</v>
      </c>
      <c r="AH130" s="253"/>
    </row>
    <row r="131" spans="1:34">
      <c r="A131" s="283"/>
      <c r="B131" s="251" t="s">
        <v>173</v>
      </c>
      <c r="AH131" s="253"/>
    </row>
    <row r="132" spans="1:34">
      <c r="A132" s="283"/>
      <c r="B132" s="251" t="s">
        <v>174</v>
      </c>
      <c r="AH132" s="253"/>
    </row>
    <row r="133" spans="1:34">
      <c r="A133" s="283"/>
      <c r="B133" s="251" t="s">
        <v>175</v>
      </c>
      <c r="AH133" s="253"/>
    </row>
    <row r="134" spans="1:34">
      <c r="A134" s="283"/>
      <c r="B134" s="251" t="s">
        <v>176</v>
      </c>
      <c r="AH134" s="253"/>
    </row>
    <row r="135" spans="1:34">
      <c r="A135" s="283"/>
      <c r="B135" s="251" t="s">
        <v>177</v>
      </c>
      <c r="AH135" s="253"/>
    </row>
    <row r="136" spans="1:34">
      <c r="A136" s="283"/>
      <c r="B136" s="251" t="s">
        <v>160</v>
      </c>
      <c r="AH136" s="253"/>
    </row>
    <row r="137" spans="1:34">
      <c r="A137" s="283"/>
      <c r="B137" s="251" t="s">
        <v>178</v>
      </c>
      <c r="AH137" s="253"/>
    </row>
    <row r="138" spans="1:34">
      <c r="A138" s="283"/>
      <c r="B138" s="285" t="s">
        <v>179</v>
      </c>
      <c r="AH138" s="253"/>
    </row>
    <row r="139" spans="1:34">
      <c r="A139" s="283"/>
      <c r="B139" s="251" t="s">
        <v>180</v>
      </c>
      <c r="AH139" s="253"/>
    </row>
    <row r="140" spans="1:34">
      <c r="A140" s="283"/>
      <c r="B140" s="251" t="s">
        <v>181</v>
      </c>
      <c r="AH140" s="253"/>
    </row>
    <row r="141" spans="1:34">
      <c r="A141" s="283"/>
      <c r="B141" s="251" t="s">
        <v>184</v>
      </c>
      <c r="AH141" s="253"/>
    </row>
    <row r="142" spans="1:34">
      <c r="A142" s="283"/>
      <c r="B142" s="251" t="s">
        <v>183</v>
      </c>
      <c r="AH142" s="253"/>
    </row>
    <row r="143" spans="1:34">
      <c r="A143" s="283"/>
      <c r="AH143" s="253"/>
    </row>
    <row r="144" spans="1:34">
      <c r="A144" s="283"/>
      <c r="B144" s="251" t="s">
        <v>221</v>
      </c>
      <c r="AH144" s="253"/>
    </row>
    <row r="145" spans="1:34">
      <c r="A145" s="283"/>
      <c r="B145" s="251" t="s">
        <v>186</v>
      </c>
      <c r="AH145" s="253"/>
    </row>
    <row r="146" spans="1:34">
      <c r="A146" s="283"/>
      <c r="AH146" s="253"/>
    </row>
    <row r="147" spans="1:34">
      <c r="A147" s="283"/>
      <c r="B147" s="251" t="s">
        <v>222</v>
      </c>
      <c r="AH147" s="253"/>
    </row>
    <row r="148" spans="1:34">
      <c r="A148" s="283"/>
      <c r="B148" s="251" t="s">
        <v>185</v>
      </c>
      <c r="AH148" s="253"/>
    </row>
    <row r="149" spans="1:34">
      <c r="A149" s="283"/>
      <c r="AH149" s="253"/>
    </row>
    <row r="150" spans="1:34">
      <c r="A150" s="283"/>
      <c r="B150" s="251" t="s">
        <v>222</v>
      </c>
      <c r="AH150" s="253"/>
    </row>
    <row r="151" spans="1:34">
      <c r="A151" s="283"/>
      <c r="B151" s="251" t="s">
        <v>187</v>
      </c>
      <c r="AH151" s="253"/>
    </row>
    <row r="152" spans="1:34">
      <c r="A152" s="283"/>
      <c r="AH152" s="253"/>
    </row>
    <row r="153" spans="1:34">
      <c r="A153" s="283"/>
      <c r="B153" s="251" t="s">
        <v>223</v>
      </c>
      <c r="AH153" s="253"/>
    </row>
    <row r="154" spans="1:34">
      <c r="A154" s="283"/>
      <c r="B154" s="251" t="s">
        <v>188</v>
      </c>
      <c r="AH154" s="253"/>
    </row>
    <row r="155" spans="1:34">
      <c r="A155" s="283"/>
      <c r="AH155" s="253"/>
    </row>
    <row r="156" spans="1:34">
      <c r="A156" s="283"/>
      <c r="B156" s="251" t="s">
        <v>224</v>
      </c>
      <c r="AH156" s="253"/>
    </row>
    <row r="157" spans="1:34">
      <c r="A157" s="283"/>
      <c r="B157" s="251" t="s">
        <v>189</v>
      </c>
      <c r="AH157" s="253"/>
    </row>
    <row r="158" spans="1:34">
      <c r="A158" s="283"/>
      <c r="AH158" s="253"/>
    </row>
    <row r="159" spans="1:34">
      <c r="A159" s="283"/>
      <c r="B159" s="251" t="s">
        <v>225</v>
      </c>
      <c r="AH159" s="253"/>
    </row>
    <row r="160" spans="1:34">
      <c r="A160" s="283"/>
      <c r="B160" s="251" t="s">
        <v>546</v>
      </c>
      <c r="C160" s="251" t="s">
        <v>190</v>
      </c>
      <c r="AH160" s="253"/>
    </row>
    <row r="161" spans="1:34">
      <c r="A161" s="283"/>
      <c r="B161" s="251" t="s">
        <v>547</v>
      </c>
      <c r="C161" s="251" t="s">
        <v>191</v>
      </c>
      <c r="AH161" s="253"/>
    </row>
    <row r="162" spans="1:34">
      <c r="A162" s="283"/>
      <c r="B162" s="251" t="s">
        <v>548</v>
      </c>
      <c r="C162" s="251" t="s">
        <v>192</v>
      </c>
      <c r="AH162" s="253"/>
    </row>
    <row r="163" spans="1:34">
      <c r="A163" s="283"/>
      <c r="B163" s="251" t="s">
        <v>549</v>
      </c>
      <c r="C163" s="251" t="s">
        <v>211</v>
      </c>
      <c r="AH163" s="253"/>
    </row>
    <row r="164" spans="1:34">
      <c r="A164" s="283"/>
      <c r="B164" s="251" t="s">
        <v>550</v>
      </c>
      <c r="C164" s="251" t="s">
        <v>193</v>
      </c>
      <c r="M164" s="674"/>
      <c r="N164" s="674"/>
      <c r="O164" s="674"/>
      <c r="AH164" s="253"/>
    </row>
    <row r="165" spans="1:34">
      <c r="A165" s="283"/>
      <c r="B165" s="251" t="s">
        <v>551</v>
      </c>
      <c r="C165" s="251" t="s">
        <v>194</v>
      </c>
      <c r="AH165" s="253"/>
    </row>
    <row r="166" spans="1:34">
      <c r="A166" s="283"/>
      <c r="B166" s="251" t="s">
        <v>552</v>
      </c>
      <c r="C166" s="251" t="s">
        <v>195</v>
      </c>
      <c r="M166" s="674"/>
      <c r="N166" s="674"/>
      <c r="O166" s="674"/>
      <c r="AH166" s="253"/>
    </row>
    <row r="167" spans="1:34">
      <c r="A167" s="283"/>
      <c r="B167" s="251" t="s">
        <v>553</v>
      </c>
      <c r="C167" s="251" t="s">
        <v>196</v>
      </c>
      <c r="AH167" s="253"/>
    </row>
    <row r="168" spans="1:34">
      <c r="A168" s="283"/>
      <c r="B168" s="251" t="s">
        <v>554</v>
      </c>
      <c r="C168" s="251" t="s">
        <v>197</v>
      </c>
      <c r="M168" s="674"/>
      <c r="N168" s="674"/>
      <c r="O168" s="674"/>
      <c r="AH168" s="253"/>
    </row>
    <row r="169" spans="1:34">
      <c r="A169" s="283"/>
      <c r="B169" s="251" t="s">
        <v>555</v>
      </c>
      <c r="C169" s="251" t="s">
        <v>198</v>
      </c>
      <c r="AH169" s="253"/>
    </row>
    <row r="170" spans="1:34">
      <c r="A170" s="283"/>
      <c r="B170" s="251" t="s">
        <v>556</v>
      </c>
      <c r="C170" s="251" t="s">
        <v>199</v>
      </c>
      <c r="M170" s="674"/>
      <c r="N170" s="674"/>
      <c r="O170" s="674"/>
      <c r="AH170" s="253"/>
    </row>
    <row r="171" spans="1:34">
      <c r="A171" s="283"/>
      <c r="B171" s="251" t="s">
        <v>557</v>
      </c>
      <c r="C171" s="251" t="s">
        <v>200</v>
      </c>
      <c r="AH171" s="253"/>
    </row>
    <row r="172" spans="1:34">
      <c r="A172" s="283"/>
      <c r="B172" s="251" t="s">
        <v>558</v>
      </c>
      <c r="C172" s="251" t="s">
        <v>201</v>
      </c>
      <c r="AH172" s="253"/>
    </row>
    <row r="173" spans="1:34">
      <c r="A173" s="283"/>
      <c r="B173" s="251" t="s">
        <v>559</v>
      </c>
      <c r="C173" s="251" t="s">
        <v>202</v>
      </c>
      <c r="M173" s="674"/>
      <c r="N173" s="674"/>
      <c r="O173" s="674"/>
      <c r="AH173" s="253"/>
    </row>
    <row r="174" spans="1:34">
      <c r="A174" s="283"/>
      <c r="B174" s="251" t="s">
        <v>560</v>
      </c>
      <c r="C174" s="251" t="s">
        <v>203</v>
      </c>
      <c r="AH174" s="253"/>
    </row>
    <row r="175" spans="1:34">
      <c r="A175" s="283"/>
      <c r="B175" s="251" t="s">
        <v>561</v>
      </c>
      <c r="C175" s="251" t="s">
        <v>204</v>
      </c>
      <c r="AH175" s="253"/>
    </row>
    <row r="176" spans="1:34">
      <c r="A176" s="283"/>
      <c r="B176" s="251" t="s">
        <v>562</v>
      </c>
      <c r="C176" s="251" t="s">
        <v>205</v>
      </c>
      <c r="M176" s="674"/>
      <c r="N176" s="674"/>
      <c r="O176" s="674"/>
      <c r="AH176" s="253"/>
    </row>
    <row r="177" spans="1:34">
      <c r="A177" s="283"/>
      <c r="B177" s="251" t="s">
        <v>563</v>
      </c>
      <c r="C177" s="251" t="s">
        <v>206</v>
      </c>
      <c r="AH177" s="253"/>
    </row>
    <row r="178" spans="1:34">
      <c r="A178" s="283"/>
      <c r="B178" s="251" t="s">
        <v>564</v>
      </c>
      <c r="C178" s="251" t="s">
        <v>207</v>
      </c>
      <c r="AH178" s="253"/>
    </row>
    <row r="179" spans="1:34">
      <c r="A179" s="283"/>
      <c r="B179" s="251" t="s">
        <v>565</v>
      </c>
      <c r="C179" s="251" t="s">
        <v>208</v>
      </c>
      <c r="M179" s="674"/>
      <c r="N179" s="674"/>
      <c r="O179" s="674"/>
      <c r="AH179" s="253"/>
    </row>
    <row r="180" spans="1:34">
      <c r="A180" s="283"/>
      <c r="B180" s="251" t="s">
        <v>566</v>
      </c>
      <c r="C180" s="251" t="s">
        <v>209</v>
      </c>
      <c r="AH180" s="253"/>
    </row>
    <row r="181" spans="1:34">
      <c r="A181" s="283"/>
      <c r="B181" s="251" t="s">
        <v>567</v>
      </c>
      <c r="C181" s="251" t="s">
        <v>210</v>
      </c>
      <c r="AH181" s="253"/>
    </row>
    <row r="182" spans="1:34">
      <c r="A182" s="283"/>
      <c r="B182" s="251" t="s">
        <v>568</v>
      </c>
      <c r="C182" s="251" t="s">
        <v>218</v>
      </c>
      <c r="AH182" s="253"/>
    </row>
    <row r="183" spans="1:34">
      <c r="A183" s="283"/>
      <c r="AH183" s="253"/>
    </row>
    <row r="184" spans="1:34">
      <c r="A184" s="671" t="s">
        <v>42</v>
      </c>
      <c r="B184" s="672"/>
      <c r="C184" s="672"/>
      <c r="D184" s="672"/>
      <c r="E184" s="672"/>
      <c r="F184" s="672"/>
      <c r="G184" s="672"/>
      <c r="H184" s="672"/>
      <c r="I184" s="672"/>
      <c r="J184" s="672"/>
      <c r="K184" s="672"/>
      <c r="L184" s="672"/>
      <c r="M184" s="672"/>
      <c r="N184" s="672"/>
      <c r="O184" s="672"/>
      <c r="P184" s="672"/>
      <c r="Q184" s="672"/>
      <c r="R184" s="672"/>
      <c r="S184" s="672"/>
      <c r="T184" s="672"/>
      <c r="U184" s="672"/>
      <c r="V184" s="672"/>
      <c r="W184" s="672"/>
      <c r="X184" s="672"/>
      <c r="Y184" s="672"/>
      <c r="Z184" s="672"/>
      <c r="AA184" s="672"/>
      <c r="AB184" s="672"/>
      <c r="AC184" s="672"/>
      <c r="AD184" s="672"/>
      <c r="AE184" s="672"/>
      <c r="AF184" s="672"/>
      <c r="AG184" s="672"/>
      <c r="AH184" s="673"/>
    </row>
    <row r="185" spans="1:34">
      <c r="A185" s="283"/>
      <c r="M185" s="674"/>
      <c r="N185" s="674"/>
      <c r="O185" s="674"/>
      <c r="AH185" s="253"/>
    </row>
    <row r="186" spans="1:34">
      <c r="A186" s="283"/>
      <c r="B186" s="251" t="s">
        <v>226</v>
      </c>
      <c r="D186" s="251" t="s">
        <v>577</v>
      </c>
      <c r="E186" s="251" t="s">
        <v>578</v>
      </c>
      <c r="F186" s="251" t="s">
        <v>678</v>
      </c>
      <c r="M186" s="674"/>
      <c r="N186" s="674"/>
      <c r="O186" s="674"/>
      <c r="AH186" s="253"/>
    </row>
    <row r="187" spans="1:34">
      <c r="A187" s="283"/>
      <c r="AH187" s="253"/>
    </row>
    <row r="188" spans="1:34">
      <c r="A188" s="283"/>
      <c r="B188" s="251" t="s">
        <v>958</v>
      </c>
      <c r="AH188" s="253"/>
    </row>
    <row r="189" spans="1:34">
      <c r="A189" s="283"/>
      <c r="AH189" s="253"/>
    </row>
    <row r="190" spans="1:34">
      <c r="A190" s="283"/>
      <c r="B190" s="251" t="s">
        <v>579</v>
      </c>
      <c r="AH190" s="253"/>
    </row>
    <row r="191" spans="1:34">
      <c r="A191" s="283"/>
      <c r="AH191" s="253"/>
    </row>
    <row r="192" spans="1:34">
      <c r="A192" s="283"/>
      <c r="B192" s="251" t="s">
        <v>959</v>
      </c>
      <c r="AH192" s="253"/>
    </row>
    <row r="193" spans="1:34" hidden="1">
      <c r="A193" s="283"/>
      <c r="AH193" s="253"/>
    </row>
    <row r="194" spans="1:34" hidden="1">
      <c r="A194" s="283"/>
      <c r="AH194" s="253"/>
    </row>
    <row r="195" spans="1:34" hidden="1">
      <c r="A195" s="283"/>
      <c r="B195" s="251" t="s">
        <v>478</v>
      </c>
      <c r="AH195" s="253"/>
    </row>
    <row r="196" spans="1:34" hidden="1">
      <c r="A196" s="283"/>
      <c r="B196" s="251" t="s">
        <v>525</v>
      </c>
      <c r="AH196" s="253"/>
    </row>
    <row r="197" spans="1:34" hidden="1">
      <c r="A197" s="283"/>
      <c r="B197" s="251" t="s">
        <v>537</v>
      </c>
      <c r="AH197" s="253"/>
    </row>
    <row r="198" spans="1:34" hidden="1">
      <c r="A198" s="283"/>
      <c r="B198" s="251" t="s">
        <v>541</v>
      </c>
      <c r="AH198" s="253"/>
    </row>
    <row r="199" spans="1:34" hidden="1">
      <c r="A199" s="283"/>
      <c r="B199" s="251" t="s">
        <v>538</v>
      </c>
      <c r="AH199" s="253"/>
    </row>
    <row r="200" spans="1:34" hidden="1">
      <c r="A200" s="283"/>
      <c r="B200" s="251" t="s">
        <v>545</v>
      </c>
      <c r="AH200" s="253"/>
    </row>
    <row r="201" spans="1:34" hidden="1">
      <c r="A201" s="283"/>
      <c r="B201" s="251" t="s">
        <v>539</v>
      </c>
      <c r="AH201" s="253"/>
    </row>
    <row r="202" spans="1:34" hidden="1">
      <c r="A202" s="283"/>
      <c r="B202" s="251" t="s">
        <v>542</v>
      </c>
      <c r="AH202" s="253"/>
    </row>
    <row r="203" spans="1:34" hidden="1">
      <c r="A203" s="283"/>
      <c r="B203" s="251" t="s">
        <v>544</v>
      </c>
      <c r="AH203" s="253"/>
    </row>
    <row r="204" spans="1:34" hidden="1">
      <c r="A204" s="283"/>
      <c r="B204" s="251" t="s">
        <v>540</v>
      </c>
      <c r="AH204" s="253"/>
    </row>
    <row r="205" spans="1:34" hidden="1">
      <c r="A205" s="283"/>
      <c r="B205" s="251" t="s">
        <v>543</v>
      </c>
      <c r="AH205" s="253"/>
    </row>
    <row r="206" spans="1:34" hidden="1">
      <c r="A206" s="283"/>
      <c r="B206" s="251" t="s">
        <v>570</v>
      </c>
      <c r="AH206" s="253"/>
    </row>
    <row r="207" spans="1:34" hidden="1">
      <c r="A207" s="283"/>
      <c r="B207" s="251" t="s">
        <v>571</v>
      </c>
      <c r="AH207" s="253"/>
    </row>
    <row r="208" spans="1:34" hidden="1">
      <c r="A208" s="283"/>
      <c r="B208" s="251" t="s">
        <v>534</v>
      </c>
      <c r="AH208" s="253"/>
    </row>
    <row r="209" spans="1:34" hidden="1">
      <c r="A209" s="283"/>
      <c r="B209" s="251" t="s">
        <v>534</v>
      </c>
      <c r="AH209" s="253"/>
    </row>
    <row r="210" spans="1:34" hidden="1">
      <c r="A210" s="283"/>
      <c r="B210" s="251" t="s">
        <v>534</v>
      </c>
      <c r="AH210" s="253"/>
    </row>
    <row r="211" spans="1:34" hidden="1">
      <c r="A211" s="283"/>
      <c r="B211" s="251" t="s">
        <v>479</v>
      </c>
      <c r="AH211" s="253"/>
    </row>
    <row r="212" spans="1:34" hidden="1">
      <c r="A212" s="283"/>
      <c r="B212" s="251" t="s">
        <v>480</v>
      </c>
      <c r="AH212" s="253"/>
    </row>
    <row r="213" spans="1:34" hidden="1">
      <c r="A213" s="283"/>
      <c r="B213" s="251" t="s">
        <v>481</v>
      </c>
      <c r="AH213" s="253"/>
    </row>
    <row r="214" spans="1:34" hidden="1">
      <c r="A214" s="283"/>
      <c r="B214" s="251" t="s">
        <v>482</v>
      </c>
      <c r="AH214" s="253"/>
    </row>
    <row r="215" spans="1:34" hidden="1">
      <c r="A215" s="283"/>
      <c r="B215" s="251" t="s">
        <v>483</v>
      </c>
      <c r="AH215" s="253"/>
    </row>
    <row r="216" spans="1:34" hidden="1">
      <c r="A216" s="283"/>
      <c r="B216" s="251" t="s">
        <v>484</v>
      </c>
      <c r="AH216" s="253"/>
    </row>
    <row r="217" spans="1:34" hidden="1">
      <c r="A217" s="283"/>
      <c r="B217" s="251" t="s">
        <v>485</v>
      </c>
      <c r="AH217" s="253"/>
    </row>
    <row r="218" spans="1:34" hidden="1">
      <c r="A218" s="283"/>
      <c r="B218" s="251" t="s">
        <v>486</v>
      </c>
      <c r="AH218" s="253"/>
    </row>
    <row r="219" spans="1:34" hidden="1">
      <c r="A219" s="283"/>
      <c r="B219" s="251" t="s">
        <v>487</v>
      </c>
      <c r="AH219" s="253"/>
    </row>
    <row r="220" spans="1:34" hidden="1">
      <c r="A220" s="283"/>
      <c r="B220" s="251" t="s">
        <v>488</v>
      </c>
      <c r="AH220" s="253"/>
    </row>
    <row r="221" spans="1:34" hidden="1">
      <c r="A221" s="283"/>
      <c r="B221" s="251" t="s">
        <v>245</v>
      </c>
      <c r="AH221" s="253"/>
    </row>
    <row r="222" spans="1:34" hidden="1">
      <c r="A222" s="283"/>
      <c r="B222" s="251" t="s">
        <v>489</v>
      </c>
      <c r="AH222" s="253"/>
    </row>
    <row r="223" spans="1:34" hidden="1">
      <c r="A223" s="283"/>
      <c r="B223" s="251" t="s">
        <v>490</v>
      </c>
      <c r="AH223" s="253"/>
    </row>
    <row r="224" spans="1:34" hidden="1">
      <c r="A224" s="283"/>
      <c r="B224" s="251" t="s">
        <v>491</v>
      </c>
      <c r="AH224" s="253"/>
    </row>
    <row r="225" spans="1:34" hidden="1">
      <c r="A225" s="283"/>
      <c r="B225" s="251" t="s">
        <v>492</v>
      </c>
      <c r="AH225" s="253"/>
    </row>
    <row r="226" spans="1:34" hidden="1">
      <c r="A226" s="283"/>
      <c r="B226" s="251" t="s">
        <v>493</v>
      </c>
      <c r="AH226" s="253"/>
    </row>
    <row r="227" spans="1:34" hidden="1">
      <c r="A227" s="283"/>
      <c r="B227" s="251" t="s">
        <v>494</v>
      </c>
      <c r="AH227" s="253"/>
    </row>
    <row r="228" spans="1:34" hidden="1">
      <c r="A228" s="283"/>
      <c r="B228" s="251" t="s">
        <v>246</v>
      </c>
      <c r="AH228" s="253"/>
    </row>
    <row r="229" spans="1:34" hidden="1">
      <c r="A229" s="283"/>
      <c r="B229" s="251" t="s">
        <v>495</v>
      </c>
      <c r="AH229" s="253"/>
    </row>
    <row r="230" spans="1:34" hidden="1">
      <c r="A230" s="283"/>
      <c r="B230" s="251" t="s">
        <v>496</v>
      </c>
      <c r="AH230" s="253"/>
    </row>
    <row r="231" spans="1:34" hidden="1">
      <c r="A231" s="283"/>
      <c r="B231" s="251" t="s">
        <v>497</v>
      </c>
      <c r="AH231" s="253"/>
    </row>
    <row r="232" spans="1:34" hidden="1">
      <c r="A232" s="283"/>
      <c r="B232" s="251" t="s">
        <v>498</v>
      </c>
      <c r="AH232" s="253"/>
    </row>
    <row r="233" spans="1:34" hidden="1">
      <c r="A233" s="283"/>
      <c r="B233" s="251" t="s">
        <v>499</v>
      </c>
      <c r="AH233" s="253"/>
    </row>
    <row r="234" spans="1:34" hidden="1">
      <c r="A234" s="283"/>
      <c r="B234" s="251" t="s">
        <v>500</v>
      </c>
      <c r="AH234" s="253"/>
    </row>
    <row r="235" spans="1:34" hidden="1">
      <c r="A235" s="283"/>
      <c r="B235" s="251" t="s">
        <v>501</v>
      </c>
      <c r="AH235" s="253"/>
    </row>
    <row r="236" spans="1:34" hidden="1">
      <c r="A236" s="283"/>
      <c r="B236" s="251" t="s">
        <v>502</v>
      </c>
      <c r="AH236" s="253"/>
    </row>
    <row r="237" spans="1:34" hidden="1">
      <c r="A237" s="283"/>
      <c r="B237" s="251" t="s">
        <v>503</v>
      </c>
      <c r="AH237" s="253"/>
    </row>
    <row r="238" spans="1:34" hidden="1">
      <c r="A238" s="283"/>
      <c r="B238" s="251" t="s">
        <v>504</v>
      </c>
      <c r="AH238" s="253"/>
    </row>
    <row r="239" spans="1:34" hidden="1">
      <c r="A239" s="283"/>
      <c r="B239" s="251" t="s">
        <v>505</v>
      </c>
      <c r="AH239" s="253"/>
    </row>
    <row r="240" spans="1:34" hidden="1">
      <c r="A240" s="283"/>
      <c r="B240" s="251" t="s">
        <v>506</v>
      </c>
      <c r="AH240" s="253"/>
    </row>
    <row r="241" spans="1:34" hidden="1">
      <c r="A241" s="283"/>
      <c r="B241" s="251" t="s">
        <v>507</v>
      </c>
      <c r="AH241" s="253"/>
    </row>
    <row r="242" spans="1:34" hidden="1">
      <c r="A242" s="283"/>
      <c r="B242" s="251" t="s">
        <v>508</v>
      </c>
      <c r="AH242" s="253"/>
    </row>
    <row r="243" spans="1:34" hidden="1">
      <c r="A243" s="283"/>
      <c r="B243" s="251" t="s">
        <v>509</v>
      </c>
      <c r="AH243" s="253"/>
    </row>
    <row r="244" spans="1:34" hidden="1">
      <c r="A244" s="283"/>
      <c r="B244" s="251" t="s">
        <v>510</v>
      </c>
      <c r="AH244" s="253"/>
    </row>
    <row r="245" spans="1:34" hidden="1">
      <c r="A245" s="283"/>
      <c r="B245" s="251" t="s">
        <v>247</v>
      </c>
      <c r="AH245" s="253"/>
    </row>
    <row r="246" spans="1:34" hidden="1">
      <c r="A246" s="283"/>
      <c r="B246" s="251" t="s">
        <v>511</v>
      </c>
      <c r="AH246" s="253"/>
    </row>
    <row r="247" spans="1:34" hidden="1">
      <c r="A247" s="283"/>
      <c r="B247" s="251" t="s">
        <v>512</v>
      </c>
      <c r="AH247" s="253"/>
    </row>
    <row r="248" spans="1:34" hidden="1">
      <c r="A248" s="283"/>
      <c r="B248" s="251" t="s">
        <v>513</v>
      </c>
      <c r="AH248" s="253"/>
    </row>
    <row r="249" spans="1:34" hidden="1">
      <c r="A249" s="283"/>
      <c r="B249" s="251" t="s">
        <v>514</v>
      </c>
      <c r="AH249" s="253"/>
    </row>
    <row r="250" spans="1:34" hidden="1">
      <c r="A250" s="283"/>
      <c r="B250" s="251" t="s">
        <v>515</v>
      </c>
      <c r="AH250" s="253"/>
    </row>
    <row r="251" spans="1:34" hidden="1">
      <c r="A251" s="283"/>
      <c r="B251" s="251" t="s">
        <v>516</v>
      </c>
      <c r="AH251" s="253"/>
    </row>
    <row r="252" spans="1:34" hidden="1">
      <c r="A252" s="283"/>
      <c r="B252" s="251" t="s">
        <v>517</v>
      </c>
      <c r="AH252" s="253"/>
    </row>
    <row r="253" spans="1:34" hidden="1">
      <c r="A253" s="283"/>
      <c r="B253" s="251" t="s">
        <v>518</v>
      </c>
      <c r="AH253" s="253"/>
    </row>
    <row r="254" spans="1:34" hidden="1">
      <c r="A254" s="283"/>
      <c r="B254" s="251" t="s">
        <v>519</v>
      </c>
      <c r="AH254" s="253"/>
    </row>
    <row r="255" spans="1:34" hidden="1">
      <c r="A255" s="283"/>
      <c r="B255" s="251" t="s">
        <v>520</v>
      </c>
      <c r="AH255" s="253"/>
    </row>
    <row r="256" spans="1:34" hidden="1">
      <c r="A256" s="283"/>
      <c r="B256" s="251" t="s">
        <v>521</v>
      </c>
      <c r="AH256" s="253"/>
    </row>
    <row r="257" spans="1:34" hidden="1">
      <c r="A257" s="283"/>
      <c r="B257" s="251" t="s">
        <v>522</v>
      </c>
      <c r="AH257" s="253"/>
    </row>
    <row r="258" spans="1:34" hidden="1">
      <c r="A258" s="283"/>
      <c r="B258" s="251" t="s">
        <v>523</v>
      </c>
      <c r="AH258" s="253"/>
    </row>
    <row r="259" spans="1:34" hidden="1">
      <c r="A259" s="283"/>
      <c r="B259" s="251" t="s">
        <v>524</v>
      </c>
      <c r="AH259" s="253"/>
    </row>
    <row r="260" spans="1:34" hidden="1">
      <c r="A260" s="283"/>
      <c r="B260" s="251" t="s">
        <v>535</v>
      </c>
      <c r="AH260" s="253"/>
    </row>
    <row r="261" spans="1:34" hidden="1">
      <c r="A261" s="283"/>
      <c r="B261" s="251" t="s">
        <v>536</v>
      </c>
      <c r="AH261" s="253"/>
    </row>
    <row r="262" spans="1:34" hidden="1">
      <c r="A262" s="283"/>
      <c r="B262" s="251" t="s">
        <v>569</v>
      </c>
      <c r="AH262" s="253"/>
    </row>
    <row r="263" spans="1:34" hidden="1">
      <c r="A263" s="283"/>
      <c r="AH263" s="253"/>
    </row>
    <row r="264" spans="1:34" hidden="1">
      <c r="A264" s="283"/>
      <c r="B264" s="251" t="s">
        <v>248</v>
      </c>
      <c r="AH264" s="253"/>
    </row>
    <row r="265" spans="1:34" hidden="1">
      <c r="A265" s="283"/>
      <c r="AH265" s="253"/>
    </row>
    <row r="266" spans="1:34" hidden="1">
      <c r="A266" s="283"/>
      <c r="B266" s="251" t="s">
        <v>249</v>
      </c>
      <c r="AH266" s="253"/>
    </row>
    <row r="267" spans="1:34" hidden="1">
      <c r="A267" s="283"/>
      <c r="B267" s="251" t="s">
        <v>250</v>
      </c>
      <c r="AH267" s="253"/>
    </row>
    <row r="268" spans="1:34" hidden="1">
      <c r="A268" s="283"/>
      <c r="B268" s="251" t="s">
        <v>251</v>
      </c>
      <c r="AH268" s="253"/>
    </row>
    <row r="269" spans="1:34" hidden="1">
      <c r="A269" s="283"/>
      <c r="B269" s="251" t="s">
        <v>252</v>
      </c>
      <c r="AH269" s="253"/>
    </row>
    <row r="270" spans="1:34" hidden="1">
      <c r="A270" s="283"/>
      <c r="B270" s="251" t="s">
        <v>253</v>
      </c>
      <c r="AH270" s="253"/>
    </row>
    <row r="271" spans="1:34" hidden="1">
      <c r="A271" s="283"/>
      <c r="B271" s="251" t="s">
        <v>254</v>
      </c>
      <c r="AH271" s="253"/>
    </row>
    <row r="272" spans="1:34" hidden="1">
      <c r="A272" s="283"/>
      <c r="B272" s="251" t="s">
        <v>255</v>
      </c>
      <c r="AH272" s="253"/>
    </row>
    <row r="273" spans="1:34" hidden="1">
      <c r="A273" s="283"/>
      <c r="B273" s="251" t="s">
        <v>256</v>
      </c>
      <c r="AH273" s="253"/>
    </row>
    <row r="274" spans="1:34" hidden="1">
      <c r="A274" s="283"/>
      <c r="B274" s="251" t="s">
        <v>257</v>
      </c>
      <c r="AH274" s="253"/>
    </row>
    <row r="275" spans="1:34" hidden="1">
      <c r="A275" s="283"/>
      <c r="B275" s="251" t="s">
        <v>258</v>
      </c>
      <c r="AH275" s="253"/>
    </row>
    <row r="276" spans="1:34" hidden="1">
      <c r="A276" s="283"/>
      <c r="B276" s="251" t="s">
        <v>259</v>
      </c>
      <c r="AH276" s="253"/>
    </row>
    <row r="277" spans="1:34" hidden="1">
      <c r="A277" s="283"/>
      <c r="B277" s="251" t="s">
        <v>260</v>
      </c>
      <c r="AH277" s="253"/>
    </row>
    <row r="278" spans="1:34" hidden="1">
      <c r="A278" s="283"/>
      <c r="AH278" s="253"/>
    </row>
    <row r="279" spans="1:34" hidden="1">
      <c r="A279" s="283"/>
      <c r="B279" s="251" t="s">
        <v>261</v>
      </c>
      <c r="AH279" s="253"/>
    </row>
    <row r="280" spans="1:34" hidden="1">
      <c r="A280" s="283"/>
      <c r="B280" s="251" t="s">
        <v>262</v>
      </c>
      <c r="AH280" s="253"/>
    </row>
    <row r="281" spans="1:34" hidden="1">
      <c r="A281" s="283"/>
      <c r="B281" s="251" t="s">
        <v>263</v>
      </c>
      <c r="AH281" s="253"/>
    </row>
    <row r="282" spans="1:34" hidden="1">
      <c r="A282" s="283"/>
      <c r="B282" s="251" t="s">
        <v>264</v>
      </c>
      <c r="AH282" s="253"/>
    </row>
    <row r="283" spans="1:34" hidden="1">
      <c r="A283" s="283"/>
      <c r="B283" s="251" t="s">
        <v>265</v>
      </c>
      <c r="AH283" s="253"/>
    </row>
    <row r="284" spans="1:34" hidden="1">
      <c r="A284" s="283"/>
      <c r="B284" s="251" t="s">
        <v>266</v>
      </c>
      <c r="AH284" s="253"/>
    </row>
    <row r="285" spans="1:34" hidden="1">
      <c r="A285" s="283"/>
      <c r="B285" s="251" t="s">
        <v>267</v>
      </c>
      <c r="AH285" s="253"/>
    </row>
    <row r="286" spans="1:34" hidden="1">
      <c r="A286" s="283"/>
      <c r="B286" s="251" t="s">
        <v>268</v>
      </c>
      <c r="AH286" s="253"/>
    </row>
    <row r="287" spans="1:34" hidden="1">
      <c r="A287" s="283"/>
      <c r="B287" s="251" t="s">
        <v>269</v>
      </c>
      <c r="AH287" s="253"/>
    </row>
    <row r="288" spans="1:34" hidden="1">
      <c r="A288" s="283"/>
      <c r="B288" s="251" t="s">
        <v>270</v>
      </c>
      <c r="AH288" s="253"/>
    </row>
    <row r="289" spans="1:34" hidden="1">
      <c r="A289" s="283"/>
      <c r="B289" s="251" t="s">
        <v>271</v>
      </c>
      <c r="AH289" s="253"/>
    </row>
    <row r="290" spans="1:34" hidden="1">
      <c r="A290" s="283"/>
      <c r="B290" s="251" t="s">
        <v>272</v>
      </c>
      <c r="AH290" s="253"/>
    </row>
    <row r="291" spans="1:34" hidden="1">
      <c r="A291" s="283"/>
      <c r="AH291" s="253"/>
    </row>
    <row r="292" spans="1:34" hidden="1">
      <c r="A292" s="283"/>
      <c r="B292" s="251" t="s">
        <v>273</v>
      </c>
      <c r="AH292" s="253"/>
    </row>
    <row r="293" spans="1:34" hidden="1">
      <c r="A293" s="283"/>
      <c r="B293" s="251" t="s">
        <v>274</v>
      </c>
      <c r="AH293" s="253"/>
    </row>
    <row r="294" spans="1:34" hidden="1">
      <c r="A294" s="283"/>
      <c r="B294" s="251" t="s">
        <v>275</v>
      </c>
      <c r="AH294" s="253"/>
    </row>
    <row r="295" spans="1:34" hidden="1">
      <c r="A295" s="283"/>
      <c r="B295" s="251" t="s">
        <v>276</v>
      </c>
      <c r="AH295" s="253"/>
    </row>
    <row r="296" spans="1:34" hidden="1">
      <c r="A296" s="283"/>
      <c r="B296" s="251" t="s">
        <v>277</v>
      </c>
      <c r="AH296" s="253"/>
    </row>
    <row r="297" spans="1:34" hidden="1">
      <c r="A297" s="283"/>
      <c r="B297" s="251" t="s">
        <v>278</v>
      </c>
      <c r="AH297" s="253"/>
    </row>
    <row r="298" spans="1:34" hidden="1">
      <c r="A298" s="283"/>
      <c r="B298" s="251" t="s">
        <v>279</v>
      </c>
      <c r="AH298" s="253"/>
    </row>
    <row r="299" spans="1:34" hidden="1">
      <c r="A299" s="283"/>
      <c r="B299" s="251" t="s">
        <v>280</v>
      </c>
      <c r="AH299" s="253"/>
    </row>
    <row r="300" spans="1:34" hidden="1">
      <c r="A300" s="283"/>
      <c r="B300" s="251" t="s">
        <v>281</v>
      </c>
      <c r="AH300" s="253"/>
    </row>
    <row r="301" spans="1:34" hidden="1">
      <c r="A301" s="283"/>
      <c r="B301" s="251" t="s">
        <v>282</v>
      </c>
      <c r="AH301" s="253"/>
    </row>
    <row r="302" spans="1:34" hidden="1">
      <c r="A302" s="283"/>
      <c r="B302" s="251" t="s">
        <v>283</v>
      </c>
      <c r="AH302" s="253"/>
    </row>
    <row r="303" spans="1:34" hidden="1">
      <c r="A303" s="283"/>
      <c r="B303" s="251" t="s">
        <v>284</v>
      </c>
      <c r="AH303" s="253"/>
    </row>
    <row r="304" spans="1:34" hidden="1">
      <c r="A304" s="283"/>
      <c r="B304" s="251" t="s">
        <v>285</v>
      </c>
      <c r="AH304" s="253"/>
    </row>
    <row r="305" spans="1:34" hidden="1">
      <c r="A305" s="283"/>
      <c r="B305" s="251" t="s">
        <v>286</v>
      </c>
      <c r="AH305" s="253"/>
    </row>
    <row r="306" spans="1:34" hidden="1">
      <c r="A306" s="283"/>
      <c r="B306" s="251" t="s">
        <v>287</v>
      </c>
      <c r="AH306" s="253"/>
    </row>
    <row r="307" spans="1:34" hidden="1">
      <c r="A307" s="283"/>
      <c r="B307" s="251" t="s">
        <v>288</v>
      </c>
      <c r="AH307" s="253"/>
    </row>
    <row r="308" spans="1:34" hidden="1">
      <c r="A308" s="283"/>
      <c r="B308" s="251" t="s">
        <v>289</v>
      </c>
      <c r="AH308" s="253"/>
    </row>
    <row r="309" spans="1:34" hidden="1">
      <c r="A309" s="283"/>
      <c r="AH309" s="253"/>
    </row>
    <row r="310" spans="1:34" hidden="1">
      <c r="A310" s="283"/>
      <c r="B310" s="251" t="s">
        <v>290</v>
      </c>
      <c r="AH310" s="253"/>
    </row>
    <row r="311" spans="1:34" hidden="1">
      <c r="A311" s="283"/>
      <c r="B311" s="251" t="s">
        <v>291</v>
      </c>
      <c r="AH311" s="253"/>
    </row>
    <row r="312" spans="1:34" hidden="1">
      <c r="A312" s="283"/>
      <c r="B312" s="251" t="s">
        <v>292</v>
      </c>
      <c r="AH312" s="253"/>
    </row>
    <row r="313" spans="1:34" hidden="1">
      <c r="A313" s="283"/>
      <c r="B313" s="251" t="s">
        <v>293</v>
      </c>
      <c r="AH313" s="253"/>
    </row>
    <row r="314" spans="1:34" hidden="1">
      <c r="A314" s="283"/>
      <c r="B314" s="251" t="s">
        <v>294</v>
      </c>
      <c r="AH314" s="253"/>
    </row>
    <row r="315" spans="1:34" hidden="1">
      <c r="A315" s="283"/>
      <c r="B315" s="251" t="s">
        <v>295</v>
      </c>
      <c r="AH315" s="253"/>
    </row>
    <row r="316" spans="1:34" hidden="1">
      <c r="A316" s="283"/>
      <c r="AH316" s="253"/>
    </row>
    <row r="317" spans="1:34" hidden="1">
      <c r="A317" s="283"/>
      <c r="B317" s="251" t="s">
        <v>296</v>
      </c>
      <c r="AH317" s="253"/>
    </row>
    <row r="318" spans="1:34" hidden="1">
      <c r="A318" s="283"/>
      <c r="B318" s="251" t="s">
        <v>297</v>
      </c>
      <c r="AH318" s="253"/>
    </row>
    <row r="319" spans="1:34" hidden="1">
      <c r="A319" s="283"/>
      <c r="B319" s="251" t="s">
        <v>298</v>
      </c>
      <c r="AH319" s="253"/>
    </row>
    <row r="320" spans="1:34" hidden="1">
      <c r="A320" s="283"/>
      <c r="B320" s="251" t="s">
        <v>299</v>
      </c>
      <c r="AH320" s="253"/>
    </row>
    <row r="321" spans="1:34" hidden="1">
      <c r="A321" s="283"/>
      <c r="B321" s="251" t="s">
        <v>300</v>
      </c>
      <c r="AH321" s="253"/>
    </row>
    <row r="322" spans="1:34" hidden="1">
      <c r="A322" s="283"/>
      <c r="B322" s="251" t="s">
        <v>301</v>
      </c>
      <c r="AH322" s="253"/>
    </row>
    <row r="323" spans="1:34" hidden="1">
      <c r="A323" s="283"/>
      <c r="AH323" s="253"/>
    </row>
    <row r="324" spans="1:34" hidden="1">
      <c r="A324" s="283"/>
      <c r="B324" s="251" t="s">
        <v>302</v>
      </c>
      <c r="AH324" s="253"/>
    </row>
    <row r="325" spans="1:34" hidden="1">
      <c r="A325" s="283"/>
      <c r="B325" s="251" t="s">
        <v>303</v>
      </c>
      <c r="AH325" s="253"/>
    </row>
    <row r="326" spans="1:34" hidden="1">
      <c r="A326" s="283"/>
      <c r="B326" s="251" t="s">
        <v>304</v>
      </c>
      <c r="AH326" s="253"/>
    </row>
    <row r="327" spans="1:34" hidden="1">
      <c r="A327" s="283"/>
      <c r="AH327" s="253"/>
    </row>
    <row r="328" spans="1:34" hidden="1">
      <c r="A328" s="283"/>
      <c r="B328" s="251" t="s">
        <v>305</v>
      </c>
      <c r="AH328" s="253"/>
    </row>
    <row r="329" spans="1:34" hidden="1">
      <c r="A329" s="283"/>
      <c r="B329" s="251" t="s">
        <v>306</v>
      </c>
      <c r="AH329" s="253"/>
    </row>
    <row r="330" spans="1:34" hidden="1">
      <c r="A330" s="283"/>
      <c r="B330" s="251" t="s">
        <v>307</v>
      </c>
      <c r="AH330" s="253"/>
    </row>
    <row r="331" spans="1:34" hidden="1">
      <c r="A331" s="283"/>
      <c r="B331" s="251" t="s">
        <v>308</v>
      </c>
      <c r="AH331" s="253"/>
    </row>
    <row r="332" spans="1:34" hidden="1">
      <c r="A332" s="283"/>
      <c r="B332" s="251" t="s">
        <v>309</v>
      </c>
      <c r="AH332" s="253"/>
    </row>
    <row r="333" spans="1:34" hidden="1">
      <c r="A333" s="283"/>
      <c r="B333" s="251" t="s">
        <v>310</v>
      </c>
      <c r="AH333" s="253"/>
    </row>
    <row r="334" spans="1:34" hidden="1">
      <c r="A334" s="283"/>
      <c r="B334" s="251" t="s">
        <v>311</v>
      </c>
      <c r="AH334" s="253"/>
    </row>
    <row r="335" spans="1:34" hidden="1">
      <c r="A335" s="283"/>
      <c r="AH335" s="253"/>
    </row>
    <row r="336" spans="1:34" hidden="1">
      <c r="A336" s="283"/>
      <c r="B336" s="251" t="s">
        <v>312</v>
      </c>
      <c r="AH336" s="253"/>
    </row>
    <row r="337" spans="1:34" hidden="1">
      <c r="A337" s="283"/>
      <c r="B337" s="251" t="s">
        <v>313</v>
      </c>
      <c r="AH337" s="253"/>
    </row>
    <row r="338" spans="1:34" hidden="1">
      <c r="A338" s="283"/>
      <c r="B338" s="251" t="s">
        <v>314</v>
      </c>
      <c r="AH338" s="253"/>
    </row>
    <row r="339" spans="1:34" hidden="1">
      <c r="A339" s="283"/>
      <c r="B339" s="251" t="s">
        <v>315</v>
      </c>
      <c r="AH339" s="253"/>
    </row>
    <row r="340" spans="1:34" hidden="1">
      <c r="A340" s="283"/>
      <c r="B340" s="251" t="s">
        <v>316</v>
      </c>
      <c r="AH340" s="253"/>
    </row>
    <row r="341" spans="1:34" hidden="1">
      <c r="A341" s="283"/>
      <c r="B341" s="251" t="s">
        <v>317</v>
      </c>
      <c r="AH341" s="253"/>
    </row>
    <row r="342" spans="1:34" hidden="1">
      <c r="A342" s="283"/>
      <c r="B342" s="251" t="s">
        <v>318</v>
      </c>
      <c r="AH342" s="253"/>
    </row>
    <row r="343" spans="1:34" hidden="1">
      <c r="A343" s="283"/>
      <c r="AH343" s="253"/>
    </row>
    <row r="344" spans="1:34" hidden="1">
      <c r="A344" s="283"/>
      <c r="B344" s="251" t="s">
        <v>319</v>
      </c>
      <c r="AH344" s="253"/>
    </row>
    <row r="345" spans="1:34" hidden="1">
      <c r="A345" s="283"/>
      <c r="B345" s="251" t="s">
        <v>320</v>
      </c>
      <c r="AH345" s="253"/>
    </row>
    <row r="346" spans="1:34" hidden="1">
      <c r="A346" s="283"/>
      <c r="B346" s="251" t="s">
        <v>321</v>
      </c>
      <c r="AH346" s="253"/>
    </row>
    <row r="347" spans="1:34" hidden="1">
      <c r="A347" s="283"/>
      <c r="B347" s="251" t="s">
        <v>322</v>
      </c>
      <c r="AH347" s="253"/>
    </row>
    <row r="348" spans="1:34" hidden="1">
      <c r="A348" s="283"/>
      <c r="B348" s="251" t="s">
        <v>323</v>
      </c>
      <c r="AH348" s="253"/>
    </row>
    <row r="349" spans="1:34" hidden="1">
      <c r="A349" s="283"/>
      <c r="B349" s="251" t="s">
        <v>324</v>
      </c>
      <c r="AH349" s="253"/>
    </row>
    <row r="350" spans="1:34" hidden="1">
      <c r="A350" s="283"/>
      <c r="AH350" s="253"/>
    </row>
    <row r="351" spans="1:34" hidden="1">
      <c r="A351" s="283"/>
      <c r="B351" s="251" t="s">
        <v>325</v>
      </c>
      <c r="AH351" s="253"/>
    </row>
    <row r="352" spans="1:34" hidden="1">
      <c r="A352" s="283"/>
      <c r="B352" s="251" t="s">
        <v>326</v>
      </c>
      <c r="AH352" s="253"/>
    </row>
    <row r="353" spans="1:34" hidden="1">
      <c r="A353" s="283"/>
      <c r="AH353" s="253"/>
    </row>
    <row r="354" spans="1:34" hidden="1">
      <c r="A354" s="283"/>
      <c r="B354" s="251" t="s">
        <v>327</v>
      </c>
      <c r="AH354" s="253"/>
    </row>
    <row r="355" spans="1:34" hidden="1">
      <c r="A355" s="283"/>
      <c r="B355" s="251" t="s">
        <v>328</v>
      </c>
      <c r="AH355" s="253"/>
    </row>
    <row r="356" spans="1:34" hidden="1">
      <c r="A356" s="283"/>
      <c r="B356" s="251" t="s">
        <v>329</v>
      </c>
      <c r="AH356" s="253"/>
    </row>
    <row r="357" spans="1:34" hidden="1">
      <c r="A357" s="283"/>
      <c r="B357" s="251" t="s">
        <v>330</v>
      </c>
      <c r="AH357" s="253"/>
    </row>
    <row r="358" spans="1:34" hidden="1">
      <c r="A358" s="283"/>
      <c r="B358" s="251" t="s">
        <v>331</v>
      </c>
      <c r="AH358" s="253"/>
    </row>
    <row r="359" spans="1:34" hidden="1">
      <c r="A359" s="283"/>
      <c r="B359" s="251" t="s">
        <v>332</v>
      </c>
      <c r="AH359" s="253"/>
    </row>
    <row r="360" spans="1:34" hidden="1">
      <c r="A360" s="283"/>
      <c r="AH360" s="253"/>
    </row>
    <row r="361" spans="1:34" hidden="1">
      <c r="A361" s="283"/>
      <c r="B361" s="251" t="s">
        <v>333</v>
      </c>
      <c r="AH361" s="253"/>
    </row>
    <row r="362" spans="1:34" hidden="1">
      <c r="A362" s="283"/>
      <c r="B362" s="251" t="s">
        <v>334</v>
      </c>
      <c r="AH362" s="253"/>
    </row>
    <row r="363" spans="1:34" hidden="1">
      <c r="A363" s="283"/>
      <c r="B363" s="251" t="s">
        <v>335</v>
      </c>
      <c r="AH363" s="253"/>
    </row>
    <row r="364" spans="1:34" hidden="1">
      <c r="A364" s="283"/>
      <c r="B364" s="251" t="s">
        <v>336</v>
      </c>
      <c r="AH364" s="253"/>
    </row>
    <row r="365" spans="1:34" hidden="1">
      <c r="A365" s="283"/>
      <c r="B365" s="251" t="s">
        <v>337</v>
      </c>
      <c r="AH365" s="253"/>
    </row>
    <row r="366" spans="1:34" hidden="1">
      <c r="A366" s="283"/>
      <c r="AH366" s="253"/>
    </row>
    <row r="367" spans="1:34" hidden="1">
      <c r="A367" s="283"/>
      <c r="B367" s="251" t="s">
        <v>338</v>
      </c>
      <c r="AH367" s="253"/>
    </row>
    <row r="368" spans="1:34" hidden="1">
      <c r="A368" s="283"/>
      <c r="B368" s="251" t="s">
        <v>339</v>
      </c>
      <c r="AH368" s="253"/>
    </row>
    <row r="369" spans="1:34" hidden="1">
      <c r="A369" s="283"/>
      <c r="B369" s="251" t="s">
        <v>340</v>
      </c>
      <c r="AH369" s="253"/>
    </row>
    <row r="370" spans="1:34" hidden="1">
      <c r="A370" s="283"/>
      <c r="B370" s="251" t="s">
        <v>341</v>
      </c>
      <c r="AH370" s="253"/>
    </row>
    <row r="371" spans="1:34" hidden="1">
      <c r="A371" s="283"/>
      <c r="B371" s="251" t="s">
        <v>342</v>
      </c>
      <c r="AH371" s="253"/>
    </row>
    <row r="372" spans="1:34" hidden="1">
      <c r="A372" s="283"/>
      <c r="AH372" s="253"/>
    </row>
    <row r="373" spans="1:34" hidden="1">
      <c r="A373" s="283"/>
      <c r="B373" s="251" t="s">
        <v>343</v>
      </c>
      <c r="AH373" s="253"/>
    </row>
    <row r="374" spans="1:34" hidden="1">
      <c r="A374" s="283"/>
      <c r="B374" s="251" t="s">
        <v>344</v>
      </c>
      <c r="AH374" s="253"/>
    </row>
    <row r="375" spans="1:34" hidden="1">
      <c r="A375" s="283"/>
      <c r="B375" s="251" t="s">
        <v>345</v>
      </c>
      <c r="AH375" s="253"/>
    </row>
    <row r="376" spans="1:34" hidden="1">
      <c r="A376" s="283"/>
      <c r="B376" s="251" t="s">
        <v>346</v>
      </c>
      <c r="AH376" s="253"/>
    </row>
    <row r="377" spans="1:34" hidden="1">
      <c r="A377" s="283"/>
      <c r="B377" s="251" t="s">
        <v>347</v>
      </c>
      <c r="AH377" s="253"/>
    </row>
    <row r="378" spans="1:34" hidden="1">
      <c r="A378" s="283"/>
      <c r="AH378" s="253"/>
    </row>
    <row r="379" spans="1:34" hidden="1">
      <c r="A379" s="283"/>
      <c r="B379" s="251" t="s">
        <v>348</v>
      </c>
      <c r="AH379" s="253"/>
    </row>
    <row r="380" spans="1:34" hidden="1">
      <c r="A380" s="283"/>
      <c r="B380" s="251" t="s">
        <v>349</v>
      </c>
      <c r="AH380" s="253"/>
    </row>
    <row r="381" spans="1:34" hidden="1">
      <c r="A381" s="283"/>
      <c r="B381" s="251" t="s">
        <v>350</v>
      </c>
      <c r="AH381" s="253"/>
    </row>
    <row r="382" spans="1:34" hidden="1">
      <c r="A382" s="283"/>
      <c r="B382" s="251" t="s">
        <v>351</v>
      </c>
      <c r="AH382" s="253"/>
    </row>
    <row r="383" spans="1:34" hidden="1">
      <c r="A383" s="283"/>
      <c r="B383" s="251" t="s">
        <v>352</v>
      </c>
      <c r="AH383" s="253"/>
    </row>
    <row r="384" spans="1:34" hidden="1">
      <c r="A384" s="283"/>
      <c r="AH384" s="253"/>
    </row>
    <row r="385" spans="1:34" hidden="1">
      <c r="A385" s="283"/>
      <c r="B385" s="251" t="s">
        <v>353</v>
      </c>
      <c r="AH385" s="253"/>
    </row>
    <row r="386" spans="1:34" hidden="1">
      <c r="A386" s="283"/>
      <c r="B386" s="251" t="s">
        <v>354</v>
      </c>
      <c r="AH386" s="253"/>
    </row>
    <row r="387" spans="1:34" hidden="1">
      <c r="A387" s="283"/>
      <c r="B387" s="251" t="s">
        <v>355</v>
      </c>
      <c r="AH387" s="253"/>
    </row>
    <row r="388" spans="1:34" hidden="1">
      <c r="A388" s="283"/>
      <c r="B388" s="251" t="s">
        <v>356</v>
      </c>
      <c r="AH388" s="253"/>
    </row>
    <row r="389" spans="1:34" hidden="1">
      <c r="A389" s="283"/>
      <c r="B389" s="251" t="s">
        <v>357</v>
      </c>
      <c r="AH389" s="253"/>
    </row>
    <row r="390" spans="1:34" hidden="1">
      <c r="A390" s="283"/>
      <c r="B390" s="251" t="s">
        <v>358</v>
      </c>
      <c r="AH390" s="253"/>
    </row>
    <row r="391" spans="1:34" hidden="1">
      <c r="A391" s="283"/>
      <c r="B391" s="251" t="s">
        <v>359</v>
      </c>
      <c r="AH391" s="253"/>
    </row>
    <row r="392" spans="1:34" hidden="1">
      <c r="A392" s="283"/>
      <c r="B392" s="251" t="s">
        <v>244</v>
      </c>
      <c r="AH392" s="253"/>
    </row>
    <row r="393" spans="1:34" hidden="1">
      <c r="A393" s="283"/>
      <c r="B393" s="251" t="s">
        <v>360</v>
      </c>
      <c r="AH393" s="253"/>
    </row>
    <row r="394" spans="1:34" hidden="1">
      <c r="A394" s="283"/>
      <c r="B394" s="251" t="s">
        <v>361</v>
      </c>
      <c r="AH394" s="253"/>
    </row>
    <row r="395" spans="1:34" hidden="1">
      <c r="A395" s="283"/>
      <c r="AH395" s="253"/>
    </row>
    <row r="396" spans="1:34" hidden="1">
      <c r="A396" s="283"/>
      <c r="B396" s="251" t="s">
        <v>362</v>
      </c>
      <c r="AH396" s="253"/>
    </row>
    <row r="397" spans="1:34" hidden="1">
      <c r="A397" s="283"/>
      <c r="B397" s="251" t="s">
        <v>363</v>
      </c>
      <c r="AH397" s="253"/>
    </row>
    <row r="398" spans="1:34" hidden="1">
      <c r="A398" s="283"/>
      <c r="B398" s="251" t="s">
        <v>364</v>
      </c>
      <c r="AH398" s="253"/>
    </row>
    <row r="399" spans="1:34" hidden="1">
      <c r="A399" s="283"/>
      <c r="B399" s="251" t="s">
        <v>365</v>
      </c>
      <c r="AH399" s="253"/>
    </row>
    <row r="400" spans="1:34" hidden="1">
      <c r="A400" s="283"/>
      <c r="B400" s="251" t="s">
        <v>366</v>
      </c>
      <c r="AH400" s="253"/>
    </row>
    <row r="401" spans="1:34" hidden="1">
      <c r="A401" s="283"/>
      <c r="B401" s="251" t="s">
        <v>367</v>
      </c>
      <c r="AH401" s="253"/>
    </row>
    <row r="402" spans="1:34" hidden="1">
      <c r="A402" s="283"/>
      <c r="AH402" s="253"/>
    </row>
    <row r="403" spans="1:34" hidden="1">
      <c r="A403" s="283"/>
      <c r="B403" s="251" t="s">
        <v>368</v>
      </c>
      <c r="AH403" s="253"/>
    </row>
    <row r="404" spans="1:34" hidden="1">
      <c r="A404" s="283"/>
      <c r="B404" s="251" t="s">
        <v>369</v>
      </c>
      <c r="AH404" s="253"/>
    </row>
    <row r="405" spans="1:34" hidden="1">
      <c r="A405" s="283"/>
      <c r="B405" s="251" t="s">
        <v>370</v>
      </c>
      <c r="AH405" s="253"/>
    </row>
    <row r="406" spans="1:34" hidden="1">
      <c r="A406" s="283"/>
      <c r="B406" s="251" t="s">
        <v>371</v>
      </c>
      <c r="AH406" s="253"/>
    </row>
    <row r="407" spans="1:34" hidden="1">
      <c r="A407" s="283"/>
      <c r="B407" s="251" t="s">
        <v>372</v>
      </c>
      <c r="AH407" s="253"/>
    </row>
    <row r="408" spans="1:34" hidden="1">
      <c r="A408" s="283"/>
      <c r="B408" s="251" t="s">
        <v>373</v>
      </c>
      <c r="AH408" s="253"/>
    </row>
    <row r="409" spans="1:34" hidden="1">
      <c r="A409" s="283"/>
      <c r="B409" s="251" t="s">
        <v>374</v>
      </c>
      <c r="AH409" s="253"/>
    </row>
    <row r="410" spans="1:34" hidden="1">
      <c r="A410" s="283"/>
      <c r="B410" s="251" t="s">
        <v>375</v>
      </c>
      <c r="AH410" s="253"/>
    </row>
    <row r="411" spans="1:34" hidden="1">
      <c r="A411" s="283"/>
      <c r="AH411" s="253"/>
    </row>
    <row r="412" spans="1:34" hidden="1">
      <c r="A412" s="283"/>
      <c r="B412" s="251" t="s">
        <v>376</v>
      </c>
      <c r="AH412" s="253"/>
    </row>
    <row r="413" spans="1:34" hidden="1">
      <c r="A413" s="283"/>
      <c r="B413" s="251" t="s">
        <v>377</v>
      </c>
      <c r="AH413" s="253"/>
    </row>
    <row r="414" spans="1:34" hidden="1">
      <c r="A414" s="283"/>
      <c r="B414" s="251" t="s">
        <v>378</v>
      </c>
      <c r="AH414" s="253"/>
    </row>
    <row r="415" spans="1:34" hidden="1">
      <c r="A415" s="283"/>
      <c r="B415" s="251" t="s">
        <v>379</v>
      </c>
      <c r="AH415" s="253"/>
    </row>
    <row r="416" spans="1:34" hidden="1">
      <c r="A416" s="283"/>
      <c r="B416" s="251" t="s">
        <v>380</v>
      </c>
      <c r="AH416" s="253"/>
    </row>
    <row r="417" spans="1:34" hidden="1">
      <c r="A417" s="283"/>
      <c r="B417" s="251" t="s">
        <v>381</v>
      </c>
      <c r="AH417" s="253"/>
    </row>
    <row r="418" spans="1:34" hidden="1">
      <c r="A418" s="283"/>
      <c r="B418" s="251" t="s">
        <v>382</v>
      </c>
      <c r="AH418" s="253"/>
    </row>
    <row r="419" spans="1:34" hidden="1">
      <c r="A419" s="283"/>
      <c r="B419" s="251" t="s">
        <v>383</v>
      </c>
      <c r="AH419" s="253"/>
    </row>
    <row r="420" spans="1:34" hidden="1">
      <c r="A420" s="283"/>
      <c r="B420" s="251" t="s">
        <v>384</v>
      </c>
      <c r="AH420" s="253"/>
    </row>
    <row r="421" spans="1:34" hidden="1">
      <c r="A421" s="283"/>
      <c r="B421" s="251" t="s">
        <v>385</v>
      </c>
      <c r="AH421" s="253"/>
    </row>
    <row r="422" spans="1:34" hidden="1">
      <c r="A422" s="283"/>
      <c r="B422" s="251" t="s">
        <v>386</v>
      </c>
      <c r="AH422" s="253"/>
    </row>
    <row r="423" spans="1:34" hidden="1">
      <c r="A423" s="283"/>
      <c r="B423" s="251" t="s">
        <v>387</v>
      </c>
      <c r="AH423" s="253"/>
    </row>
    <row r="424" spans="1:34" hidden="1">
      <c r="A424" s="283"/>
      <c r="B424" s="251" t="s">
        <v>388</v>
      </c>
      <c r="AH424" s="253"/>
    </row>
    <row r="425" spans="1:34" hidden="1">
      <c r="A425" s="283"/>
      <c r="B425" s="251" t="s">
        <v>389</v>
      </c>
      <c r="AH425" s="253"/>
    </row>
    <row r="426" spans="1:34" hidden="1">
      <c r="A426" s="283"/>
      <c r="B426" s="251" t="s">
        <v>390</v>
      </c>
      <c r="AH426" s="253"/>
    </row>
    <row r="427" spans="1:34" hidden="1">
      <c r="A427" s="283"/>
      <c r="B427" s="251" t="s">
        <v>391</v>
      </c>
      <c r="AH427" s="253"/>
    </row>
    <row r="428" spans="1:34" hidden="1">
      <c r="A428" s="283"/>
      <c r="AH428" s="253"/>
    </row>
    <row r="429" spans="1:34" hidden="1">
      <c r="A429" s="283"/>
      <c r="B429" s="251" t="s">
        <v>392</v>
      </c>
      <c r="AH429" s="253"/>
    </row>
    <row r="430" spans="1:34" hidden="1">
      <c r="A430" s="283"/>
      <c r="B430" s="251" t="s">
        <v>393</v>
      </c>
      <c r="AH430" s="253"/>
    </row>
    <row r="431" spans="1:34" hidden="1">
      <c r="A431" s="283"/>
      <c r="B431" s="251" t="s">
        <v>394</v>
      </c>
      <c r="AH431" s="253"/>
    </row>
    <row r="432" spans="1:34" hidden="1">
      <c r="A432" s="283"/>
      <c r="B432" s="251" t="s">
        <v>395</v>
      </c>
      <c r="AH432" s="253"/>
    </row>
    <row r="433" spans="1:34" hidden="1">
      <c r="A433" s="283"/>
      <c r="B433" s="251" t="s">
        <v>396</v>
      </c>
      <c r="AH433" s="253"/>
    </row>
    <row r="434" spans="1:34" hidden="1">
      <c r="A434" s="283"/>
      <c r="B434" s="251" t="s">
        <v>397</v>
      </c>
      <c r="AH434" s="253"/>
    </row>
    <row r="435" spans="1:34" hidden="1">
      <c r="A435" s="283"/>
      <c r="B435" s="251" t="s">
        <v>398</v>
      </c>
      <c r="AH435" s="253"/>
    </row>
    <row r="436" spans="1:34" hidden="1">
      <c r="A436" s="283"/>
      <c r="B436" s="251" t="s">
        <v>399</v>
      </c>
      <c r="AH436" s="253"/>
    </row>
    <row r="437" spans="1:34" hidden="1">
      <c r="A437" s="283"/>
      <c r="B437" s="251" t="s">
        <v>400</v>
      </c>
      <c r="AH437" s="253"/>
    </row>
    <row r="438" spans="1:34" hidden="1">
      <c r="A438" s="283"/>
      <c r="B438" s="251" t="s">
        <v>401</v>
      </c>
      <c r="AH438" s="253"/>
    </row>
    <row r="439" spans="1:34" hidden="1">
      <c r="A439" s="283"/>
      <c r="AH439" s="253"/>
    </row>
    <row r="440" spans="1:34" hidden="1">
      <c r="A440" s="283"/>
      <c r="B440" s="251" t="s">
        <v>402</v>
      </c>
      <c r="AH440" s="253"/>
    </row>
    <row r="441" spans="1:34" hidden="1">
      <c r="A441" s="283"/>
      <c r="B441" s="251" t="s">
        <v>403</v>
      </c>
      <c r="AH441" s="253"/>
    </row>
    <row r="442" spans="1:34" hidden="1">
      <c r="A442" s="283"/>
      <c r="B442" s="251" t="s">
        <v>404</v>
      </c>
      <c r="AH442" s="253"/>
    </row>
    <row r="443" spans="1:34" hidden="1">
      <c r="A443" s="283"/>
      <c r="B443" s="251" t="s">
        <v>405</v>
      </c>
      <c r="AH443" s="253"/>
    </row>
    <row r="444" spans="1:34" hidden="1">
      <c r="A444" s="283"/>
      <c r="B444" s="251" t="s">
        <v>406</v>
      </c>
      <c r="AH444" s="253"/>
    </row>
    <row r="445" spans="1:34" hidden="1">
      <c r="A445" s="283"/>
      <c r="B445" s="251" t="s">
        <v>407</v>
      </c>
      <c r="AH445" s="253"/>
    </row>
    <row r="446" spans="1:34" hidden="1">
      <c r="A446" s="283"/>
      <c r="B446" s="251" t="s">
        <v>408</v>
      </c>
      <c r="AH446" s="253"/>
    </row>
    <row r="447" spans="1:34" hidden="1">
      <c r="A447" s="283"/>
      <c r="B447" s="251" t="s">
        <v>409</v>
      </c>
      <c r="AH447" s="253"/>
    </row>
    <row r="448" spans="1:34" hidden="1">
      <c r="A448" s="283"/>
      <c r="B448" s="251" t="s">
        <v>410</v>
      </c>
      <c r="AH448" s="253"/>
    </row>
    <row r="449" spans="1:34" hidden="1">
      <c r="A449" s="283"/>
      <c r="B449" s="251" t="s">
        <v>411</v>
      </c>
      <c r="AH449" s="253"/>
    </row>
    <row r="450" spans="1:34" hidden="1">
      <c r="A450" s="283"/>
      <c r="AH450" s="253"/>
    </row>
    <row r="451" spans="1:34" hidden="1">
      <c r="A451" s="283"/>
      <c r="B451" s="251" t="s">
        <v>412</v>
      </c>
      <c r="AH451" s="253"/>
    </row>
    <row r="452" spans="1:34" hidden="1">
      <c r="A452" s="283"/>
      <c r="B452" s="251" t="s">
        <v>413</v>
      </c>
      <c r="AH452" s="253"/>
    </row>
    <row r="453" spans="1:34" hidden="1">
      <c r="A453" s="283"/>
      <c r="B453" s="251" t="s">
        <v>414</v>
      </c>
      <c r="AH453" s="253"/>
    </row>
    <row r="454" spans="1:34" hidden="1">
      <c r="A454" s="283"/>
      <c r="B454" s="251" t="s">
        <v>415</v>
      </c>
      <c r="AH454" s="253"/>
    </row>
    <row r="455" spans="1:34" hidden="1">
      <c r="A455" s="283"/>
      <c r="B455" s="251" t="s">
        <v>416</v>
      </c>
      <c r="AH455" s="253"/>
    </row>
    <row r="456" spans="1:34" hidden="1">
      <c r="A456" s="283"/>
      <c r="B456" s="251" t="s">
        <v>417</v>
      </c>
      <c r="AH456" s="253"/>
    </row>
    <row r="457" spans="1:34" hidden="1">
      <c r="A457" s="283"/>
      <c r="B457" s="251" t="s">
        <v>418</v>
      </c>
      <c r="AH457" s="253"/>
    </row>
    <row r="458" spans="1:34" hidden="1">
      <c r="A458" s="283"/>
      <c r="B458" s="251" t="s">
        <v>419</v>
      </c>
      <c r="AH458" s="253"/>
    </row>
    <row r="459" spans="1:34" hidden="1">
      <c r="A459" s="283"/>
      <c r="B459" s="251" t="s">
        <v>420</v>
      </c>
      <c r="AH459" s="253"/>
    </row>
    <row r="460" spans="1:34" hidden="1">
      <c r="A460" s="283"/>
      <c r="B460" s="251" t="s">
        <v>421</v>
      </c>
      <c r="AH460" s="253"/>
    </row>
    <row r="461" spans="1:34" hidden="1">
      <c r="A461" s="283"/>
      <c r="AH461" s="253"/>
    </row>
    <row r="462" spans="1:34" hidden="1">
      <c r="A462" s="283"/>
      <c r="B462" s="251" t="s">
        <v>422</v>
      </c>
      <c r="AH462" s="253"/>
    </row>
    <row r="463" spans="1:34" hidden="1">
      <c r="A463" s="283"/>
      <c r="B463" s="251" t="s">
        <v>423</v>
      </c>
      <c r="AH463" s="253"/>
    </row>
    <row r="464" spans="1:34" hidden="1">
      <c r="A464" s="283"/>
      <c r="B464" s="251" t="s">
        <v>424</v>
      </c>
      <c r="AH464" s="253"/>
    </row>
    <row r="465" spans="1:34" hidden="1">
      <c r="A465" s="283"/>
      <c r="B465" s="251" t="s">
        <v>425</v>
      </c>
      <c r="AH465" s="253"/>
    </row>
    <row r="466" spans="1:34" hidden="1">
      <c r="A466" s="283"/>
      <c r="B466" s="251" t="s">
        <v>426</v>
      </c>
      <c r="AH466" s="253"/>
    </row>
    <row r="467" spans="1:34" hidden="1">
      <c r="A467" s="283"/>
      <c r="B467" s="251" t="s">
        <v>427</v>
      </c>
      <c r="AH467" s="253"/>
    </row>
    <row r="468" spans="1:34" hidden="1">
      <c r="A468" s="283"/>
      <c r="B468" s="251" t="s">
        <v>428</v>
      </c>
      <c r="AH468" s="253"/>
    </row>
    <row r="469" spans="1:34" hidden="1">
      <c r="A469" s="283"/>
      <c r="B469" s="251" t="s">
        <v>429</v>
      </c>
      <c r="AH469" s="253"/>
    </row>
    <row r="470" spans="1:34" hidden="1">
      <c r="A470" s="283"/>
      <c r="B470" s="251" t="s">
        <v>430</v>
      </c>
      <c r="AH470" s="253"/>
    </row>
    <row r="471" spans="1:34" hidden="1">
      <c r="A471" s="283"/>
      <c r="B471" s="251" t="s">
        <v>431</v>
      </c>
      <c r="AH471" s="253"/>
    </row>
    <row r="472" spans="1:34" hidden="1">
      <c r="A472" s="283"/>
      <c r="AH472" s="253"/>
    </row>
    <row r="473" spans="1:34" hidden="1">
      <c r="A473" s="283"/>
      <c r="B473" s="251" t="s">
        <v>432</v>
      </c>
      <c r="AH473" s="253"/>
    </row>
    <row r="474" spans="1:34" hidden="1">
      <c r="A474" s="283"/>
      <c r="B474" s="251" t="s">
        <v>433</v>
      </c>
      <c r="AH474" s="253"/>
    </row>
    <row r="475" spans="1:34" hidden="1">
      <c r="A475" s="283"/>
      <c r="B475" s="251" t="s">
        <v>434</v>
      </c>
      <c r="AH475" s="253"/>
    </row>
    <row r="476" spans="1:34" hidden="1">
      <c r="A476" s="283"/>
      <c r="B476" s="251" t="s">
        <v>435</v>
      </c>
      <c r="AH476" s="253"/>
    </row>
    <row r="477" spans="1:34" hidden="1">
      <c r="A477" s="283"/>
      <c r="B477" s="251" t="s">
        <v>436</v>
      </c>
      <c r="AH477" s="253"/>
    </row>
    <row r="478" spans="1:34" hidden="1">
      <c r="A478" s="283"/>
      <c r="B478" s="251" t="s">
        <v>437</v>
      </c>
      <c r="AH478" s="253"/>
    </row>
    <row r="479" spans="1:34" hidden="1">
      <c r="A479" s="283"/>
      <c r="B479" s="251" t="s">
        <v>438</v>
      </c>
      <c r="AH479" s="253"/>
    </row>
    <row r="480" spans="1:34" hidden="1">
      <c r="A480" s="283"/>
      <c r="B480" s="251" t="s">
        <v>439</v>
      </c>
      <c r="AH480" s="253"/>
    </row>
    <row r="481" spans="1:34" hidden="1">
      <c r="A481" s="283"/>
      <c r="B481" s="251" t="s">
        <v>440</v>
      </c>
      <c r="AH481" s="253"/>
    </row>
    <row r="482" spans="1:34" hidden="1">
      <c r="A482" s="283"/>
      <c r="B482" s="251" t="s">
        <v>441</v>
      </c>
      <c r="AH482" s="253"/>
    </row>
    <row r="483" spans="1:34" hidden="1">
      <c r="A483" s="283"/>
      <c r="AH483" s="253"/>
    </row>
    <row r="484" spans="1:34" hidden="1">
      <c r="A484" s="283"/>
      <c r="B484" s="251" t="s">
        <v>442</v>
      </c>
      <c r="AH484" s="253"/>
    </row>
    <row r="485" spans="1:34" hidden="1">
      <c r="A485" s="283"/>
      <c r="B485" s="251" t="s">
        <v>443</v>
      </c>
      <c r="AH485" s="253"/>
    </row>
    <row r="486" spans="1:34" hidden="1">
      <c r="A486" s="283"/>
      <c r="B486" s="251" t="s">
        <v>444</v>
      </c>
      <c r="AH486" s="253"/>
    </row>
    <row r="487" spans="1:34" hidden="1">
      <c r="A487" s="283"/>
      <c r="B487" s="251" t="s">
        <v>445</v>
      </c>
      <c r="AH487" s="253"/>
    </row>
    <row r="488" spans="1:34" hidden="1">
      <c r="A488" s="283"/>
      <c r="B488" s="251" t="s">
        <v>446</v>
      </c>
      <c r="AH488" s="253"/>
    </row>
    <row r="489" spans="1:34" hidden="1">
      <c r="A489" s="283"/>
      <c r="B489" s="251" t="s">
        <v>447</v>
      </c>
      <c r="AH489" s="253"/>
    </row>
    <row r="490" spans="1:34" hidden="1">
      <c r="A490" s="283"/>
      <c r="B490" s="251" t="s">
        <v>448</v>
      </c>
      <c r="AH490" s="253"/>
    </row>
    <row r="491" spans="1:34" hidden="1">
      <c r="A491" s="283"/>
      <c r="B491" s="251" t="s">
        <v>449</v>
      </c>
      <c r="AH491" s="253"/>
    </row>
    <row r="492" spans="1:34" hidden="1">
      <c r="A492" s="283"/>
      <c r="B492" s="251" t="s">
        <v>450</v>
      </c>
      <c r="AH492" s="253"/>
    </row>
    <row r="493" spans="1:34" hidden="1">
      <c r="A493" s="283"/>
      <c r="B493" s="251" t="s">
        <v>451</v>
      </c>
      <c r="AH493" s="253"/>
    </row>
    <row r="494" spans="1:34" hidden="1">
      <c r="A494" s="283"/>
      <c r="AH494" s="253"/>
    </row>
    <row r="495" spans="1:34" hidden="1">
      <c r="A495" s="283"/>
      <c r="B495" s="251" t="s">
        <v>452</v>
      </c>
      <c r="AH495" s="253"/>
    </row>
    <row r="496" spans="1:34" hidden="1">
      <c r="A496" s="283"/>
      <c r="B496" s="251" t="s">
        <v>453</v>
      </c>
      <c r="AH496" s="253"/>
    </row>
    <row r="497" spans="1:34" hidden="1">
      <c r="A497" s="283"/>
      <c r="B497" s="251" t="s">
        <v>454</v>
      </c>
      <c r="AH497" s="253"/>
    </row>
    <row r="498" spans="1:34" hidden="1">
      <c r="A498" s="283"/>
      <c r="B498" s="251" t="s">
        <v>455</v>
      </c>
      <c r="AH498" s="253"/>
    </row>
    <row r="499" spans="1:34" hidden="1">
      <c r="A499" s="283"/>
      <c r="B499" s="251" t="s">
        <v>456</v>
      </c>
      <c r="AH499" s="253"/>
    </row>
    <row r="500" spans="1:34" hidden="1">
      <c r="A500" s="283"/>
      <c r="B500" s="251" t="s">
        <v>457</v>
      </c>
      <c r="AH500" s="253"/>
    </row>
    <row r="501" spans="1:34" hidden="1">
      <c r="A501" s="283"/>
      <c r="B501" s="251" t="s">
        <v>458</v>
      </c>
      <c r="AH501" s="253"/>
    </row>
    <row r="502" spans="1:34" hidden="1">
      <c r="A502" s="283"/>
      <c r="B502" s="251" t="s">
        <v>459</v>
      </c>
      <c r="AH502" s="253"/>
    </row>
    <row r="503" spans="1:34" hidden="1">
      <c r="A503" s="283"/>
      <c r="B503" s="251" t="s">
        <v>460</v>
      </c>
      <c r="AH503" s="253"/>
    </row>
    <row r="504" spans="1:34" hidden="1">
      <c r="A504" s="283"/>
      <c r="B504" s="251" t="s">
        <v>461</v>
      </c>
      <c r="AH504" s="253"/>
    </row>
    <row r="505" spans="1:34" hidden="1">
      <c r="A505" s="283"/>
      <c r="B505" s="251" t="s">
        <v>462</v>
      </c>
      <c r="AH505" s="253"/>
    </row>
    <row r="506" spans="1:34" hidden="1">
      <c r="A506" s="283"/>
      <c r="B506" s="251" t="s">
        <v>463</v>
      </c>
      <c r="AH506" s="253"/>
    </row>
    <row r="507" spans="1:34" hidden="1">
      <c r="A507" s="283"/>
      <c r="B507" s="251" t="s">
        <v>464</v>
      </c>
      <c r="AH507" s="253"/>
    </row>
    <row r="508" spans="1:34" hidden="1">
      <c r="A508" s="283"/>
      <c r="B508" s="251" t="s">
        <v>465</v>
      </c>
      <c r="AH508" s="253"/>
    </row>
    <row r="509" spans="1:34" hidden="1">
      <c r="A509" s="283"/>
      <c r="B509" s="251" t="s">
        <v>466</v>
      </c>
      <c r="AH509" s="253"/>
    </row>
    <row r="510" spans="1:34" hidden="1">
      <c r="A510" s="283"/>
      <c r="B510" s="251" t="s">
        <v>467</v>
      </c>
      <c r="AH510" s="253"/>
    </row>
    <row r="511" spans="1:34" hidden="1">
      <c r="A511" s="283"/>
      <c r="AH511" s="253"/>
    </row>
    <row r="512" spans="1:34">
      <c r="A512" s="283"/>
      <c r="AH512" s="253"/>
    </row>
    <row r="513" spans="1:34">
      <c r="A513" s="283"/>
      <c r="B513" s="251" t="s">
        <v>639</v>
      </c>
      <c r="AH513" s="253"/>
    </row>
    <row r="514" spans="1:34">
      <c r="A514" s="283"/>
      <c r="AH514" s="253"/>
    </row>
    <row r="515" spans="1:34">
      <c r="A515" s="283"/>
      <c r="B515" s="251" t="s">
        <v>684</v>
      </c>
      <c r="AH515" s="253"/>
    </row>
    <row r="516" spans="1:34">
      <c r="A516" s="283"/>
      <c r="AH516" s="253"/>
    </row>
    <row r="517" spans="1:34">
      <c r="A517" s="283"/>
      <c r="C517" s="251" t="s">
        <v>607</v>
      </c>
      <c r="AH517" s="253"/>
    </row>
    <row r="518" spans="1:34">
      <c r="A518" s="283"/>
      <c r="C518" s="251" t="s">
        <v>608</v>
      </c>
      <c r="AH518" s="253"/>
    </row>
    <row r="519" spans="1:34">
      <c r="A519" s="283"/>
      <c r="C519" s="251" t="s">
        <v>609</v>
      </c>
      <c r="AH519" s="253"/>
    </row>
    <row r="520" spans="1:34">
      <c r="A520" s="283"/>
      <c r="D520" s="251" t="s">
        <v>610</v>
      </c>
      <c r="AH520" s="253"/>
    </row>
    <row r="521" spans="1:34">
      <c r="A521" s="283"/>
      <c r="E521" s="251" t="s">
        <v>611</v>
      </c>
      <c r="AH521" s="253"/>
    </row>
    <row r="522" spans="1:34">
      <c r="A522" s="283"/>
      <c r="C522" s="251" t="s">
        <v>612</v>
      </c>
      <c r="AH522" s="253"/>
    </row>
    <row r="523" spans="1:34">
      <c r="A523" s="283"/>
      <c r="D523" s="251" t="s">
        <v>613</v>
      </c>
      <c r="AH523" s="253"/>
    </row>
    <row r="524" spans="1:34">
      <c r="A524" s="283"/>
      <c r="E524" s="251" t="s">
        <v>614</v>
      </c>
      <c r="AH524" s="253"/>
    </row>
    <row r="525" spans="1:34">
      <c r="A525" s="283"/>
      <c r="D525" s="251" t="s">
        <v>610</v>
      </c>
      <c r="AH525" s="253"/>
    </row>
    <row r="526" spans="1:34">
      <c r="A526" s="283"/>
      <c r="E526" s="251" t="s">
        <v>615</v>
      </c>
      <c r="AH526" s="253"/>
    </row>
    <row r="527" spans="1:34">
      <c r="A527" s="283"/>
      <c r="C527" s="251" t="s">
        <v>616</v>
      </c>
      <c r="AH527" s="253"/>
    </row>
    <row r="528" spans="1:34">
      <c r="A528" s="283"/>
      <c r="C528" s="251" t="s">
        <v>632</v>
      </c>
      <c r="AH528" s="253"/>
    </row>
    <row r="529" spans="1:34">
      <c r="A529" s="283"/>
      <c r="C529" s="251" t="s">
        <v>633</v>
      </c>
      <c r="AH529" s="253"/>
    </row>
    <row r="530" spans="1:34">
      <c r="A530" s="283"/>
      <c r="C530" s="251" t="s">
        <v>634</v>
      </c>
      <c r="AH530" s="253"/>
    </row>
    <row r="531" spans="1:34">
      <c r="A531" s="283"/>
      <c r="C531" s="251" t="s">
        <v>635</v>
      </c>
      <c r="AH531" s="253"/>
    </row>
    <row r="532" spans="1:34">
      <c r="A532" s="283"/>
      <c r="C532" s="251" t="s">
        <v>636</v>
      </c>
      <c r="AH532" s="253"/>
    </row>
    <row r="533" spans="1:34">
      <c r="A533" s="283"/>
      <c r="C533" s="251" t="s">
        <v>637</v>
      </c>
      <c r="AH533" s="253"/>
    </row>
    <row r="534" spans="1:34">
      <c r="A534" s="283"/>
      <c r="C534" s="251" t="s">
        <v>638</v>
      </c>
      <c r="AH534" s="253"/>
    </row>
    <row r="535" spans="1:34">
      <c r="A535" s="283"/>
      <c r="C535" s="251" t="s">
        <v>617</v>
      </c>
      <c r="AH535" s="253"/>
    </row>
    <row r="536" spans="1:34">
      <c r="A536" s="283"/>
      <c r="C536" s="251" t="s">
        <v>618</v>
      </c>
      <c r="AH536" s="253"/>
    </row>
    <row r="537" spans="1:34">
      <c r="A537" s="283"/>
      <c r="AH537" s="253"/>
    </row>
    <row r="538" spans="1:34">
      <c r="A538" s="283"/>
      <c r="C538" s="251" t="s">
        <v>619</v>
      </c>
      <c r="AH538" s="253"/>
    </row>
    <row r="539" spans="1:34">
      <c r="A539" s="283"/>
      <c r="D539" s="251" t="s">
        <v>620</v>
      </c>
      <c r="AH539" s="253"/>
    </row>
    <row r="540" spans="1:34">
      <c r="A540" s="283"/>
      <c r="D540" s="251" t="s">
        <v>621</v>
      </c>
      <c r="AH540" s="253"/>
    </row>
    <row r="541" spans="1:34">
      <c r="A541" s="283"/>
      <c r="C541" s="251" t="s">
        <v>622</v>
      </c>
      <c r="AH541" s="253"/>
    </row>
    <row r="542" spans="1:34">
      <c r="A542" s="283"/>
      <c r="D542" s="251" t="s">
        <v>623</v>
      </c>
      <c r="AH542" s="253"/>
    </row>
    <row r="543" spans="1:34">
      <c r="A543" s="283"/>
      <c r="D543" s="251" t="s">
        <v>624</v>
      </c>
      <c r="AH543" s="253"/>
    </row>
    <row r="544" spans="1:34">
      <c r="A544" s="283"/>
      <c r="C544" s="251" t="s">
        <v>625</v>
      </c>
      <c r="AH544" s="253"/>
    </row>
    <row r="545" spans="1:34">
      <c r="A545" s="283"/>
      <c r="D545" s="251" t="s">
        <v>626</v>
      </c>
      <c r="AH545" s="253"/>
    </row>
    <row r="546" spans="1:34">
      <c r="A546" s="283"/>
      <c r="AH546" s="253"/>
    </row>
    <row r="547" spans="1:34">
      <c r="A547" s="283"/>
      <c r="C547" s="251" t="s">
        <v>627</v>
      </c>
      <c r="AH547" s="253"/>
    </row>
    <row r="548" spans="1:34">
      <c r="A548" s="283"/>
      <c r="C548" s="251" t="s">
        <v>628</v>
      </c>
      <c r="AH548" s="253"/>
    </row>
    <row r="549" spans="1:34">
      <c r="A549" s="283"/>
      <c r="C549" s="251" t="s">
        <v>629</v>
      </c>
      <c r="AH549" s="253"/>
    </row>
    <row r="550" spans="1:34">
      <c r="A550" s="283"/>
      <c r="C550" s="251" t="s">
        <v>630</v>
      </c>
      <c r="AH550" s="253"/>
    </row>
    <row r="551" spans="1:34">
      <c r="A551" s="283"/>
      <c r="AH551" s="253"/>
    </row>
    <row r="552" spans="1:34">
      <c r="A552" s="283"/>
      <c r="C552" s="251" t="s">
        <v>631</v>
      </c>
      <c r="AH552" s="253"/>
    </row>
    <row r="553" spans="1:34">
      <c r="A553" s="283"/>
      <c r="D553" s="251" t="s">
        <v>1188</v>
      </c>
      <c r="AH553" s="253"/>
    </row>
    <row r="554" spans="1:34">
      <c r="A554" s="283"/>
      <c r="M554" s="674"/>
      <c r="N554" s="674"/>
      <c r="O554" s="674"/>
      <c r="AH554" s="253"/>
    </row>
    <row r="555" spans="1:34">
      <c r="A555" s="283"/>
      <c r="AH555" s="253"/>
    </row>
    <row r="556" spans="1:34">
      <c r="A556" s="671" t="s">
        <v>43</v>
      </c>
      <c r="B556" s="672"/>
      <c r="C556" s="672"/>
      <c r="D556" s="672"/>
      <c r="E556" s="672"/>
      <c r="F556" s="672"/>
      <c r="G556" s="672"/>
      <c r="H556" s="672"/>
      <c r="I556" s="672"/>
      <c r="J556" s="672"/>
      <c r="K556" s="672"/>
      <c r="L556" s="672"/>
      <c r="M556" s="672"/>
      <c r="N556" s="672"/>
      <c r="O556" s="672"/>
      <c r="P556" s="672"/>
      <c r="Q556" s="672"/>
      <c r="R556" s="672"/>
      <c r="S556" s="672"/>
      <c r="T556" s="672"/>
      <c r="U556" s="672"/>
      <c r="V556" s="672"/>
      <c r="W556" s="672"/>
      <c r="X556" s="672"/>
      <c r="Y556" s="672"/>
      <c r="Z556" s="672"/>
      <c r="AA556" s="672"/>
      <c r="AB556" s="672"/>
      <c r="AC556" s="672"/>
      <c r="AD556" s="672"/>
      <c r="AE556" s="672"/>
      <c r="AF556" s="672"/>
      <c r="AG556" s="672"/>
      <c r="AH556" s="673"/>
    </row>
    <row r="557" spans="1:34">
      <c r="A557" s="283"/>
      <c r="M557" s="674"/>
      <c r="N557" s="674"/>
      <c r="O557" s="674"/>
      <c r="AH557" s="253"/>
    </row>
    <row r="558" spans="1:34">
      <c r="A558" s="283"/>
      <c r="B558" s="251" t="s">
        <v>44</v>
      </c>
      <c r="AH558" s="253"/>
    </row>
    <row r="559" spans="1:34">
      <c r="A559" s="287"/>
      <c r="B559" s="246"/>
      <c r="C559" s="246"/>
      <c r="D559" s="246"/>
      <c r="E559" s="246"/>
      <c r="F559" s="246"/>
      <c r="G559" s="246"/>
      <c r="H559" s="246"/>
      <c r="I559" s="246"/>
      <c r="J559" s="246"/>
      <c r="K559" s="246"/>
      <c r="L559" s="246"/>
      <c r="M559" s="670"/>
      <c r="N559" s="670"/>
      <c r="O559" s="670"/>
      <c r="P559" s="246"/>
      <c r="Q559" s="246"/>
      <c r="R559" s="246"/>
      <c r="S559" s="246"/>
      <c r="T559" s="246"/>
      <c r="U559" s="246"/>
      <c r="V559" s="246"/>
      <c r="W559" s="246"/>
      <c r="X559" s="246"/>
      <c r="Y559" s="246"/>
      <c r="Z559" s="246"/>
      <c r="AA559" s="246"/>
      <c r="AB559" s="246"/>
      <c r="AC559" s="246"/>
      <c r="AD559" s="246"/>
      <c r="AE559" s="246"/>
      <c r="AF559" s="246"/>
      <c r="AG559" s="246"/>
      <c r="AH559" s="249"/>
    </row>
  </sheetData>
  <autoFilter ref="A9:AP9" xr:uid="{4AF6A89D-69B6-4CA2-8959-BFEFB1ECA3C7}">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7" showButton="0"/>
    <filterColumn colId="28" showButton="0"/>
    <filterColumn colId="29" showButton="0"/>
    <filterColumn colId="30" showButton="0"/>
    <filterColumn colId="31" showButton="0"/>
    <filterColumn colId="32" showButton="0"/>
  </autoFilter>
  <mergeCells count="83">
    <mergeCell ref="AC1:AH1"/>
    <mergeCell ref="A4:B4"/>
    <mergeCell ref="M4:Q4"/>
    <mergeCell ref="R4:W4"/>
    <mergeCell ref="X4:AB4"/>
    <mergeCell ref="AC4:AH4"/>
    <mergeCell ref="A1:B1"/>
    <mergeCell ref="C1:D1"/>
    <mergeCell ref="E1:L4"/>
    <mergeCell ref="M1:Q1"/>
    <mergeCell ref="R1:W1"/>
    <mergeCell ref="X1:AB1"/>
    <mergeCell ref="M11:O11"/>
    <mergeCell ref="A6:B6"/>
    <mergeCell ref="C6:D6"/>
    <mergeCell ref="E6:F6"/>
    <mergeCell ref="G6:AH6"/>
    <mergeCell ref="A8:A9"/>
    <mergeCell ref="B8:C9"/>
    <mergeCell ref="D8:D9"/>
    <mergeCell ref="E8:E9"/>
    <mergeCell ref="F8:H8"/>
    <mergeCell ref="J8:J9"/>
    <mergeCell ref="K8:O8"/>
    <mergeCell ref="P8:AA9"/>
    <mergeCell ref="AB8:AH9"/>
    <mergeCell ref="M9:O9"/>
    <mergeCell ref="M10:O10"/>
    <mergeCell ref="M23:O23"/>
    <mergeCell ref="M12:O12"/>
    <mergeCell ref="M13:O13"/>
    <mergeCell ref="M14:O14"/>
    <mergeCell ref="M15:O15"/>
    <mergeCell ref="M16:O16"/>
    <mergeCell ref="M17:O17"/>
    <mergeCell ref="M18:O18"/>
    <mergeCell ref="M19:O19"/>
    <mergeCell ref="M20:O20"/>
    <mergeCell ref="M21:O21"/>
    <mergeCell ref="M22:O22"/>
    <mergeCell ref="M35:O35"/>
    <mergeCell ref="M24:O24"/>
    <mergeCell ref="M25:O25"/>
    <mergeCell ref="M26:O26"/>
    <mergeCell ref="M27:O27"/>
    <mergeCell ref="M28:O28"/>
    <mergeCell ref="M29:O29"/>
    <mergeCell ref="M30:O30"/>
    <mergeCell ref="M31:O31"/>
    <mergeCell ref="M32:O32"/>
    <mergeCell ref="M33:O33"/>
    <mergeCell ref="M34:O34"/>
    <mergeCell ref="A47:AH47"/>
    <mergeCell ref="M36:O36"/>
    <mergeCell ref="M37:O37"/>
    <mergeCell ref="M38:O38"/>
    <mergeCell ref="M39:O39"/>
    <mergeCell ref="M40:O40"/>
    <mergeCell ref="M41:O41"/>
    <mergeCell ref="M42:O42"/>
    <mergeCell ref="M43:O43"/>
    <mergeCell ref="M44:O44"/>
    <mergeCell ref="M45:O45"/>
    <mergeCell ref="M46:O46"/>
    <mergeCell ref="M179:O179"/>
    <mergeCell ref="M48:O48"/>
    <mergeCell ref="M49:O49"/>
    <mergeCell ref="M51:O51"/>
    <mergeCell ref="M98:O98"/>
    <mergeCell ref="M102:O102"/>
    <mergeCell ref="M164:O164"/>
    <mergeCell ref="M166:O166"/>
    <mergeCell ref="M168:O168"/>
    <mergeCell ref="M170:O170"/>
    <mergeCell ref="M173:O173"/>
    <mergeCell ref="M176:O176"/>
    <mergeCell ref="M559:O559"/>
    <mergeCell ref="A184:AH184"/>
    <mergeCell ref="M185:O185"/>
    <mergeCell ref="M186:O186"/>
    <mergeCell ref="M554:O554"/>
    <mergeCell ref="A556:AH556"/>
    <mergeCell ref="M557:O557"/>
  </mergeCells>
  <phoneticPr fontId="15"/>
  <dataValidations count="1">
    <dataValidation imeMode="on" allowBlank="1" showInputMessage="1" showErrorMessage="1" sqref="C557:C559 C102:C183 C48:C99 C185:C555 C10:C46" xr:uid="{1F49D487-185C-4AFB-ADD7-CB204B53CC26}"/>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CC1B7-AB71-4844-9B9D-4B16E385FED1}">
  <sheetPr>
    <pageSetUpPr fitToPage="1"/>
  </sheetPr>
  <dimension ref="A1:AX235"/>
  <sheetViews>
    <sheetView showGridLines="0" view="pageBreakPreview" zoomScale="85" zoomScaleNormal="70" zoomScaleSheetLayoutView="85" workbookViewId="0">
      <pane ySplit="6" topLeftCell="A7" activePane="bottomLeft" state="frozen"/>
      <selection activeCell="P19" sqref="P19:AA32"/>
      <selection pane="bottomLeft" activeCell="P19" sqref="P19:AA32"/>
    </sheetView>
  </sheetViews>
  <sheetFormatPr defaultColWidth="9" defaultRowHeight="15.75"/>
  <cols>
    <col min="1" max="1" width="4.375" style="125" customWidth="1"/>
    <col min="2" max="2" width="29.75" style="125" customWidth="1"/>
    <col min="3" max="3" width="19.375" style="125" customWidth="1"/>
    <col min="4" max="5" width="9" style="125" customWidth="1"/>
    <col min="6" max="6" width="5.875" style="125" customWidth="1"/>
    <col min="7" max="7" width="3.875" style="125" customWidth="1"/>
    <col min="8" max="8" width="9" style="125" customWidth="1"/>
    <col min="9" max="9" width="1.125" style="125" customWidth="1"/>
    <col min="10" max="10" width="9" style="125" customWidth="1"/>
    <col min="11" max="11" width="11.75" style="125" customWidth="1"/>
    <col min="12" max="12" width="9" style="125" customWidth="1"/>
    <col min="13" max="34" width="3.125" style="125" customWidth="1"/>
    <col min="35" max="35" width="9" style="125"/>
    <col min="36" max="36" width="35.125" style="125" customWidth="1"/>
    <col min="37" max="37" width="27" style="125" customWidth="1"/>
    <col min="38" max="38" width="64.875" style="125" customWidth="1"/>
    <col min="39" max="16384" width="9" style="125"/>
  </cols>
  <sheetData>
    <row r="1" spans="1:38" ht="15.75" customHeight="1">
      <c r="A1" s="520"/>
      <c r="B1" s="520"/>
      <c r="C1" s="522"/>
      <c r="D1" s="522"/>
      <c r="E1" s="523"/>
      <c r="F1" s="523"/>
      <c r="G1" s="523"/>
      <c r="H1" s="523"/>
      <c r="I1" s="523"/>
      <c r="J1" s="523"/>
      <c r="K1" s="523"/>
      <c r="L1" s="523"/>
      <c r="M1" s="520"/>
      <c r="N1" s="520"/>
      <c r="O1" s="520"/>
      <c r="P1" s="520"/>
      <c r="Q1" s="520"/>
      <c r="R1" s="524"/>
      <c r="S1" s="519"/>
      <c r="T1" s="519"/>
      <c r="U1" s="519"/>
      <c r="V1" s="519"/>
      <c r="W1" s="519"/>
      <c r="X1" s="520"/>
      <c r="Y1" s="520"/>
      <c r="Z1" s="520"/>
      <c r="AA1" s="520"/>
      <c r="AB1" s="520"/>
      <c r="AC1" s="519"/>
      <c r="AD1" s="519"/>
      <c r="AE1" s="519"/>
      <c r="AF1" s="519"/>
      <c r="AG1" s="519"/>
      <c r="AH1" s="519"/>
    </row>
    <row r="2" spans="1:38" ht="15.75" customHeight="1">
      <c r="A2" s="126"/>
      <c r="B2" s="126"/>
      <c r="C2" s="127"/>
      <c r="D2" s="127"/>
      <c r="E2" s="523"/>
      <c r="F2" s="523"/>
      <c r="G2" s="523"/>
      <c r="H2" s="523"/>
      <c r="I2" s="523"/>
      <c r="J2" s="523"/>
      <c r="K2" s="523"/>
      <c r="L2" s="523"/>
      <c r="M2" s="126"/>
      <c r="N2" s="126"/>
      <c r="O2" s="126"/>
      <c r="P2" s="126"/>
      <c r="Q2" s="126"/>
      <c r="R2" s="128"/>
      <c r="S2" s="129"/>
      <c r="T2" s="129"/>
      <c r="U2" s="129"/>
      <c r="V2" s="129"/>
      <c r="W2" s="129"/>
      <c r="X2" s="126"/>
      <c r="Y2" s="126"/>
      <c r="Z2" s="126"/>
      <c r="AA2" s="126"/>
      <c r="AB2" s="126"/>
      <c r="AC2" s="129"/>
      <c r="AD2" s="129"/>
      <c r="AE2" s="129"/>
      <c r="AF2" s="129"/>
      <c r="AG2" s="129"/>
      <c r="AH2" s="129"/>
    </row>
    <row r="3" spans="1:38" ht="15.75" customHeight="1">
      <c r="A3" s="126"/>
      <c r="B3" s="126"/>
      <c r="C3" s="127"/>
      <c r="D3" s="127"/>
      <c r="E3" s="523"/>
      <c r="F3" s="523"/>
      <c r="G3" s="523"/>
      <c r="H3" s="523"/>
      <c r="I3" s="523"/>
      <c r="J3" s="523"/>
      <c r="K3" s="523"/>
      <c r="L3" s="523"/>
      <c r="M3" s="126"/>
      <c r="N3" s="126"/>
      <c r="O3" s="126"/>
      <c r="P3" s="126"/>
      <c r="Q3" s="126"/>
      <c r="R3" s="128"/>
      <c r="S3" s="129"/>
      <c r="T3" s="129"/>
      <c r="U3" s="129"/>
      <c r="V3" s="129"/>
      <c r="W3" s="129"/>
      <c r="X3" s="126"/>
      <c r="Y3" s="126"/>
      <c r="Z3" s="126"/>
      <c r="AA3" s="126"/>
      <c r="AB3" s="126"/>
      <c r="AC3" s="129"/>
      <c r="AD3" s="129"/>
      <c r="AE3" s="129"/>
      <c r="AF3" s="129"/>
      <c r="AG3" s="129"/>
      <c r="AH3" s="129"/>
    </row>
    <row r="4" spans="1:38" ht="15.75" customHeight="1">
      <c r="A4" s="520"/>
      <c r="B4" s="520"/>
      <c r="C4" s="129"/>
      <c r="E4" s="523"/>
      <c r="F4" s="523"/>
      <c r="G4" s="523"/>
      <c r="H4" s="523"/>
      <c r="I4" s="523"/>
      <c r="J4" s="523"/>
      <c r="K4" s="523"/>
      <c r="L4" s="523"/>
      <c r="M4" s="520"/>
      <c r="N4" s="520"/>
      <c r="O4" s="520"/>
      <c r="P4" s="520"/>
      <c r="Q4" s="520"/>
      <c r="R4" s="521"/>
      <c r="S4" s="519"/>
      <c r="T4" s="519"/>
      <c r="U4" s="519"/>
      <c r="V4" s="519"/>
      <c r="W4" s="519"/>
      <c r="X4" s="520"/>
      <c r="Y4" s="520"/>
      <c r="Z4" s="520"/>
      <c r="AA4" s="520"/>
      <c r="AB4" s="520"/>
      <c r="AC4" s="519"/>
      <c r="AD4" s="519"/>
      <c r="AE4" s="519"/>
      <c r="AF4" s="519"/>
      <c r="AG4" s="519"/>
      <c r="AH4" s="519"/>
    </row>
    <row r="5" spans="1:38" ht="5.25" customHeight="1"/>
    <row r="6" spans="1:38">
      <c r="A6" s="525" t="s">
        <v>20</v>
      </c>
      <c r="B6" s="526"/>
      <c r="C6" s="527" t="s">
        <v>721</v>
      </c>
      <c r="D6" s="528"/>
      <c r="E6" s="529" t="s">
        <v>21</v>
      </c>
      <c r="F6" s="529"/>
      <c r="G6" s="530" t="s">
        <v>720</v>
      </c>
      <c r="H6" s="531"/>
      <c r="I6" s="531"/>
      <c r="J6" s="531"/>
      <c r="K6" s="531"/>
      <c r="L6" s="531"/>
      <c r="M6" s="531"/>
      <c r="N6" s="531"/>
      <c r="O6" s="531"/>
      <c r="P6" s="531"/>
      <c r="Q6" s="531"/>
      <c r="R6" s="531"/>
      <c r="S6" s="531"/>
      <c r="T6" s="531"/>
      <c r="U6" s="531"/>
      <c r="V6" s="531"/>
      <c r="W6" s="531"/>
      <c r="X6" s="531"/>
      <c r="Y6" s="531"/>
      <c r="Z6" s="531"/>
      <c r="AA6" s="531"/>
      <c r="AB6" s="531"/>
      <c r="AC6" s="531"/>
      <c r="AD6" s="531"/>
      <c r="AE6" s="531"/>
      <c r="AF6" s="531"/>
      <c r="AG6" s="531"/>
      <c r="AH6" s="532"/>
    </row>
    <row r="7" spans="1:38" ht="5.25" customHeight="1"/>
    <row r="8" spans="1:38">
      <c r="A8" s="533" t="s">
        <v>22</v>
      </c>
      <c r="B8" s="533" t="s">
        <v>23</v>
      </c>
      <c r="C8" s="533"/>
      <c r="D8" s="533" t="s">
        <v>24</v>
      </c>
      <c r="E8" s="535" t="s">
        <v>25</v>
      </c>
      <c r="F8" s="533" t="s">
        <v>26</v>
      </c>
      <c r="G8" s="533"/>
      <c r="H8" s="533"/>
      <c r="I8" s="130"/>
      <c r="J8" s="537" t="s">
        <v>27</v>
      </c>
      <c r="K8" s="533" t="s">
        <v>28</v>
      </c>
      <c r="L8" s="533"/>
      <c r="M8" s="533"/>
      <c r="N8" s="533"/>
      <c r="O8" s="533"/>
      <c r="P8" s="540" t="s">
        <v>29</v>
      </c>
      <c r="Q8" s="540"/>
      <c r="R8" s="540"/>
      <c r="S8" s="540"/>
      <c r="T8" s="540"/>
      <c r="U8" s="540"/>
      <c r="V8" s="540"/>
      <c r="W8" s="540"/>
      <c r="X8" s="540"/>
      <c r="Y8" s="540"/>
      <c r="Z8" s="540"/>
      <c r="AA8" s="540"/>
      <c r="AB8" s="540" t="s">
        <v>30</v>
      </c>
      <c r="AC8" s="540"/>
      <c r="AD8" s="540"/>
      <c r="AE8" s="540"/>
      <c r="AF8" s="540"/>
      <c r="AG8" s="540"/>
      <c r="AH8" s="540"/>
    </row>
    <row r="9" spans="1:38" ht="16.5" thickBot="1">
      <c r="A9" s="534"/>
      <c r="B9" s="534"/>
      <c r="C9" s="534"/>
      <c r="D9" s="534"/>
      <c r="E9" s="536"/>
      <c r="F9" s="131" t="s">
        <v>31</v>
      </c>
      <c r="G9" s="132" t="s">
        <v>32</v>
      </c>
      <c r="H9" s="133" t="s">
        <v>33</v>
      </c>
      <c r="I9" s="134"/>
      <c r="J9" s="538"/>
      <c r="K9" s="131" t="s">
        <v>34</v>
      </c>
      <c r="L9" s="132" t="s">
        <v>35</v>
      </c>
      <c r="M9" s="542" t="s">
        <v>36</v>
      </c>
      <c r="N9" s="542"/>
      <c r="O9" s="543"/>
      <c r="P9" s="541"/>
      <c r="Q9" s="541"/>
      <c r="R9" s="541"/>
      <c r="S9" s="541"/>
      <c r="T9" s="541"/>
      <c r="U9" s="541"/>
      <c r="V9" s="541"/>
      <c r="W9" s="541"/>
      <c r="X9" s="541"/>
      <c r="Y9" s="541"/>
      <c r="Z9" s="541"/>
      <c r="AA9" s="541"/>
      <c r="AB9" s="541"/>
      <c r="AC9" s="541"/>
      <c r="AD9" s="541"/>
      <c r="AE9" s="541"/>
      <c r="AF9" s="541"/>
      <c r="AG9" s="541"/>
      <c r="AH9" s="541"/>
    </row>
    <row r="10" spans="1:38" ht="16.5" thickTop="1">
      <c r="A10" s="188">
        <f t="shared" ref="A10:A73" si="0">+IF(C10&lt;&gt;"",ROW()-9,"")</f>
        <v>1</v>
      </c>
      <c r="B10" s="185" t="s">
        <v>227</v>
      </c>
      <c r="C10" s="185" t="s">
        <v>719</v>
      </c>
      <c r="D10" s="186" t="b">
        <v>0</v>
      </c>
      <c r="E10" s="187">
        <v>1</v>
      </c>
      <c r="F10" s="187">
        <v>7</v>
      </c>
      <c r="G10" s="187">
        <v>0</v>
      </c>
      <c r="H10" s="187">
        <v>0</v>
      </c>
      <c r="I10" s="188"/>
      <c r="J10" s="189" t="s">
        <v>129</v>
      </c>
      <c r="K10" s="137"/>
      <c r="L10" s="137"/>
      <c r="M10" s="539"/>
      <c r="N10" s="539"/>
      <c r="O10" s="539"/>
      <c r="P10" s="138"/>
      <c r="Q10" s="138"/>
      <c r="R10" s="138"/>
      <c r="S10" s="138"/>
      <c r="T10" s="138"/>
      <c r="U10" s="138"/>
      <c r="V10" s="138"/>
      <c r="W10" s="138"/>
      <c r="X10" s="138"/>
      <c r="Y10" s="138"/>
      <c r="Z10" s="138"/>
      <c r="AA10" s="138"/>
      <c r="AB10" s="139"/>
      <c r="AC10" s="138"/>
      <c r="AD10" s="138"/>
      <c r="AE10" s="138"/>
      <c r="AF10" s="138"/>
      <c r="AG10" s="138"/>
      <c r="AH10" s="140"/>
      <c r="AJ10" s="125" t="s">
        <v>761</v>
      </c>
      <c r="AK10" s="125" t="s">
        <v>719</v>
      </c>
    </row>
    <row r="11" spans="1:38">
      <c r="A11" s="187">
        <f t="shared" si="0"/>
        <v>2</v>
      </c>
      <c r="B11" s="187" t="s">
        <v>228</v>
      </c>
      <c r="C11" s="187" t="s">
        <v>762</v>
      </c>
      <c r="D11" s="186" t="b">
        <v>0</v>
      </c>
      <c r="E11" s="187">
        <v>0</v>
      </c>
      <c r="F11" s="187">
        <v>7</v>
      </c>
      <c r="G11" s="187">
        <v>0</v>
      </c>
      <c r="H11" s="187">
        <v>0</v>
      </c>
      <c r="I11" s="188"/>
      <c r="J11" s="189" t="s">
        <v>129</v>
      </c>
      <c r="K11" s="137"/>
      <c r="L11" s="137"/>
      <c r="M11" s="539"/>
      <c r="N11" s="539"/>
      <c r="O11" s="539"/>
      <c r="P11" s="135"/>
      <c r="Q11" s="138"/>
      <c r="R11" s="138"/>
      <c r="S11" s="138"/>
      <c r="T11" s="138"/>
      <c r="U11" s="138"/>
      <c r="V11" s="138"/>
      <c r="W11" s="138"/>
      <c r="X11" s="138"/>
      <c r="Y11" s="138"/>
      <c r="Z11" s="138"/>
      <c r="AA11" s="138"/>
      <c r="AB11" s="135"/>
      <c r="AC11" s="138"/>
      <c r="AD11" s="138"/>
      <c r="AE11" s="138"/>
      <c r="AF11" s="138"/>
      <c r="AG11" s="138"/>
      <c r="AH11" s="140"/>
      <c r="AJ11" s="125" t="s">
        <v>761</v>
      </c>
      <c r="AK11" s="125" t="s">
        <v>762</v>
      </c>
    </row>
    <row r="12" spans="1:38">
      <c r="A12" s="187">
        <f t="shared" si="0"/>
        <v>3</v>
      </c>
      <c r="B12" s="187" t="s">
        <v>1011</v>
      </c>
      <c r="C12" s="187" t="s">
        <v>763</v>
      </c>
      <c r="D12" s="186" t="b">
        <v>0</v>
      </c>
      <c r="E12" s="187">
        <v>0</v>
      </c>
      <c r="F12" s="187">
        <v>7</v>
      </c>
      <c r="G12" s="187">
        <v>0</v>
      </c>
      <c r="H12" s="187">
        <v>0</v>
      </c>
      <c r="I12" s="188"/>
      <c r="J12" s="189" t="s">
        <v>129</v>
      </c>
      <c r="K12" s="137"/>
      <c r="L12" s="137"/>
      <c r="M12" s="539"/>
      <c r="N12" s="539"/>
      <c r="O12" s="539"/>
      <c r="P12" s="135"/>
      <c r="Q12" s="138"/>
      <c r="R12" s="138"/>
      <c r="S12" s="138"/>
      <c r="T12" s="138"/>
      <c r="U12" s="138"/>
      <c r="V12" s="138"/>
      <c r="W12" s="138"/>
      <c r="X12" s="138"/>
      <c r="Y12" s="138"/>
      <c r="Z12" s="138"/>
      <c r="AA12" s="138"/>
      <c r="AB12" s="135"/>
      <c r="AC12" s="138"/>
      <c r="AD12" s="138"/>
      <c r="AE12" s="138"/>
      <c r="AF12" s="138"/>
      <c r="AG12" s="138"/>
      <c r="AH12" s="140"/>
      <c r="AJ12" s="125" t="s">
        <v>764</v>
      </c>
      <c r="AK12" s="125" t="s">
        <v>763</v>
      </c>
    </row>
    <row r="13" spans="1:38" ht="31.5">
      <c r="A13" s="187">
        <f t="shared" si="0"/>
        <v>4</v>
      </c>
      <c r="B13" s="187" t="s">
        <v>1018</v>
      </c>
      <c r="C13" s="187" t="s">
        <v>765</v>
      </c>
      <c r="D13" s="186" t="b">
        <v>0</v>
      </c>
      <c r="E13" s="187">
        <v>0</v>
      </c>
      <c r="F13" s="187">
        <v>2</v>
      </c>
      <c r="G13" s="187">
        <v>0</v>
      </c>
      <c r="H13" s="187">
        <v>0</v>
      </c>
      <c r="I13" s="188"/>
      <c r="J13" s="189" t="s">
        <v>1017</v>
      </c>
      <c r="K13" s="137"/>
      <c r="L13" s="137"/>
      <c r="M13" s="539"/>
      <c r="N13" s="539"/>
      <c r="O13" s="539"/>
      <c r="P13" s="135" t="s">
        <v>1331</v>
      </c>
      <c r="Q13" s="138"/>
      <c r="R13" s="138"/>
      <c r="S13" s="138"/>
      <c r="T13" s="138"/>
      <c r="U13" s="138"/>
      <c r="V13" s="138"/>
      <c r="W13" s="138"/>
      <c r="X13" s="138"/>
      <c r="Y13" s="138"/>
      <c r="Z13" s="138"/>
      <c r="AA13" s="138"/>
      <c r="AB13" s="135"/>
      <c r="AC13" s="138"/>
      <c r="AD13" s="138"/>
      <c r="AE13" s="138"/>
      <c r="AF13" s="138"/>
      <c r="AG13" s="138"/>
      <c r="AH13" s="140"/>
      <c r="AJ13" s="141" t="s">
        <v>766</v>
      </c>
      <c r="AK13" s="141" t="s">
        <v>767</v>
      </c>
      <c r="AL13" s="141" t="s">
        <v>768</v>
      </c>
    </row>
    <row r="14" spans="1:38">
      <c r="A14" s="187">
        <f t="shared" si="0"/>
        <v>5</v>
      </c>
      <c r="B14" s="187" t="s">
        <v>1063</v>
      </c>
      <c r="C14" s="187" t="s">
        <v>769</v>
      </c>
      <c r="D14" s="186" t="b">
        <v>1</v>
      </c>
      <c r="E14" s="187">
        <v>0</v>
      </c>
      <c r="F14" s="187">
        <v>100</v>
      </c>
      <c r="G14" s="187">
        <v>0</v>
      </c>
      <c r="H14" s="187">
        <v>0</v>
      </c>
      <c r="I14" s="188"/>
      <c r="J14" s="189" t="s">
        <v>131</v>
      </c>
      <c r="K14" s="137"/>
      <c r="L14" s="137"/>
      <c r="M14" s="539"/>
      <c r="N14" s="539"/>
      <c r="O14" s="539"/>
      <c r="P14" s="135"/>
      <c r="Q14" s="138"/>
      <c r="R14" s="138"/>
      <c r="S14" s="138"/>
      <c r="T14" s="138"/>
      <c r="U14" s="138"/>
      <c r="V14" s="138"/>
      <c r="W14" s="138"/>
      <c r="X14" s="138"/>
      <c r="Y14" s="138"/>
      <c r="Z14" s="138"/>
      <c r="AA14" s="138"/>
      <c r="AB14" s="135"/>
      <c r="AC14" s="138"/>
      <c r="AD14" s="138"/>
      <c r="AE14" s="138"/>
      <c r="AF14" s="138"/>
      <c r="AG14" s="138"/>
      <c r="AH14" s="140"/>
      <c r="AJ14" s="125" t="s">
        <v>770</v>
      </c>
      <c r="AK14" s="125" t="s">
        <v>771</v>
      </c>
    </row>
    <row r="15" spans="1:38" ht="31.5">
      <c r="A15" s="187">
        <f t="shared" si="0"/>
        <v>6</v>
      </c>
      <c r="B15" s="187" t="s">
        <v>1019</v>
      </c>
      <c r="C15" s="187" t="s">
        <v>772</v>
      </c>
      <c r="D15" s="186" t="b">
        <v>1</v>
      </c>
      <c r="E15" s="187">
        <v>0</v>
      </c>
      <c r="F15" s="187">
        <v>2</v>
      </c>
      <c r="G15" s="187">
        <v>0</v>
      </c>
      <c r="H15" s="187">
        <v>0</v>
      </c>
      <c r="I15" s="188"/>
      <c r="J15" s="189" t="s">
        <v>1017</v>
      </c>
      <c r="K15" s="137"/>
      <c r="L15" s="137"/>
      <c r="M15" s="539"/>
      <c r="N15" s="539"/>
      <c r="O15" s="539"/>
      <c r="P15" s="135" t="s">
        <v>1331</v>
      </c>
      <c r="Q15" s="138"/>
      <c r="R15" s="138"/>
      <c r="S15" s="138"/>
      <c r="T15" s="138"/>
      <c r="U15" s="138"/>
      <c r="V15" s="138"/>
      <c r="W15" s="138"/>
      <c r="X15" s="138"/>
      <c r="Y15" s="138"/>
      <c r="Z15" s="138"/>
      <c r="AA15" s="138"/>
      <c r="AB15" s="135"/>
      <c r="AC15" s="138"/>
      <c r="AD15" s="138"/>
      <c r="AE15" s="138"/>
      <c r="AF15" s="138"/>
      <c r="AG15" s="138"/>
      <c r="AH15" s="140"/>
      <c r="AJ15" s="141" t="s">
        <v>766</v>
      </c>
      <c r="AK15" s="141" t="s">
        <v>773</v>
      </c>
      <c r="AL15" s="141" t="s">
        <v>774</v>
      </c>
    </row>
    <row r="16" spans="1:38">
      <c r="A16" s="187">
        <f t="shared" si="0"/>
        <v>7</v>
      </c>
      <c r="B16" s="187" t="s">
        <v>1064</v>
      </c>
      <c r="C16" s="187" t="s">
        <v>775</v>
      </c>
      <c r="D16" s="186" t="b">
        <v>1</v>
      </c>
      <c r="E16" s="187">
        <v>0</v>
      </c>
      <c r="F16" s="187">
        <v>100</v>
      </c>
      <c r="G16" s="187">
        <v>0</v>
      </c>
      <c r="H16" s="187">
        <v>0</v>
      </c>
      <c r="I16" s="188"/>
      <c r="J16" s="189" t="s">
        <v>131</v>
      </c>
      <c r="K16" s="137"/>
      <c r="L16" s="137"/>
      <c r="M16" s="539"/>
      <c r="N16" s="539"/>
      <c r="O16" s="539"/>
      <c r="P16" s="135"/>
      <c r="Q16" s="138"/>
      <c r="R16" s="138"/>
      <c r="S16" s="138"/>
      <c r="T16" s="138"/>
      <c r="U16" s="138"/>
      <c r="V16" s="138"/>
      <c r="W16" s="138"/>
      <c r="X16" s="138"/>
      <c r="Y16" s="138"/>
      <c r="Z16" s="138"/>
      <c r="AA16" s="138"/>
      <c r="AB16" s="135"/>
      <c r="AC16" s="138"/>
      <c r="AD16" s="138"/>
      <c r="AE16" s="138"/>
      <c r="AF16" s="138"/>
      <c r="AG16" s="138"/>
      <c r="AH16" s="140"/>
      <c r="AJ16" s="125" t="s">
        <v>776</v>
      </c>
      <c r="AK16" s="125" t="s">
        <v>771</v>
      </c>
    </row>
    <row r="17" spans="1:37">
      <c r="A17" s="187">
        <f t="shared" si="0"/>
        <v>8</v>
      </c>
      <c r="B17" s="198" t="s">
        <v>1082</v>
      </c>
      <c r="C17" s="187" t="s">
        <v>777</v>
      </c>
      <c r="D17" s="186" t="b">
        <v>1</v>
      </c>
      <c r="E17" s="187">
        <v>0</v>
      </c>
      <c r="F17" s="187">
        <v>1</v>
      </c>
      <c r="G17" s="187">
        <v>0</v>
      </c>
      <c r="H17" s="187">
        <v>0</v>
      </c>
      <c r="I17" s="188"/>
      <c r="J17" s="189" t="s">
        <v>1017</v>
      </c>
      <c r="K17" s="179"/>
      <c r="L17" s="137"/>
      <c r="M17" s="539"/>
      <c r="N17" s="539"/>
      <c r="O17" s="539"/>
      <c r="P17" s="135"/>
      <c r="Q17" s="138"/>
      <c r="R17" s="138"/>
      <c r="S17" s="138"/>
      <c r="T17" s="138"/>
      <c r="U17" s="138"/>
      <c r="V17" s="138"/>
      <c r="W17" s="138"/>
      <c r="X17" s="138"/>
      <c r="Y17" s="138"/>
      <c r="Z17" s="138"/>
      <c r="AA17" s="138"/>
      <c r="AB17" s="135"/>
      <c r="AC17" s="138"/>
      <c r="AD17" s="138"/>
      <c r="AE17" s="138"/>
      <c r="AF17" s="138"/>
      <c r="AG17" s="138"/>
      <c r="AH17" s="140"/>
      <c r="AJ17" s="142" t="s">
        <v>778</v>
      </c>
      <c r="AK17" s="142" t="s">
        <v>779</v>
      </c>
    </row>
    <row r="18" spans="1:37">
      <c r="A18" s="187">
        <f t="shared" si="0"/>
        <v>9</v>
      </c>
      <c r="B18" s="198" t="s">
        <v>1084</v>
      </c>
      <c r="C18" s="187" t="s">
        <v>780</v>
      </c>
      <c r="D18" s="186" t="b">
        <v>1</v>
      </c>
      <c r="E18" s="187">
        <v>0</v>
      </c>
      <c r="F18" s="187">
        <v>100</v>
      </c>
      <c r="G18" s="187">
        <v>0</v>
      </c>
      <c r="H18" s="187">
        <v>0</v>
      </c>
      <c r="I18" s="188"/>
      <c r="J18" s="189" t="s">
        <v>131</v>
      </c>
      <c r="K18" s="137"/>
      <c r="L18" s="137"/>
      <c r="M18" s="539"/>
      <c r="N18" s="539"/>
      <c r="O18" s="539"/>
      <c r="P18" s="135"/>
      <c r="Q18" s="138"/>
      <c r="R18" s="138"/>
      <c r="S18" s="138"/>
      <c r="T18" s="138"/>
      <c r="U18" s="138"/>
      <c r="V18" s="138"/>
      <c r="W18" s="138"/>
      <c r="X18" s="138"/>
      <c r="Y18" s="138"/>
      <c r="Z18" s="138"/>
      <c r="AA18" s="138"/>
      <c r="AB18" s="135"/>
      <c r="AC18" s="138"/>
      <c r="AD18" s="138"/>
      <c r="AE18" s="138"/>
      <c r="AF18" s="138"/>
      <c r="AG18" s="138"/>
      <c r="AH18" s="140"/>
      <c r="AJ18" s="125" t="s">
        <v>781</v>
      </c>
      <c r="AK18" s="125" t="s">
        <v>771</v>
      </c>
    </row>
    <row r="19" spans="1:37">
      <c r="A19" s="187">
        <f t="shared" si="0"/>
        <v>10</v>
      </c>
      <c r="B19" s="198" t="s">
        <v>1083</v>
      </c>
      <c r="C19" s="187" t="s">
        <v>782</v>
      </c>
      <c r="D19" s="186" t="b">
        <v>1</v>
      </c>
      <c r="E19" s="187">
        <v>0</v>
      </c>
      <c r="F19" s="187">
        <v>1</v>
      </c>
      <c r="G19" s="187">
        <v>0</v>
      </c>
      <c r="H19" s="187">
        <v>0</v>
      </c>
      <c r="I19" s="188"/>
      <c r="J19" s="189" t="s">
        <v>1017</v>
      </c>
      <c r="K19" s="137"/>
      <c r="L19" s="137"/>
      <c r="M19" s="539"/>
      <c r="N19" s="539"/>
      <c r="O19" s="539"/>
      <c r="P19" s="135"/>
      <c r="Q19" s="138"/>
      <c r="R19" s="138"/>
      <c r="S19" s="138"/>
      <c r="T19" s="138"/>
      <c r="U19" s="138"/>
      <c r="V19" s="138"/>
      <c r="W19" s="138"/>
      <c r="X19" s="138"/>
      <c r="Y19" s="138"/>
      <c r="Z19" s="138"/>
      <c r="AA19" s="138"/>
      <c r="AB19" s="135"/>
      <c r="AC19" s="138"/>
      <c r="AD19" s="138"/>
      <c r="AE19" s="138"/>
      <c r="AF19" s="138"/>
      <c r="AG19" s="138"/>
      <c r="AH19" s="140"/>
      <c r="AJ19" s="142" t="s">
        <v>778</v>
      </c>
      <c r="AK19" s="142" t="s">
        <v>783</v>
      </c>
    </row>
    <row r="20" spans="1:37">
      <c r="A20" s="187">
        <f t="shared" si="0"/>
        <v>11</v>
      </c>
      <c r="B20" s="198" t="s">
        <v>1085</v>
      </c>
      <c r="C20" s="187" t="s">
        <v>784</v>
      </c>
      <c r="D20" s="186" t="b">
        <v>1</v>
      </c>
      <c r="E20" s="187">
        <v>0</v>
      </c>
      <c r="F20" s="187">
        <v>100</v>
      </c>
      <c r="G20" s="187">
        <v>0</v>
      </c>
      <c r="H20" s="187">
        <v>0</v>
      </c>
      <c r="I20" s="188"/>
      <c r="J20" s="189" t="s">
        <v>131</v>
      </c>
      <c r="K20" s="137"/>
      <c r="L20" s="137"/>
      <c r="M20" s="539"/>
      <c r="N20" s="539"/>
      <c r="O20" s="539"/>
      <c r="P20" s="135"/>
      <c r="Q20" s="138"/>
      <c r="R20" s="138"/>
      <c r="S20" s="138"/>
      <c r="T20" s="138"/>
      <c r="U20" s="138"/>
      <c r="V20" s="138"/>
      <c r="W20" s="138"/>
      <c r="X20" s="138"/>
      <c r="Y20" s="138"/>
      <c r="Z20" s="138"/>
      <c r="AA20" s="138"/>
      <c r="AB20" s="135"/>
      <c r="AC20" s="138"/>
      <c r="AD20" s="138"/>
      <c r="AE20" s="138"/>
      <c r="AF20" s="138"/>
      <c r="AG20" s="138"/>
      <c r="AH20" s="140"/>
      <c r="AJ20" s="125" t="s">
        <v>785</v>
      </c>
      <c r="AK20" s="125" t="s">
        <v>771</v>
      </c>
    </row>
    <row r="21" spans="1:37">
      <c r="A21" s="187">
        <f t="shared" si="0"/>
        <v>12</v>
      </c>
      <c r="B21" s="187" t="s">
        <v>230</v>
      </c>
      <c r="C21" s="187" t="s">
        <v>572</v>
      </c>
      <c r="D21" s="186" t="b">
        <v>1</v>
      </c>
      <c r="E21" s="187">
        <v>0</v>
      </c>
      <c r="F21" s="187">
        <v>8</v>
      </c>
      <c r="G21" s="187">
        <v>0</v>
      </c>
      <c r="H21" s="187">
        <v>0</v>
      </c>
      <c r="I21" s="188"/>
      <c r="J21" s="189" t="s">
        <v>129</v>
      </c>
      <c r="K21" s="137"/>
      <c r="L21" s="137"/>
      <c r="M21" s="539"/>
      <c r="N21" s="539"/>
      <c r="O21" s="539"/>
      <c r="P21" s="135"/>
      <c r="Q21" s="138"/>
      <c r="R21" s="138"/>
      <c r="S21" s="138"/>
      <c r="T21" s="138"/>
      <c r="U21" s="138"/>
      <c r="V21" s="138"/>
      <c r="W21" s="138"/>
      <c r="X21" s="138"/>
      <c r="Y21" s="138"/>
      <c r="Z21" s="138"/>
      <c r="AA21" s="138"/>
      <c r="AB21" s="135"/>
      <c r="AC21" s="138"/>
      <c r="AD21" s="138"/>
      <c r="AE21" s="138"/>
      <c r="AF21" s="138"/>
      <c r="AG21" s="138"/>
      <c r="AH21" s="140"/>
      <c r="AJ21" s="125" t="s">
        <v>761</v>
      </c>
      <c r="AK21" s="125" t="s">
        <v>572</v>
      </c>
    </row>
    <row r="22" spans="1:37">
      <c r="A22" s="187">
        <f t="shared" si="0"/>
        <v>13</v>
      </c>
      <c r="B22" s="187" t="s">
        <v>1061</v>
      </c>
      <c r="C22" s="187" t="s">
        <v>718</v>
      </c>
      <c r="D22" s="186" t="b">
        <v>0</v>
      </c>
      <c r="E22" s="187">
        <v>0</v>
      </c>
      <c r="F22" s="187">
        <v>0</v>
      </c>
      <c r="G22" s="187">
        <v>0</v>
      </c>
      <c r="H22" s="187">
        <v>0</v>
      </c>
      <c r="I22" s="188"/>
      <c r="J22" s="189" t="s">
        <v>1020</v>
      </c>
      <c r="K22" s="137"/>
      <c r="L22" s="137"/>
      <c r="M22" s="539"/>
      <c r="N22" s="539"/>
      <c r="O22" s="539"/>
      <c r="P22" s="135"/>
      <c r="Q22" s="138"/>
      <c r="R22" s="138"/>
      <c r="S22" s="138"/>
      <c r="T22" s="138"/>
      <c r="U22" s="138"/>
      <c r="V22" s="138"/>
      <c r="W22" s="138"/>
      <c r="X22" s="138"/>
      <c r="Y22" s="138"/>
      <c r="Z22" s="138"/>
      <c r="AA22" s="138"/>
      <c r="AB22" s="135"/>
      <c r="AC22" s="138"/>
      <c r="AD22" s="138"/>
      <c r="AE22" s="138"/>
      <c r="AF22" s="138"/>
      <c r="AG22" s="138"/>
      <c r="AH22" s="140"/>
      <c r="AJ22" s="178" t="s">
        <v>807</v>
      </c>
      <c r="AK22" s="125" t="s">
        <v>718</v>
      </c>
    </row>
    <row r="23" spans="1:37">
      <c r="A23" s="187">
        <f t="shared" si="0"/>
        <v>14</v>
      </c>
      <c r="B23" s="187" t="s">
        <v>1062</v>
      </c>
      <c r="C23" s="187" t="s">
        <v>717</v>
      </c>
      <c r="D23" s="186" t="b">
        <v>1</v>
      </c>
      <c r="E23" s="187">
        <v>0</v>
      </c>
      <c r="F23" s="187">
        <v>0</v>
      </c>
      <c r="G23" s="187">
        <v>0</v>
      </c>
      <c r="H23" s="187">
        <v>0</v>
      </c>
      <c r="I23" s="188"/>
      <c r="J23" s="189" t="s">
        <v>133</v>
      </c>
      <c r="K23" s="137"/>
      <c r="L23" s="137"/>
      <c r="M23" s="539"/>
      <c r="N23" s="539"/>
      <c r="O23" s="539"/>
      <c r="P23" s="135"/>
      <c r="Q23" s="138"/>
      <c r="R23" s="138"/>
      <c r="S23" s="138"/>
      <c r="T23" s="138"/>
      <c r="U23" s="138"/>
      <c r="V23" s="138"/>
      <c r="W23" s="138"/>
      <c r="X23" s="138"/>
      <c r="Y23" s="138"/>
      <c r="Z23" s="138"/>
      <c r="AA23" s="138"/>
      <c r="AB23" s="135"/>
      <c r="AC23" s="138"/>
      <c r="AD23" s="138"/>
      <c r="AE23" s="138"/>
      <c r="AF23" s="138"/>
      <c r="AG23" s="138"/>
      <c r="AH23" s="140"/>
      <c r="AJ23" s="125" t="s">
        <v>1002</v>
      </c>
      <c r="AK23" s="125" t="s">
        <v>717</v>
      </c>
    </row>
    <row r="24" spans="1:37">
      <c r="A24" s="187">
        <f t="shared" si="0"/>
        <v>15</v>
      </c>
      <c r="B24" s="187" t="s">
        <v>1021</v>
      </c>
      <c r="C24" s="187" t="s">
        <v>786</v>
      </c>
      <c r="D24" s="186" t="b">
        <v>1</v>
      </c>
      <c r="E24" s="187">
        <v>0</v>
      </c>
      <c r="F24" s="187">
        <v>0</v>
      </c>
      <c r="G24" s="187">
        <v>0</v>
      </c>
      <c r="H24" s="187">
        <v>0</v>
      </c>
      <c r="I24" s="188"/>
      <c r="J24" s="189" t="s">
        <v>133</v>
      </c>
      <c r="K24" s="137"/>
      <c r="L24" s="137"/>
      <c r="M24" s="539"/>
      <c r="N24" s="539"/>
      <c r="O24" s="539"/>
      <c r="P24" s="135" t="s">
        <v>120</v>
      </c>
      <c r="Q24" s="138"/>
      <c r="R24" s="138"/>
      <c r="S24" s="138"/>
      <c r="T24" s="138"/>
      <c r="U24" s="138"/>
      <c r="V24" s="138"/>
      <c r="W24" s="138"/>
      <c r="X24" s="138"/>
      <c r="Y24" s="138"/>
      <c r="Z24" s="138"/>
      <c r="AA24" s="138"/>
      <c r="AB24" s="135"/>
      <c r="AC24" s="138"/>
      <c r="AD24" s="138"/>
      <c r="AE24" s="138"/>
      <c r="AF24" s="138"/>
      <c r="AG24" s="138"/>
      <c r="AH24" s="140"/>
      <c r="AJ24" s="125" t="s">
        <v>761</v>
      </c>
      <c r="AK24" s="125" t="s">
        <v>786</v>
      </c>
    </row>
    <row r="25" spans="1:37">
      <c r="A25" s="187">
        <f t="shared" si="0"/>
        <v>16</v>
      </c>
      <c r="B25" s="187" t="s">
        <v>1022</v>
      </c>
      <c r="C25" s="187" t="s">
        <v>716</v>
      </c>
      <c r="D25" s="186" t="b">
        <v>1</v>
      </c>
      <c r="E25" s="187">
        <v>0</v>
      </c>
      <c r="F25" s="187">
        <v>0</v>
      </c>
      <c r="G25" s="187">
        <v>0</v>
      </c>
      <c r="H25" s="187">
        <v>0</v>
      </c>
      <c r="I25" s="188"/>
      <c r="J25" s="189" t="s">
        <v>133</v>
      </c>
      <c r="K25" s="137"/>
      <c r="L25" s="137"/>
      <c r="M25" s="539"/>
      <c r="N25" s="539"/>
      <c r="O25" s="539"/>
      <c r="P25" s="135" t="s">
        <v>121</v>
      </c>
      <c r="Q25" s="138"/>
      <c r="R25" s="138"/>
      <c r="S25" s="138"/>
      <c r="T25" s="138"/>
      <c r="U25" s="138"/>
      <c r="V25" s="138"/>
      <c r="W25" s="138"/>
      <c r="X25" s="138"/>
      <c r="Y25" s="138"/>
      <c r="Z25" s="138"/>
      <c r="AA25" s="138"/>
      <c r="AB25" s="135"/>
      <c r="AC25" s="138"/>
      <c r="AD25" s="138"/>
      <c r="AE25" s="138"/>
      <c r="AF25" s="138"/>
      <c r="AG25" s="138"/>
      <c r="AH25" s="140"/>
      <c r="AJ25" s="125" t="s">
        <v>761</v>
      </c>
      <c r="AK25" s="125" t="s">
        <v>716</v>
      </c>
    </row>
    <row r="26" spans="1:37">
      <c r="A26" s="187">
        <f t="shared" si="0"/>
        <v>17</v>
      </c>
      <c r="B26" s="187" t="s">
        <v>239</v>
      </c>
      <c r="C26" s="187" t="s">
        <v>787</v>
      </c>
      <c r="D26" s="186" t="b">
        <v>1</v>
      </c>
      <c r="E26" s="187">
        <v>0</v>
      </c>
      <c r="F26" s="187">
        <v>0</v>
      </c>
      <c r="G26" s="187">
        <v>0</v>
      </c>
      <c r="H26" s="187">
        <v>0</v>
      </c>
      <c r="I26" s="188"/>
      <c r="J26" s="189" t="s">
        <v>133</v>
      </c>
      <c r="K26" s="137"/>
      <c r="L26" s="137"/>
      <c r="M26" s="539"/>
      <c r="N26" s="539"/>
      <c r="O26" s="539"/>
      <c r="P26" s="135" t="s">
        <v>788</v>
      </c>
      <c r="Q26" s="138"/>
      <c r="R26" s="138"/>
      <c r="S26" s="138"/>
      <c r="T26" s="138"/>
      <c r="U26" s="138"/>
      <c r="V26" s="138"/>
      <c r="W26" s="138"/>
      <c r="X26" s="138"/>
      <c r="Y26" s="138"/>
      <c r="Z26" s="138"/>
      <c r="AA26" s="138"/>
      <c r="AB26" s="135"/>
      <c r="AC26" s="138"/>
      <c r="AD26" s="138"/>
      <c r="AE26" s="138"/>
      <c r="AF26" s="138"/>
      <c r="AG26" s="138"/>
      <c r="AH26" s="140"/>
      <c r="AJ26" s="125" t="s">
        <v>761</v>
      </c>
      <c r="AK26" s="125" t="s">
        <v>787</v>
      </c>
    </row>
    <row r="27" spans="1:37">
      <c r="A27" s="187">
        <f t="shared" si="0"/>
        <v>18</v>
      </c>
      <c r="B27" s="187" t="s">
        <v>1023</v>
      </c>
      <c r="C27" s="187" t="s">
        <v>715</v>
      </c>
      <c r="D27" s="186" t="b">
        <v>1</v>
      </c>
      <c r="E27" s="187">
        <v>0</v>
      </c>
      <c r="F27" s="187">
        <v>0</v>
      </c>
      <c r="G27" s="187">
        <v>0</v>
      </c>
      <c r="H27" s="187">
        <v>0</v>
      </c>
      <c r="I27" s="188"/>
      <c r="J27" s="189" t="s">
        <v>133</v>
      </c>
      <c r="K27" s="137"/>
      <c r="L27" s="137"/>
      <c r="M27" s="539"/>
      <c r="N27" s="539"/>
      <c r="O27" s="539"/>
      <c r="P27" s="135"/>
      <c r="Q27" s="138"/>
      <c r="R27" s="138"/>
      <c r="S27" s="138"/>
      <c r="T27" s="138"/>
      <c r="U27" s="138"/>
      <c r="V27" s="138"/>
      <c r="W27" s="138"/>
      <c r="X27" s="138"/>
      <c r="Y27" s="138"/>
      <c r="Z27" s="138"/>
      <c r="AA27" s="138"/>
      <c r="AB27" s="135"/>
      <c r="AC27" s="138"/>
      <c r="AD27" s="138"/>
      <c r="AE27" s="138"/>
      <c r="AF27" s="138"/>
      <c r="AG27" s="138"/>
      <c r="AH27" s="140"/>
      <c r="AJ27" s="125" t="s">
        <v>761</v>
      </c>
      <c r="AK27" s="125" t="s">
        <v>715</v>
      </c>
    </row>
    <row r="28" spans="1:37">
      <c r="A28" s="187">
        <f t="shared" si="0"/>
        <v>19</v>
      </c>
      <c r="B28" s="187" t="s">
        <v>1024</v>
      </c>
      <c r="C28" s="187" t="s">
        <v>789</v>
      </c>
      <c r="D28" s="186" t="b">
        <v>1</v>
      </c>
      <c r="E28" s="187">
        <v>0</v>
      </c>
      <c r="F28" s="187">
        <v>0</v>
      </c>
      <c r="G28" s="187">
        <v>0</v>
      </c>
      <c r="H28" s="187">
        <v>0</v>
      </c>
      <c r="I28" s="188"/>
      <c r="J28" s="189" t="s">
        <v>133</v>
      </c>
      <c r="K28" s="137"/>
      <c r="L28" s="137"/>
      <c r="M28" s="539"/>
      <c r="N28" s="539"/>
      <c r="O28" s="539"/>
      <c r="P28" s="135"/>
      <c r="Q28" s="138"/>
      <c r="R28" s="138"/>
      <c r="S28" s="138"/>
      <c r="T28" s="138"/>
      <c r="U28" s="138"/>
      <c r="V28" s="138"/>
      <c r="W28" s="138"/>
      <c r="X28" s="138"/>
      <c r="Y28" s="138"/>
      <c r="Z28" s="138"/>
      <c r="AA28" s="138"/>
      <c r="AB28" s="135"/>
      <c r="AC28" s="138"/>
      <c r="AD28" s="138"/>
      <c r="AE28" s="138"/>
      <c r="AF28" s="138"/>
      <c r="AG28" s="138"/>
      <c r="AH28" s="140"/>
      <c r="AJ28" s="125" t="s">
        <v>761</v>
      </c>
      <c r="AK28" s="125" t="s">
        <v>789</v>
      </c>
    </row>
    <row r="29" spans="1:37">
      <c r="A29" s="187">
        <f t="shared" si="0"/>
        <v>20</v>
      </c>
      <c r="B29" s="187" t="s">
        <v>1067</v>
      </c>
      <c r="C29" s="187" t="s">
        <v>790</v>
      </c>
      <c r="D29" s="186" t="b">
        <v>0</v>
      </c>
      <c r="E29" s="187">
        <v>0</v>
      </c>
      <c r="F29" s="187">
        <v>0</v>
      </c>
      <c r="G29" s="187">
        <v>0</v>
      </c>
      <c r="H29" s="187">
        <v>0</v>
      </c>
      <c r="I29" s="188"/>
      <c r="J29" s="189" t="s">
        <v>1020</v>
      </c>
      <c r="K29" s="137"/>
      <c r="L29" s="137"/>
      <c r="M29" s="539"/>
      <c r="N29" s="539"/>
      <c r="O29" s="539"/>
      <c r="P29" s="135"/>
      <c r="Q29" s="138"/>
      <c r="R29" s="138"/>
      <c r="S29" s="138"/>
      <c r="T29" s="138"/>
      <c r="U29" s="138"/>
      <c r="V29" s="138"/>
      <c r="W29" s="138"/>
      <c r="X29" s="138"/>
      <c r="Y29" s="138"/>
      <c r="Z29" s="138"/>
      <c r="AA29" s="138"/>
      <c r="AB29" s="135"/>
      <c r="AC29" s="138"/>
      <c r="AD29" s="138"/>
      <c r="AE29" s="138"/>
      <c r="AF29" s="138"/>
      <c r="AG29" s="138"/>
      <c r="AH29" s="140"/>
      <c r="AJ29" s="125" t="s">
        <v>761</v>
      </c>
      <c r="AK29" s="125" t="s">
        <v>790</v>
      </c>
    </row>
    <row r="30" spans="1:37">
      <c r="A30" s="187">
        <f t="shared" si="0"/>
        <v>21</v>
      </c>
      <c r="B30" s="187" t="s">
        <v>1065</v>
      </c>
      <c r="C30" s="187" t="s">
        <v>1080</v>
      </c>
      <c r="D30" s="186" t="b">
        <v>1</v>
      </c>
      <c r="E30" s="187">
        <v>0</v>
      </c>
      <c r="F30" s="187">
        <v>100</v>
      </c>
      <c r="G30" s="187">
        <v>0</v>
      </c>
      <c r="H30" s="187">
        <v>0</v>
      </c>
      <c r="I30" s="188"/>
      <c r="J30" s="189" t="s">
        <v>131</v>
      </c>
      <c r="K30" s="137"/>
      <c r="L30" s="137"/>
      <c r="M30" s="539"/>
      <c r="N30" s="539"/>
      <c r="O30" s="539"/>
      <c r="P30" s="135"/>
      <c r="Q30" s="138"/>
      <c r="R30" s="138"/>
      <c r="S30" s="138"/>
      <c r="T30" s="138"/>
      <c r="U30" s="138"/>
      <c r="V30" s="138"/>
      <c r="W30" s="138"/>
      <c r="X30" s="138"/>
      <c r="Y30" s="138"/>
      <c r="Z30" s="138"/>
      <c r="AA30" s="138"/>
      <c r="AB30" s="135"/>
      <c r="AC30" s="138"/>
      <c r="AD30" s="138"/>
      <c r="AE30" s="138"/>
      <c r="AF30" s="138"/>
      <c r="AG30" s="138"/>
      <c r="AH30" s="140"/>
      <c r="AJ30" s="125" t="s">
        <v>792</v>
      </c>
      <c r="AK30" s="125" t="s">
        <v>791</v>
      </c>
    </row>
    <row r="31" spans="1:37">
      <c r="A31" s="187">
        <f t="shared" si="0"/>
        <v>22</v>
      </c>
      <c r="B31" s="187" t="s">
        <v>1025</v>
      </c>
      <c r="C31" s="187" t="s">
        <v>793</v>
      </c>
      <c r="D31" s="186" t="b">
        <v>1</v>
      </c>
      <c r="E31" s="187">
        <v>0</v>
      </c>
      <c r="F31" s="187">
        <v>1</v>
      </c>
      <c r="G31" s="187">
        <v>0</v>
      </c>
      <c r="H31" s="187">
        <v>0</v>
      </c>
      <c r="I31" s="188"/>
      <c r="J31" s="189" t="s">
        <v>1017</v>
      </c>
      <c r="K31" s="137"/>
      <c r="L31" s="137"/>
      <c r="M31" s="539"/>
      <c r="N31" s="539"/>
      <c r="O31" s="539"/>
      <c r="P31" s="135"/>
      <c r="Q31" s="138"/>
      <c r="R31" s="138"/>
      <c r="S31" s="138"/>
      <c r="T31" s="138"/>
      <c r="U31" s="138"/>
      <c r="V31" s="138"/>
      <c r="W31" s="138"/>
      <c r="X31" s="138"/>
      <c r="Y31" s="138"/>
      <c r="Z31" s="138"/>
      <c r="AA31" s="138"/>
      <c r="AB31" s="135"/>
      <c r="AC31" s="138"/>
      <c r="AD31" s="138"/>
      <c r="AE31" s="138"/>
      <c r="AF31" s="138"/>
      <c r="AG31" s="138"/>
      <c r="AH31" s="140"/>
      <c r="AJ31" s="125" t="s">
        <v>764</v>
      </c>
      <c r="AK31" s="125" t="s">
        <v>793</v>
      </c>
    </row>
    <row r="32" spans="1:37">
      <c r="A32" s="187">
        <f t="shared" si="0"/>
        <v>23</v>
      </c>
      <c r="B32" s="187" t="s">
        <v>1066</v>
      </c>
      <c r="C32" s="187" t="s">
        <v>1079</v>
      </c>
      <c r="D32" s="186" t="b">
        <v>1</v>
      </c>
      <c r="E32" s="187">
        <v>0</v>
      </c>
      <c r="F32" s="187">
        <v>100</v>
      </c>
      <c r="G32" s="187">
        <v>0</v>
      </c>
      <c r="H32" s="187">
        <v>0</v>
      </c>
      <c r="I32" s="188"/>
      <c r="J32" s="189" t="s">
        <v>131</v>
      </c>
      <c r="K32" s="137"/>
      <c r="L32" s="137"/>
      <c r="M32" s="539"/>
      <c r="N32" s="539"/>
      <c r="O32" s="539"/>
      <c r="P32" s="135"/>
      <c r="Q32" s="138"/>
      <c r="R32" s="138"/>
      <c r="S32" s="138"/>
      <c r="T32" s="138"/>
      <c r="U32" s="138"/>
      <c r="V32" s="138"/>
      <c r="W32" s="138"/>
      <c r="X32" s="138"/>
      <c r="Y32" s="138"/>
      <c r="Z32" s="138"/>
      <c r="AA32" s="138"/>
      <c r="AB32" s="135"/>
      <c r="AC32" s="138"/>
      <c r="AD32" s="138"/>
      <c r="AE32" s="138"/>
      <c r="AF32" s="138"/>
      <c r="AG32" s="138"/>
      <c r="AH32" s="140"/>
      <c r="AJ32" s="125" t="s">
        <v>794</v>
      </c>
      <c r="AK32" s="125" t="s">
        <v>791</v>
      </c>
    </row>
    <row r="33" spans="1:38">
      <c r="A33" s="187">
        <f t="shared" si="0"/>
        <v>24</v>
      </c>
      <c r="B33" s="187" t="s">
        <v>1026</v>
      </c>
      <c r="C33" s="187" t="s">
        <v>795</v>
      </c>
      <c r="D33" s="186" t="b">
        <v>1</v>
      </c>
      <c r="E33" s="187">
        <v>0</v>
      </c>
      <c r="F33" s="187">
        <v>1</v>
      </c>
      <c r="G33" s="187">
        <v>0</v>
      </c>
      <c r="H33" s="187">
        <v>0</v>
      </c>
      <c r="I33" s="188"/>
      <c r="J33" s="189" t="s">
        <v>1017</v>
      </c>
      <c r="K33" s="137"/>
      <c r="L33" s="137"/>
      <c r="M33" s="539"/>
      <c r="N33" s="539"/>
      <c r="O33" s="539"/>
      <c r="P33" s="135"/>
      <c r="Q33" s="138"/>
      <c r="R33" s="138"/>
      <c r="S33" s="138"/>
      <c r="T33" s="138"/>
      <c r="U33" s="138"/>
      <c r="V33" s="138"/>
      <c r="W33" s="138"/>
      <c r="X33" s="138"/>
      <c r="Y33" s="138"/>
      <c r="Z33" s="138"/>
      <c r="AA33" s="138"/>
      <c r="AB33" s="135"/>
      <c r="AC33" s="138"/>
      <c r="AD33" s="138"/>
      <c r="AE33" s="138"/>
      <c r="AF33" s="138"/>
      <c r="AG33" s="138"/>
      <c r="AH33" s="140"/>
      <c r="AJ33" s="125" t="s">
        <v>764</v>
      </c>
      <c r="AK33" s="125" t="s">
        <v>795</v>
      </c>
    </row>
    <row r="34" spans="1:38">
      <c r="A34" s="187">
        <f t="shared" si="0"/>
        <v>25</v>
      </c>
      <c r="B34" s="187" t="s">
        <v>1068</v>
      </c>
      <c r="C34" s="187" t="s">
        <v>1078</v>
      </c>
      <c r="D34" s="186" t="b">
        <v>1</v>
      </c>
      <c r="E34" s="187">
        <v>0</v>
      </c>
      <c r="F34" s="187">
        <v>100</v>
      </c>
      <c r="G34" s="187">
        <v>0</v>
      </c>
      <c r="H34" s="187">
        <v>0</v>
      </c>
      <c r="I34" s="188"/>
      <c r="J34" s="189" t="s">
        <v>131</v>
      </c>
      <c r="K34" s="137"/>
      <c r="L34" s="137"/>
      <c r="M34" s="539"/>
      <c r="N34" s="539"/>
      <c r="O34" s="539"/>
      <c r="P34" s="135"/>
      <c r="Q34" s="138"/>
      <c r="R34" s="138"/>
      <c r="S34" s="138"/>
      <c r="T34" s="138"/>
      <c r="U34" s="138"/>
      <c r="V34" s="138"/>
      <c r="W34" s="138"/>
      <c r="X34" s="138"/>
      <c r="Y34" s="138"/>
      <c r="Z34" s="138"/>
      <c r="AA34" s="138"/>
      <c r="AB34" s="135"/>
      <c r="AC34" s="138"/>
      <c r="AD34" s="138"/>
      <c r="AE34" s="138"/>
      <c r="AF34" s="138"/>
      <c r="AG34" s="138"/>
      <c r="AH34" s="140"/>
      <c r="AJ34" s="125" t="s">
        <v>796</v>
      </c>
      <c r="AK34" s="125" t="s">
        <v>791</v>
      </c>
    </row>
    <row r="35" spans="1:38">
      <c r="A35" s="187">
        <f t="shared" si="0"/>
        <v>26</v>
      </c>
      <c r="B35" s="187" t="s">
        <v>1027</v>
      </c>
      <c r="C35" s="187" t="s">
        <v>797</v>
      </c>
      <c r="D35" s="186" t="b">
        <v>1</v>
      </c>
      <c r="E35" s="187">
        <v>0</v>
      </c>
      <c r="F35" s="187">
        <v>2</v>
      </c>
      <c r="G35" s="187">
        <v>0</v>
      </c>
      <c r="H35" s="187">
        <v>0</v>
      </c>
      <c r="I35" s="188"/>
      <c r="J35" s="189" t="s">
        <v>1017</v>
      </c>
      <c r="K35" s="137"/>
      <c r="L35" s="137"/>
      <c r="M35" s="539"/>
      <c r="N35" s="539"/>
      <c r="O35" s="539"/>
      <c r="P35" s="135"/>
      <c r="Q35" s="138"/>
      <c r="R35" s="138"/>
      <c r="S35" s="138"/>
      <c r="T35" s="138"/>
      <c r="U35" s="138"/>
      <c r="V35" s="138"/>
      <c r="W35" s="138"/>
      <c r="X35" s="138"/>
      <c r="Y35" s="138"/>
      <c r="Z35" s="138"/>
      <c r="AA35" s="138"/>
      <c r="AB35" s="135"/>
      <c r="AC35" s="138"/>
      <c r="AD35" s="138"/>
      <c r="AE35" s="138"/>
      <c r="AF35" s="138"/>
      <c r="AG35" s="138"/>
      <c r="AH35" s="140"/>
      <c r="AJ35" s="125" t="s">
        <v>764</v>
      </c>
      <c r="AK35" s="125" t="s">
        <v>797</v>
      </c>
    </row>
    <row r="36" spans="1:38">
      <c r="A36" s="187">
        <f t="shared" si="0"/>
        <v>27</v>
      </c>
      <c r="B36" s="187" t="s">
        <v>1069</v>
      </c>
      <c r="C36" s="187" t="s">
        <v>1077</v>
      </c>
      <c r="D36" s="186" t="b">
        <v>1</v>
      </c>
      <c r="E36" s="187">
        <v>0</v>
      </c>
      <c r="F36" s="187">
        <v>100</v>
      </c>
      <c r="G36" s="187">
        <v>0</v>
      </c>
      <c r="H36" s="187">
        <v>0</v>
      </c>
      <c r="I36" s="188"/>
      <c r="J36" s="189" t="s">
        <v>131</v>
      </c>
      <c r="K36" s="137"/>
      <c r="L36" s="137"/>
      <c r="M36" s="539"/>
      <c r="N36" s="539"/>
      <c r="O36" s="539"/>
      <c r="P36" s="135"/>
      <c r="Q36" s="138"/>
      <c r="R36" s="138"/>
      <c r="S36" s="138"/>
      <c r="T36" s="138"/>
      <c r="U36" s="138"/>
      <c r="V36" s="138"/>
      <c r="W36" s="138"/>
      <c r="X36" s="138"/>
      <c r="Y36" s="138"/>
      <c r="Z36" s="138"/>
      <c r="AA36" s="138"/>
      <c r="AB36" s="135"/>
      <c r="AC36" s="138"/>
      <c r="AD36" s="138"/>
      <c r="AE36" s="138"/>
      <c r="AF36" s="138"/>
      <c r="AG36" s="138"/>
      <c r="AH36" s="140"/>
      <c r="AJ36" s="125" t="s">
        <v>798</v>
      </c>
      <c r="AK36" s="125" t="s">
        <v>791</v>
      </c>
    </row>
    <row r="37" spans="1:38">
      <c r="A37" s="187">
        <f t="shared" si="0"/>
        <v>28</v>
      </c>
      <c r="B37" s="187" t="s">
        <v>1028</v>
      </c>
      <c r="C37" s="187" t="s">
        <v>799</v>
      </c>
      <c r="D37" s="186" t="b">
        <v>1</v>
      </c>
      <c r="E37" s="187">
        <v>0</v>
      </c>
      <c r="F37" s="187">
        <v>2</v>
      </c>
      <c r="G37" s="187">
        <v>0</v>
      </c>
      <c r="H37" s="187">
        <v>0</v>
      </c>
      <c r="I37" s="188"/>
      <c r="J37" s="189" t="s">
        <v>1017</v>
      </c>
      <c r="K37" s="137"/>
      <c r="L37" s="137"/>
      <c r="M37" s="539"/>
      <c r="N37" s="539"/>
      <c r="O37" s="539"/>
      <c r="P37" s="135"/>
      <c r="Q37" s="138"/>
      <c r="R37" s="138"/>
      <c r="S37" s="138"/>
      <c r="T37" s="138"/>
      <c r="U37" s="138"/>
      <c r="V37" s="138"/>
      <c r="W37" s="138"/>
      <c r="X37" s="138"/>
      <c r="Y37" s="138"/>
      <c r="Z37" s="138"/>
      <c r="AA37" s="138"/>
      <c r="AB37" s="135"/>
      <c r="AC37" s="138"/>
      <c r="AD37" s="138"/>
      <c r="AE37" s="138"/>
      <c r="AF37" s="138"/>
      <c r="AG37" s="138"/>
      <c r="AH37" s="140"/>
      <c r="AJ37" s="125" t="s">
        <v>764</v>
      </c>
      <c r="AK37" s="125" t="s">
        <v>799</v>
      </c>
    </row>
    <row r="38" spans="1:38">
      <c r="A38" s="187">
        <f t="shared" si="0"/>
        <v>29</v>
      </c>
      <c r="B38" s="187" t="s">
        <v>1070</v>
      </c>
      <c r="C38" s="187" t="s">
        <v>1076</v>
      </c>
      <c r="D38" s="186" t="b">
        <v>1</v>
      </c>
      <c r="E38" s="187">
        <v>0</v>
      </c>
      <c r="F38" s="187">
        <v>100</v>
      </c>
      <c r="G38" s="187">
        <v>0</v>
      </c>
      <c r="H38" s="187">
        <v>0</v>
      </c>
      <c r="I38" s="188"/>
      <c r="J38" s="189" t="s">
        <v>131</v>
      </c>
      <c r="K38" s="137"/>
      <c r="L38" s="137"/>
      <c r="M38" s="539"/>
      <c r="N38" s="539"/>
      <c r="O38" s="539"/>
      <c r="P38" s="135"/>
      <c r="Q38" s="138"/>
      <c r="R38" s="138"/>
      <c r="S38" s="138"/>
      <c r="T38" s="138"/>
      <c r="U38" s="138"/>
      <c r="V38" s="138"/>
      <c r="W38" s="138"/>
      <c r="X38" s="138"/>
      <c r="Y38" s="138"/>
      <c r="Z38" s="138"/>
      <c r="AA38" s="138"/>
      <c r="AB38" s="135"/>
      <c r="AC38" s="138"/>
      <c r="AD38" s="138"/>
      <c r="AE38" s="138"/>
      <c r="AF38" s="138"/>
      <c r="AG38" s="138"/>
      <c r="AH38" s="140"/>
      <c r="AJ38" s="125" t="s">
        <v>800</v>
      </c>
      <c r="AK38" s="125" t="s">
        <v>791</v>
      </c>
    </row>
    <row r="39" spans="1:38">
      <c r="A39" s="187">
        <f t="shared" si="0"/>
        <v>30</v>
      </c>
      <c r="B39" s="187" t="s">
        <v>1029</v>
      </c>
      <c r="C39" s="187" t="s">
        <v>801</v>
      </c>
      <c r="D39" s="186" t="b">
        <v>1</v>
      </c>
      <c r="E39" s="187">
        <v>0</v>
      </c>
      <c r="F39" s="187">
        <v>8</v>
      </c>
      <c r="G39" s="187">
        <v>0</v>
      </c>
      <c r="H39" s="187">
        <v>0</v>
      </c>
      <c r="I39" s="188"/>
      <c r="J39" s="189" t="s">
        <v>129</v>
      </c>
      <c r="K39" s="137"/>
      <c r="L39" s="137"/>
      <c r="M39" s="539"/>
      <c r="N39" s="539"/>
      <c r="O39" s="539"/>
      <c r="P39" s="135"/>
      <c r="Q39" s="138"/>
      <c r="R39" s="138"/>
      <c r="S39" s="138"/>
      <c r="T39" s="138"/>
      <c r="U39" s="138"/>
      <c r="V39" s="138"/>
      <c r="W39" s="138"/>
      <c r="X39" s="138"/>
      <c r="Y39" s="138"/>
      <c r="Z39" s="138"/>
      <c r="AA39" s="138"/>
      <c r="AB39" s="135"/>
      <c r="AC39" s="138"/>
      <c r="AD39" s="138"/>
      <c r="AE39" s="138"/>
      <c r="AF39" s="138"/>
      <c r="AG39" s="138"/>
      <c r="AH39" s="140"/>
      <c r="AJ39" s="125" t="s">
        <v>802</v>
      </c>
      <c r="AK39" s="125" t="s">
        <v>801</v>
      </c>
    </row>
    <row r="40" spans="1:38">
      <c r="A40" s="187">
        <f t="shared" si="0"/>
        <v>31</v>
      </c>
      <c r="B40" s="187" t="s">
        <v>1030</v>
      </c>
      <c r="C40" s="187" t="s">
        <v>1057</v>
      </c>
      <c r="D40" s="186" t="b">
        <v>1</v>
      </c>
      <c r="E40" s="187">
        <v>0</v>
      </c>
      <c r="F40" s="187">
        <v>1</v>
      </c>
      <c r="G40" s="187">
        <v>0</v>
      </c>
      <c r="H40" s="187">
        <v>0</v>
      </c>
      <c r="I40" s="188"/>
      <c r="J40" s="189" t="s">
        <v>1017</v>
      </c>
      <c r="K40" s="137"/>
      <c r="L40" s="137"/>
      <c r="M40" s="539"/>
      <c r="N40" s="539"/>
      <c r="O40" s="539"/>
      <c r="P40" s="135"/>
      <c r="Q40" s="138"/>
      <c r="R40" s="138"/>
      <c r="S40" s="138"/>
      <c r="T40" s="138"/>
      <c r="U40" s="138"/>
      <c r="V40" s="138"/>
      <c r="W40" s="138"/>
      <c r="X40" s="138"/>
      <c r="Y40" s="138"/>
      <c r="Z40" s="138"/>
      <c r="AA40" s="138"/>
      <c r="AB40" s="135"/>
      <c r="AC40" s="138"/>
      <c r="AD40" s="138"/>
      <c r="AE40" s="138"/>
      <c r="AF40" s="138"/>
      <c r="AG40" s="138"/>
      <c r="AH40" s="140"/>
      <c r="AJ40" s="125" t="s">
        <v>764</v>
      </c>
      <c r="AK40" s="125" t="s">
        <v>1057</v>
      </c>
    </row>
    <row r="41" spans="1:38" ht="94.5">
      <c r="A41" s="187">
        <f t="shared" si="0"/>
        <v>32</v>
      </c>
      <c r="B41" s="187" t="s">
        <v>1071</v>
      </c>
      <c r="C41" s="187" t="s">
        <v>803</v>
      </c>
      <c r="D41" s="186" t="b">
        <v>1</v>
      </c>
      <c r="E41" s="187">
        <v>0</v>
      </c>
      <c r="F41" s="187">
        <v>100</v>
      </c>
      <c r="G41" s="187">
        <v>0</v>
      </c>
      <c r="H41" s="187">
        <v>0</v>
      </c>
      <c r="I41" s="188"/>
      <c r="J41" s="189" t="s">
        <v>131</v>
      </c>
      <c r="K41" s="137"/>
      <c r="L41" s="137"/>
      <c r="M41" s="539"/>
      <c r="N41" s="539"/>
      <c r="O41" s="539"/>
      <c r="P41" s="135" t="s">
        <v>1331</v>
      </c>
      <c r="Q41" s="138"/>
      <c r="R41" s="138"/>
      <c r="S41" s="138"/>
      <c r="T41" s="138"/>
      <c r="U41" s="138"/>
      <c r="V41" s="138"/>
      <c r="W41" s="138"/>
      <c r="X41" s="138"/>
      <c r="Y41" s="138"/>
      <c r="Z41" s="138"/>
      <c r="AA41" s="138"/>
      <c r="AB41" s="135"/>
      <c r="AC41" s="138"/>
      <c r="AD41" s="138"/>
      <c r="AE41" s="138"/>
      <c r="AF41" s="138"/>
      <c r="AG41" s="138"/>
      <c r="AH41" s="140"/>
      <c r="AJ41" s="141" t="s">
        <v>804</v>
      </c>
      <c r="AK41" s="125" t="s">
        <v>791</v>
      </c>
      <c r="AL41" s="141" t="s">
        <v>1096</v>
      </c>
    </row>
    <row r="42" spans="1:38">
      <c r="A42" s="187">
        <f t="shared" si="0"/>
        <v>33</v>
      </c>
      <c r="B42" s="187" t="s">
        <v>1031</v>
      </c>
      <c r="C42" s="187" t="s">
        <v>713</v>
      </c>
      <c r="D42" s="186" t="b">
        <v>1</v>
      </c>
      <c r="E42" s="187">
        <v>0</v>
      </c>
      <c r="F42" s="187">
        <v>0</v>
      </c>
      <c r="G42" s="187">
        <v>0</v>
      </c>
      <c r="H42" s="187">
        <v>0</v>
      </c>
      <c r="I42" s="188"/>
      <c r="J42" s="189" t="s">
        <v>133</v>
      </c>
      <c r="K42" s="137"/>
      <c r="L42" s="137"/>
      <c r="M42" s="539"/>
      <c r="N42" s="539"/>
      <c r="O42" s="539"/>
      <c r="P42" s="135"/>
      <c r="Q42" s="138"/>
      <c r="R42" s="138"/>
      <c r="S42" s="138"/>
      <c r="T42" s="138"/>
      <c r="U42" s="138"/>
      <c r="V42" s="138"/>
      <c r="W42" s="138"/>
      <c r="X42" s="138"/>
      <c r="Y42" s="138"/>
      <c r="Z42" s="138"/>
      <c r="AA42" s="138"/>
      <c r="AB42" s="135"/>
      <c r="AC42" s="138"/>
      <c r="AD42" s="138"/>
      <c r="AE42" s="138"/>
      <c r="AF42" s="138"/>
      <c r="AG42" s="138"/>
      <c r="AH42" s="140"/>
      <c r="AJ42" s="125" t="s">
        <v>761</v>
      </c>
      <c r="AK42" s="125" t="s">
        <v>713</v>
      </c>
    </row>
    <row r="43" spans="1:38">
      <c r="A43" s="187">
        <f t="shared" si="0"/>
        <v>34</v>
      </c>
      <c r="B43" s="187" t="s">
        <v>1032</v>
      </c>
      <c r="C43" s="187" t="s">
        <v>712</v>
      </c>
      <c r="D43" s="186" t="b">
        <v>1</v>
      </c>
      <c r="E43" s="187">
        <v>0</v>
      </c>
      <c r="F43" s="187">
        <v>0</v>
      </c>
      <c r="G43" s="187">
        <v>0</v>
      </c>
      <c r="H43" s="187">
        <v>0</v>
      </c>
      <c r="I43" s="188"/>
      <c r="J43" s="189" t="s">
        <v>133</v>
      </c>
      <c r="K43" s="137"/>
      <c r="L43" s="137"/>
      <c r="M43" s="539"/>
      <c r="N43" s="539"/>
      <c r="O43" s="539"/>
      <c r="P43" s="135"/>
      <c r="Q43" s="138"/>
      <c r="R43" s="138"/>
      <c r="S43" s="138"/>
      <c r="T43" s="138"/>
      <c r="U43" s="138"/>
      <c r="V43" s="138"/>
      <c r="W43" s="138"/>
      <c r="X43" s="138"/>
      <c r="Y43" s="138"/>
      <c r="Z43" s="138"/>
      <c r="AA43" s="138"/>
      <c r="AB43" s="135"/>
      <c r="AC43" s="138"/>
      <c r="AD43" s="138"/>
      <c r="AE43" s="138"/>
      <c r="AF43" s="138"/>
      <c r="AG43" s="138"/>
      <c r="AH43" s="140"/>
      <c r="AJ43" s="125" t="s">
        <v>586</v>
      </c>
      <c r="AK43" s="125" t="s">
        <v>712</v>
      </c>
    </row>
    <row r="44" spans="1:38">
      <c r="A44" s="187">
        <f t="shared" si="0"/>
        <v>35</v>
      </c>
      <c r="B44" s="187" t="s">
        <v>1055</v>
      </c>
      <c r="C44" s="187" t="s">
        <v>1054</v>
      </c>
      <c r="D44" s="186" t="b">
        <v>1</v>
      </c>
      <c r="E44" s="187">
        <v>0</v>
      </c>
      <c r="F44" s="187">
        <v>1</v>
      </c>
      <c r="G44" s="187">
        <v>0</v>
      </c>
      <c r="H44" s="187">
        <v>0</v>
      </c>
      <c r="I44" s="188"/>
      <c r="J44" s="189" t="s">
        <v>1017</v>
      </c>
      <c r="K44" s="137"/>
      <c r="L44" s="137"/>
      <c r="M44" s="539"/>
      <c r="N44" s="539"/>
      <c r="O44" s="539"/>
      <c r="P44" s="135"/>
      <c r="Q44" s="138"/>
      <c r="R44" s="138"/>
      <c r="S44" s="138"/>
      <c r="T44" s="138"/>
      <c r="U44" s="138"/>
      <c r="V44" s="138"/>
      <c r="W44" s="138"/>
      <c r="X44" s="138"/>
      <c r="Y44" s="138"/>
      <c r="Z44" s="138"/>
      <c r="AA44" s="138"/>
      <c r="AB44" s="135"/>
      <c r="AC44" s="138"/>
      <c r="AD44" s="138"/>
      <c r="AE44" s="138"/>
      <c r="AF44" s="138"/>
      <c r="AG44" s="138"/>
      <c r="AH44" s="140"/>
      <c r="AJ44" s="125" t="s">
        <v>761</v>
      </c>
      <c r="AK44" s="178" t="s">
        <v>1056</v>
      </c>
    </row>
    <row r="45" spans="1:38">
      <c r="A45" s="187">
        <f t="shared" si="0"/>
        <v>36</v>
      </c>
      <c r="B45" s="187" t="s">
        <v>1033</v>
      </c>
      <c r="C45" s="187" t="s">
        <v>805</v>
      </c>
      <c r="D45" s="186" t="b">
        <v>1</v>
      </c>
      <c r="E45" s="187">
        <v>0</v>
      </c>
      <c r="F45" s="187">
        <v>42</v>
      </c>
      <c r="G45" s="187">
        <v>0</v>
      </c>
      <c r="H45" s="187">
        <v>0</v>
      </c>
      <c r="I45" s="188"/>
      <c r="J45" s="189" t="s">
        <v>131</v>
      </c>
      <c r="K45" s="137"/>
      <c r="L45" s="137"/>
      <c r="M45" s="539"/>
      <c r="N45" s="539"/>
      <c r="O45" s="539"/>
      <c r="P45" s="135"/>
      <c r="Q45" s="138"/>
      <c r="R45" s="138"/>
      <c r="S45" s="138"/>
      <c r="T45" s="138"/>
      <c r="U45" s="138"/>
      <c r="V45" s="138"/>
      <c r="W45" s="138"/>
      <c r="X45" s="138"/>
      <c r="Y45" s="138"/>
      <c r="Z45" s="138"/>
      <c r="AA45" s="138"/>
      <c r="AB45" s="135"/>
      <c r="AC45" s="138"/>
      <c r="AD45" s="138"/>
      <c r="AE45" s="138"/>
      <c r="AF45" s="138"/>
      <c r="AG45" s="138"/>
      <c r="AH45" s="140"/>
      <c r="AJ45" s="125" t="s">
        <v>761</v>
      </c>
      <c r="AK45" s="125" t="s">
        <v>805</v>
      </c>
    </row>
    <row r="46" spans="1:38">
      <c r="A46" s="187">
        <f t="shared" si="0"/>
        <v>37</v>
      </c>
      <c r="B46" s="187" t="s">
        <v>1060</v>
      </c>
      <c r="C46" s="187" t="s">
        <v>806</v>
      </c>
      <c r="D46" s="186" t="b">
        <v>1</v>
      </c>
      <c r="E46" s="187">
        <v>0</v>
      </c>
      <c r="F46" s="187">
        <v>80</v>
      </c>
      <c r="G46" s="187">
        <v>0</v>
      </c>
      <c r="H46" s="187">
        <v>0</v>
      </c>
      <c r="I46" s="188"/>
      <c r="J46" s="189" t="s">
        <v>131</v>
      </c>
      <c r="K46" s="137"/>
      <c r="L46" s="137"/>
      <c r="M46" s="539"/>
      <c r="N46" s="539"/>
      <c r="O46" s="539"/>
      <c r="P46" s="135"/>
      <c r="Q46" s="138"/>
      <c r="R46" s="138"/>
      <c r="S46" s="138"/>
      <c r="T46" s="138"/>
      <c r="U46" s="138"/>
      <c r="V46" s="138"/>
      <c r="W46" s="138"/>
      <c r="X46" s="138"/>
      <c r="Y46" s="138"/>
      <c r="Z46" s="138"/>
      <c r="AA46" s="138"/>
      <c r="AB46" s="135"/>
      <c r="AC46" s="138"/>
      <c r="AD46" s="138"/>
      <c r="AE46" s="138"/>
      <c r="AF46" s="138"/>
      <c r="AG46" s="138"/>
      <c r="AH46" s="140"/>
      <c r="AJ46" s="125" t="s">
        <v>807</v>
      </c>
      <c r="AK46" s="125" t="s">
        <v>806</v>
      </c>
    </row>
    <row r="47" spans="1:38">
      <c r="A47" s="187">
        <f t="shared" si="0"/>
        <v>38</v>
      </c>
      <c r="B47" s="187" t="s">
        <v>1299</v>
      </c>
      <c r="C47" s="187" t="s">
        <v>711</v>
      </c>
      <c r="D47" s="186" t="b">
        <v>1</v>
      </c>
      <c r="E47" s="187">
        <v>0</v>
      </c>
      <c r="F47" s="187">
        <v>3</v>
      </c>
      <c r="G47" s="187">
        <v>0</v>
      </c>
      <c r="H47" s="187">
        <v>0</v>
      </c>
      <c r="I47" s="188"/>
      <c r="J47" s="189" t="s">
        <v>1017</v>
      </c>
      <c r="K47" s="137"/>
      <c r="L47" s="137"/>
      <c r="M47" s="539"/>
      <c r="N47" s="539"/>
      <c r="O47" s="539"/>
      <c r="P47" s="135"/>
      <c r="Q47" s="138"/>
      <c r="R47" s="138"/>
      <c r="S47" s="138"/>
      <c r="T47" s="138"/>
      <c r="U47" s="138"/>
      <c r="V47" s="138"/>
      <c r="W47" s="138"/>
      <c r="X47" s="138"/>
      <c r="Y47" s="138"/>
      <c r="Z47" s="138"/>
      <c r="AA47" s="138"/>
      <c r="AB47" s="135"/>
      <c r="AC47" s="138"/>
      <c r="AD47" s="138"/>
      <c r="AE47" s="138"/>
      <c r="AF47" s="138"/>
      <c r="AG47" s="138"/>
      <c r="AH47" s="140"/>
      <c r="AJ47" s="125" t="s">
        <v>808</v>
      </c>
      <c r="AK47" s="125" t="s">
        <v>809</v>
      </c>
    </row>
    <row r="48" spans="1:38">
      <c r="A48" s="187">
        <f t="shared" si="0"/>
        <v>39</v>
      </c>
      <c r="B48" s="187" t="s">
        <v>1300</v>
      </c>
      <c r="C48" s="187" t="s">
        <v>710</v>
      </c>
      <c r="D48" s="186" t="b">
        <v>1</v>
      </c>
      <c r="E48" s="187">
        <v>0</v>
      </c>
      <c r="F48" s="187">
        <v>4</v>
      </c>
      <c r="G48" s="187">
        <v>0</v>
      </c>
      <c r="H48" s="187">
        <v>0</v>
      </c>
      <c r="I48" s="188"/>
      <c r="J48" s="189" t="s">
        <v>1017</v>
      </c>
      <c r="K48" s="137"/>
      <c r="L48" s="137"/>
      <c r="M48" s="539"/>
      <c r="N48" s="539"/>
      <c r="O48" s="539"/>
      <c r="P48" s="135"/>
      <c r="Q48" s="138"/>
      <c r="R48" s="138"/>
      <c r="S48" s="138"/>
      <c r="T48" s="138"/>
      <c r="U48" s="138"/>
      <c r="V48" s="138"/>
      <c r="W48" s="138"/>
      <c r="X48" s="138"/>
      <c r="Y48" s="138"/>
      <c r="Z48" s="138"/>
      <c r="AA48" s="138"/>
      <c r="AB48" s="135"/>
      <c r="AC48" s="138"/>
      <c r="AD48" s="138"/>
      <c r="AE48" s="138"/>
      <c r="AF48" s="138"/>
      <c r="AG48" s="138"/>
      <c r="AH48" s="140"/>
      <c r="AJ48" s="125" t="s">
        <v>808</v>
      </c>
      <c r="AK48" s="125" t="s">
        <v>810</v>
      </c>
    </row>
    <row r="49" spans="1:37">
      <c r="A49" s="187">
        <f t="shared" si="0"/>
        <v>40</v>
      </c>
      <c r="B49" s="187" t="s">
        <v>1301</v>
      </c>
      <c r="C49" s="187" t="s">
        <v>811</v>
      </c>
      <c r="D49" s="186" t="b">
        <v>1</v>
      </c>
      <c r="E49" s="187">
        <v>0</v>
      </c>
      <c r="F49" s="187">
        <v>64</v>
      </c>
      <c r="G49" s="187">
        <v>0</v>
      </c>
      <c r="H49" s="187">
        <v>0</v>
      </c>
      <c r="I49" s="188"/>
      <c r="J49" s="189" t="s">
        <v>131</v>
      </c>
      <c r="K49" s="137"/>
      <c r="L49" s="137"/>
      <c r="M49" s="539"/>
      <c r="N49" s="539"/>
      <c r="O49" s="539"/>
      <c r="P49" s="135"/>
      <c r="Q49" s="138"/>
      <c r="R49" s="138"/>
      <c r="S49" s="138"/>
      <c r="T49" s="138"/>
      <c r="U49" s="138"/>
      <c r="V49" s="138"/>
      <c r="W49" s="138"/>
      <c r="X49" s="138"/>
      <c r="Y49" s="138"/>
      <c r="Z49" s="138"/>
      <c r="AA49" s="138"/>
      <c r="AB49" s="135"/>
      <c r="AC49" s="138"/>
      <c r="AD49" s="138"/>
      <c r="AE49" s="138"/>
      <c r="AF49" s="138"/>
      <c r="AG49" s="138"/>
      <c r="AH49" s="140"/>
      <c r="AJ49" s="125" t="s">
        <v>808</v>
      </c>
      <c r="AK49" s="125" t="s">
        <v>812</v>
      </c>
    </row>
    <row r="50" spans="1:37">
      <c r="A50" s="187">
        <f t="shared" si="0"/>
        <v>41</v>
      </c>
      <c r="B50" s="187" t="s">
        <v>1302</v>
      </c>
      <c r="C50" s="187" t="s">
        <v>813</v>
      </c>
      <c r="D50" s="186" t="b">
        <v>1</v>
      </c>
      <c r="E50" s="187">
        <v>0</v>
      </c>
      <c r="F50" s="187">
        <v>64</v>
      </c>
      <c r="G50" s="187">
        <v>0</v>
      </c>
      <c r="H50" s="187">
        <v>0</v>
      </c>
      <c r="I50" s="188"/>
      <c r="J50" s="189" t="s">
        <v>131</v>
      </c>
      <c r="K50" s="137"/>
      <c r="L50" s="137"/>
      <c r="M50" s="539"/>
      <c r="N50" s="539"/>
      <c r="O50" s="539"/>
      <c r="P50" s="135"/>
      <c r="Q50" s="138"/>
      <c r="R50" s="138"/>
      <c r="S50" s="138"/>
      <c r="T50" s="138"/>
      <c r="U50" s="138"/>
      <c r="V50" s="138"/>
      <c r="W50" s="138"/>
      <c r="X50" s="138"/>
      <c r="Y50" s="138"/>
      <c r="Z50" s="138"/>
      <c r="AA50" s="138"/>
      <c r="AB50" s="135"/>
      <c r="AC50" s="138"/>
      <c r="AD50" s="138"/>
      <c r="AE50" s="138"/>
      <c r="AF50" s="138"/>
      <c r="AG50" s="138"/>
      <c r="AH50" s="140"/>
      <c r="AJ50" s="125" t="s">
        <v>808</v>
      </c>
      <c r="AK50" s="125" t="s">
        <v>814</v>
      </c>
    </row>
    <row r="51" spans="1:37">
      <c r="A51" s="187">
        <f t="shared" si="0"/>
        <v>42</v>
      </c>
      <c r="B51" s="187" t="s">
        <v>1303</v>
      </c>
      <c r="C51" s="187" t="s">
        <v>815</v>
      </c>
      <c r="D51" s="186" t="b">
        <v>1</v>
      </c>
      <c r="E51" s="187">
        <v>0</v>
      </c>
      <c r="F51" s="187">
        <v>64</v>
      </c>
      <c r="G51" s="187">
        <v>0</v>
      </c>
      <c r="H51" s="187">
        <v>0</v>
      </c>
      <c r="I51" s="188"/>
      <c r="J51" s="189" t="s">
        <v>131</v>
      </c>
      <c r="K51" s="137"/>
      <c r="L51" s="137"/>
      <c r="M51" s="539"/>
      <c r="N51" s="539"/>
      <c r="O51" s="539"/>
      <c r="P51" s="135"/>
      <c r="Q51" s="138"/>
      <c r="R51" s="138"/>
      <c r="S51" s="138"/>
      <c r="T51" s="138"/>
      <c r="U51" s="138"/>
      <c r="V51" s="138"/>
      <c r="W51" s="138"/>
      <c r="X51" s="138"/>
      <c r="Y51" s="138"/>
      <c r="Z51" s="138"/>
      <c r="AA51" s="138"/>
      <c r="AB51" s="135"/>
      <c r="AC51" s="138"/>
      <c r="AD51" s="138"/>
      <c r="AE51" s="138"/>
      <c r="AF51" s="138"/>
      <c r="AG51" s="138"/>
      <c r="AH51" s="140"/>
      <c r="AJ51" s="125" t="s">
        <v>808</v>
      </c>
      <c r="AK51" s="125" t="s">
        <v>816</v>
      </c>
    </row>
    <row r="52" spans="1:37">
      <c r="A52" s="187">
        <f t="shared" si="0"/>
        <v>43</v>
      </c>
      <c r="B52" s="187" t="s">
        <v>1304</v>
      </c>
      <c r="C52" s="187" t="s">
        <v>709</v>
      </c>
      <c r="D52" s="186" t="b">
        <v>1</v>
      </c>
      <c r="E52" s="187">
        <v>0</v>
      </c>
      <c r="F52" s="187">
        <v>6</v>
      </c>
      <c r="G52" s="187">
        <v>0</v>
      </c>
      <c r="H52" s="187">
        <v>0</v>
      </c>
      <c r="I52" s="188"/>
      <c r="J52" s="189" t="s">
        <v>131</v>
      </c>
      <c r="K52" s="137"/>
      <c r="L52" s="137"/>
      <c r="M52" s="539"/>
      <c r="N52" s="539"/>
      <c r="O52" s="539"/>
      <c r="P52" s="135"/>
      <c r="Q52" s="138"/>
      <c r="R52" s="138"/>
      <c r="S52" s="138"/>
      <c r="T52" s="138"/>
      <c r="U52" s="138"/>
      <c r="V52" s="138"/>
      <c r="W52" s="138"/>
      <c r="X52" s="138"/>
      <c r="Y52" s="138"/>
      <c r="Z52" s="138"/>
      <c r="AA52" s="138"/>
      <c r="AB52" s="135"/>
      <c r="AC52" s="138"/>
      <c r="AD52" s="138"/>
      <c r="AE52" s="138"/>
      <c r="AF52" s="138"/>
      <c r="AG52" s="138"/>
      <c r="AH52" s="140"/>
      <c r="AJ52" s="125" t="s">
        <v>808</v>
      </c>
      <c r="AK52" s="125" t="s">
        <v>817</v>
      </c>
    </row>
    <row r="53" spans="1:37">
      <c r="A53" s="187">
        <f t="shared" si="0"/>
        <v>44</v>
      </c>
      <c r="B53" s="187" t="s">
        <v>1305</v>
      </c>
      <c r="C53" s="187" t="s">
        <v>708</v>
      </c>
      <c r="D53" s="186" t="b">
        <v>1</v>
      </c>
      <c r="E53" s="187">
        <v>0</v>
      </c>
      <c r="F53" s="187">
        <v>6</v>
      </c>
      <c r="G53" s="187">
        <v>0</v>
      </c>
      <c r="H53" s="187">
        <v>0</v>
      </c>
      <c r="I53" s="188"/>
      <c r="J53" s="189" t="s">
        <v>131</v>
      </c>
      <c r="K53" s="137"/>
      <c r="L53" s="137"/>
      <c r="M53" s="539"/>
      <c r="N53" s="539"/>
      <c r="O53" s="539"/>
      <c r="P53" s="135"/>
      <c r="Q53" s="138"/>
      <c r="R53" s="138"/>
      <c r="S53" s="138"/>
      <c r="T53" s="138"/>
      <c r="U53" s="138"/>
      <c r="V53" s="138"/>
      <c r="W53" s="138"/>
      <c r="X53" s="138"/>
      <c r="Y53" s="138"/>
      <c r="Z53" s="138"/>
      <c r="AA53" s="138"/>
      <c r="AB53" s="135"/>
      <c r="AC53" s="138"/>
      <c r="AD53" s="138"/>
      <c r="AE53" s="138"/>
      <c r="AF53" s="138"/>
      <c r="AG53" s="138"/>
      <c r="AH53" s="140"/>
      <c r="AJ53" s="125" t="s">
        <v>808</v>
      </c>
      <c r="AK53" s="125" t="s">
        <v>818</v>
      </c>
    </row>
    <row r="54" spans="1:37">
      <c r="A54" s="187">
        <f t="shared" si="0"/>
        <v>45</v>
      </c>
      <c r="B54" s="187" t="s">
        <v>1306</v>
      </c>
      <c r="C54" s="187" t="s">
        <v>707</v>
      </c>
      <c r="D54" s="186" t="b">
        <v>1</v>
      </c>
      <c r="E54" s="187">
        <v>0</v>
      </c>
      <c r="F54" s="187">
        <v>6</v>
      </c>
      <c r="G54" s="187">
        <v>0</v>
      </c>
      <c r="H54" s="187">
        <v>0</v>
      </c>
      <c r="I54" s="188"/>
      <c r="J54" s="189" t="s">
        <v>131</v>
      </c>
      <c r="K54" s="137"/>
      <c r="L54" s="137"/>
      <c r="M54" s="539"/>
      <c r="N54" s="539"/>
      <c r="O54" s="539"/>
      <c r="P54" s="135"/>
      <c r="Q54" s="138"/>
      <c r="R54" s="138"/>
      <c r="S54" s="138"/>
      <c r="T54" s="138"/>
      <c r="U54" s="138"/>
      <c r="V54" s="138"/>
      <c r="W54" s="138"/>
      <c r="X54" s="138"/>
      <c r="Y54" s="138"/>
      <c r="Z54" s="138"/>
      <c r="AA54" s="138"/>
      <c r="AB54" s="135"/>
      <c r="AC54" s="138"/>
      <c r="AD54" s="138"/>
      <c r="AE54" s="138"/>
      <c r="AF54" s="138"/>
      <c r="AG54" s="138"/>
      <c r="AH54" s="140"/>
      <c r="AJ54" s="125" t="s">
        <v>808</v>
      </c>
      <c r="AK54" s="125" t="s">
        <v>819</v>
      </c>
    </row>
    <row r="55" spans="1:37">
      <c r="A55" s="187">
        <f t="shared" si="0"/>
        <v>46</v>
      </c>
      <c r="B55" s="187" t="s">
        <v>1307</v>
      </c>
      <c r="C55" s="187" t="s">
        <v>706</v>
      </c>
      <c r="D55" s="186" t="b">
        <v>1</v>
      </c>
      <c r="E55" s="187">
        <v>0</v>
      </c>
      <c r="F55" s="187">
        <v>6</v>
      </c>
      <c r="G55" s="187">
        <v>0</v>
      </c>
      <c r="H55" s="187">
        <v>0</v>
      </c>
      <c r="I55" s="188"/>
      <c r="J55" s="189" t="s">
        <v>131</v>
      </c>
      <c r="K55" s="137"/>
      <c r="L55" s="137"/>
      <c r="M55" s="539"/>
      <c r="N55" s="539"/>
      <c r="O55" s="539"/>
      <c r="P55" s="135"/>
      <c r="Q55" s="138"/>
      <c r="R55" s="138"/>
      <c r="S55" s="138"/>
      <c r="T55" s="138"/>
      <c r="U55" s="138"/>
      <c r="V55" s="138"/>
      <c r="W55" s="138"/>
      <c r="X55" s="138"/>
      <c r="Y55" s="138"/>
      <c r="Z55" s="138"/>
      <c r="AA55" s="138"/>
      <c r="AB55" s="135"/>
      <c r="AC55" s="138"/>
      <c r="AD55" s="138"/>
      <c r="AE55" s="138"/>
      <c r="AF55" s="138"/>
      <c r="AG55" s="138"/>
      <c r="AH55" s="140"/>
      <c r="AJ55" s="125" t="s">
        <v>808</v>
      </c>
      <c r="AK55" s="125" t="s">
        <v>820</v>
      </c>
    </row>
    <row r="56" spans="1:37">
      <c r="A56" s="187">
        <f t="shared" si="0"/>
        <v>47</v>
      </c>
      <c r="B56" s="187" t="s">
        <v>1308</v>
      </c>
      <c r="C56" s="187" t="s">
        <v>705</v>
      </c>
      <c r="D56" s="186" t="b">
        <v>1</v>
      </c>
      <c r="E56" s="187">
        <v>0</v>
      </c>
      <c r="F56" s="187">
        <v>6</v>
      </c>
      <c r="G56" s="187">
        <v>0</v>
      </c>
      <c r="H56" s="187">
        <v>0</v>
      </c>
      <c r="I56" s="188"/>
      <c r="J56" s="189" t="s">
        <v>131</v>
      </c>
      <c r="K56" s="137"/>
      <c r="L56" s="137"/>
      <c r="M56" s="539"/>
      <c r="N56" s="539"/>
      <c r="O56" s="539"/>
      <c r="P56" s="135"/>
      <c r="Q56" s="138"/>
      <c r="R56" s="138"/>
      <c r="S56" s="138"/>
      <c r="T56" s="138"/>
      <c r="U56" s="138"/>
      <c r="V56" s="138"/>
      <c r="W56" s="138"/>
      <c r="X56" s="138"/>
      <c r="Y56" s="138"/>
      <c r="Z56" s="138"/>
      <c r="AA56" s="138"/>
      <c r="AB56" s="135"/>
      <c r="AC56" s="138"/>
      <c r="AD56" s="138"/>
      <c r="AE56" s="138"/>
      <c r="AF56" s="138"/>
      <c r="AG56" s="138"/>
      <c r="AH56" s="140"/>
      <c r="AJ56" s="125" t="s">
        <v>808</v>
      </c>
      <c r="AK56" s="125" t="s">
        <v>821</v>
      </c>
    </row>
    <row r="57" spans="1:37">
      <c r="A57" s="187">
        <f t="shared" si="0"/>
        <v>48</v>
      </c>
      <c r="B57" s="187" t="s">
        <v>1309</v>
      </c>
      <c r="C57" s="187" t="s">
        <v>704</v>
      </c>
      <c r="D57" s="186" t="b">
        <v>1</v>
      </c>
      <c r="E57" s="187">
        <v>0</v>
      </c>
      <c r="F57" s="187">
        <v>6</v>
      </c>
      <c r="G57" s="187">
        <v>0</v>
      </c>
      <c r="H57" s="187">
        <v>0</v>
      </c>
      <c r="I57" s="188"/>
      <c r="J57" s="189" t="s">
        <v>131</v>
      </c>
      <c r="K57" s="137"/>
      <c r="L57" s="137"/>
      <c r="M57" s="539"/>
      <c r="N57" s="539"/>
      <c r="O57" s="539"/>
      <c r="P57" s="135"/>
      <c r="Q57" s="138"/>
      <c r="R57" s="138"/>
      <c r="S57" s="138"/>
      <c r="T57" s="138"/>
      <c r="U57" s="138"/>
      <c r="V57" s="138"/>
      <c r="W57" s="138"/>
      <c r="X57" s="138"/>
      <c r="Y57" s="138"/>
      <c r="Z57" s="138"/>
      <c r="AA57" s="138"/>
      <c r="AB57" s="135"/>
      <c r="AC57" s="138"/>
      <c r="AD57" s="138"/>
      <c r="AE57" s="138"/>
      <c r="AF57" s="138"/>
      <c r="AG57" s="138"/>
      <c r="AH57" s="140"/>
      <c r="AJ57" s="125" t="s">
        <v>808</v>
      </c>
      <c r="AK57" s="125" t="s">
        <v>822</v>
      </c>
    </row>
    <row r="58" spans="1:37">
      <c r="A58" s="187">
        <f t="shared" si="0"/>
        <v>49</v>
      </c>
      <c r="B58" s="187" t="s">
        <v>1034</v>
      </c>
      <c r="C58" s="187" t="s">
        <v>703</v>
      </c>
      <c r="D58" s="186" t="b">
        <v>1</v>
      </c>
      <c r="E58" s="187">
        <v>0</v>
      </c>
      <c r="F58" s="187">
        <v>42</v>
      </c>
      <c r="G58" s="187">
        <v>0</v>
      </c>
      <c r="H58" s="187">
        <v>0</v>
      </c>
      <c r="I58" s="188"/>
      <c r="J58" s="189" t="s">
        <v>131</v>
      </c>
      <c r="K58" s="137"/>
      <c r="L58" s="137"/>
      <c r="M58" s="539"/>
      <c r="N58" s="539"/>
      <c r="O58" s="539"/>
      <c r="P58" s="135"/>
      <c r="Q58" s="138"/>
      <c r="R58" s="138"/>
      <c r="S58" s="138"/>
      <c r="T58" s="138"/>
      <c r="U58" s="138"/>
      <c r="V58" s="138"/>
      <c r="W58" s="138"/>
      <c r="X58" s="138"/>
      <c r="Y58" s="138"/>
      <c r="Z58" s="138"/>
      <c r="AA58" s="138"/>
      <c r="AB58" s="135"/>
      <c r="AC58" s="138"/>
      <c r="AD58" s="138"/>
      <c r="AE58" s="138"/>
      <c r="AF58" s="138"/>
      <c r="AG58" s="138"/>
      <c r="AH58" s="140"/>
      <c r="AJ58" s="125" t="s">
        <v>761</v>
      </c>
      <c r="AK58" s="125" t="s">
        <v>703</v>
      </c>
    </row>
    <row r="59" spans="1:37">
      <c r="A59" s="187">
        <f t="shared" si="0"/>
        <v>50</v>
      </c>
      <c r="B59" s="187" t="s">
        <v>231</v>
      </c>
      <c r="C59" s="187" t="s">
        <v>702</v>
      </c>
      <c r="D59" s="186" t="b">
        <v>1</v>
      </c>
      <c r="E59" s="187">
        <v>0</v>
      </c>
      <c r="F59" s="187">
        <v>60</v>
      </c>
      <c r="G59" s="187">
        <v>0</v>
      </c>
      <c r="H59" s="187">
        <v>0</v>
      </c>
      <c r="I59" s="188"/>
      <c r="J59" s="189" t="s">
        <v>131</v>
      </c>
      <c r="K59" s="137"/>
      <c r="L59" s="137"/>
      <c r="M59" s="539"/>
      <c r="N59" s="539"/>
      <c r="O59" s="539"/>
      <c r="P59" s="135"/>
      <c r="Q59" s="138"/>
      <c r="R59" s="138"/>
      <c r="S59" s="138"/>
      <c r="T59" s="138"/>
      <c r="U59" s="138"/>
      <c r="V59" s="138"/>
      <c r="W59" s="138"/>
      <c r="X59" s="138"/>
      <c r="Y59" s="138"/>
      <c r="Z59" s="138"/>
      <c r="AA59" s="138"/>
      <c r="AB59" s="135"/>
      <c r="AC59" s="138"/>
      <c r="AD59" s="138"/>
      <c r="AE59" s="138"/>
      <c r="AF59" s="138"/>
      <c r="AG59" s="138"/>
      <c r="AH59" s="140"/>
      <c r="AJ59" s="125" t="s">
        <v>586</v>
      </c>
      <c r="AK59" s="125" t="s">
        <v>702</v>
      </c>
    </row>
    <row r="60" spans="1:37">
      <c r="A60" s="187">
        <f t="shared" si="0"/>
        <v>51</v>
      </c>
      <c r="B60" s="187" t="s">
        <v>1312</v>
      </c>
      <c r="C60" s="187" t="s">
        <v>701</v>
      </c>
      <c r="D60" s="186" t="b">
        <v>1</v>
      </c>
      <c r="E60" s="187">
        <v>0</v>
      </c>
      <c r="F60" s="187">
        <v>3</v>
      </c>
      <c r="G60" s="187">
        <v>0</v>
      </c>
      <c r="H60" s="187">
        <v>0</v>
      </c>
      <c r="I60" s="188"/>
      <c r="J60" s="189" t="s">
        <v>1017</v>
      </c>
      <c r="K60" s="137"/>
      <c r="L60" s="137"/>
      <c r="M60" s="539"/>
      <c r="N60" s="539"/>
      <c r="O60" s="539"/>
      <c r="P60" s="135"/>
      <c r="Q60" s="138"/>
      <c r="R60" s="138"/>
      <c r="S60" s="138"/>
      <c r="T60" s="138"/>
      <c r="U60" s="138"/>
      <c r="V60" s="138"/>
      <c r="W60" s="138"/>
      <c r="X60" s="138"/>
      <c r="Y60" s="138"/>
      <c r="Z60" s="138"/>
      <c r="AA60" s="138"/>
      <c r="AB60" s="135"/>
      <c r="AC60" s="138"/>
      <c r="AD60" s="138"/>
      <c r="AE60" s="138"/>
      <c r="AF60" s="138"/>
      <c r="AG60" s="138"/>
      <c r="AH60" s="140"/>
      <c r="AJ60" s="125" t="s">
        <v>823</v>
      </c>
      <c r="AK60" s="125" t="s">
        <v>809</v>
      </c>
    </row>
    <row r="61" spans="1:37">
      <c r="A61" s="187">
        <f t="shared" si="0"/>
        <v>52</v>
      </c>
      <c r="B61" s="187" t="s">
        <v>1313</v>
      </c>
      <c r="C61" s="187" t="s">
        <v>700</v>
      </c>
      <c r="D61" s="186" t="b">
        <v>1</v>
      </c>
      <c r="E61" s="187">
        <v>0</v>
      </c>
      <c r="F61" s="187">
        <v>4</v>
      </c>
      <c r="G61" s="187">
        <v>0</v>
      </c>
      <c r="H61" s="187">
        <v>0</v>
      </c>
      <c r="I61" s="188"/>
      <c r="J61" s="189" t="s">
        <v>1017</v>
      </c>
      <c r="K61" s="137"/>
      <c r="L61" s="137"/>
      <c r="M61" s="539"/>
      <c r="N61" s="539"/>
      <c r="O61" s="539"/>
      <c r="P61" s="135"/>
      <c r="Q61" s="138"/>
      <c r="R61" s="138"/>
      <c r="S61" s="138"/>
      <c r="T61" s="138"/>
      <c r="U61" s="138"/>
      <c r="V61" s="138"/>
      <c r="W61" s="138"/>
      <c r="X61" s="138"/>
      <c r="Y61" s="138"/>
      <c r="Z61" s="138"/>
      <c r="AA61" s="138"/>
      <c r="AB61" s="135"/>
      <c r="AC61" s="138"/>
      <c r="AD61" s="138"/>
      <c r="AE61" s="138"/>
      <c r="AF61" s="138"/>
      <c r="AG61" s="138"/>
      <c r="AH61" s="140"/>
      <c r="AJ61" s="125" t="s">
        <v>823</v>
      </c>
      <c r="AK61" s="125" t="s">
        <v>810</v>
      </c>
    </row>
    <row r="62" spans="1:37">
      <c r="A62" s="187">
        <f t="shared" si="0"/>
        <v>53</v>
      </c>
      <c r="B62" s="187" t="s">
        <v>1314</v>
      </c>
      <c r="C62" s="187" t="s">
        <v>824</v>
      </c>
      <c r="D62" s="186" t="b">
        <v>1</v>
      </c>
      <c r="E62" s="187">
        <v>0</v>
      </c>
      <c r="F62" s="187">
        <v>64</v>
      </c>
      <c r="G62" s="187">
        <v>0</v>
      </c>
      <c r="H62" s="187">
        <v>0</v>
      </c>
      <c r="I62" s="188"/>
      <c r="J62" s="189" t="s">
        <v>131</v>
      </c>
      <c r="K62" s="137"/>
      <c r="L62" s="137"/>
      <c r="M62" s="539"/>
      <c r="N62" s="539"/>
      <c r="O62" s="539"/>
      <c r="P62" s="135"/>
      <c r="Q62" s="138"/>
      <c r="R62" s="138"/>
      <c r="S62" s="138"/>
      <c r="T62" s="138"/>
      <c r="U62" s="138"/>
      <c r="V62" s="138"/>
      <c r="W62" s="138"/>
      <c r="X62" s="138"/>
      <c r="Y62" s="138"/>
      <c r="Z62" s="138"/>
      <c r="AA62" s="138"/>
      <c r="AB62" s="135"/>
      <c r="AC62" s="138"/>
      <c r="AD62" s="138"/>
      <c r="AE62" s="138"/>
      <c r="AF62" s="138"/>
      <c r="AG62" s="138"/>
      <c r="AH62" s="140"/>
      <c r="AJ62" s="125" t="s">
        <v>823</v>
      </c>
      <c r="AK62" s="125" t="s">
        <v>812</v>
      </c>
    </row>
    <row r="63" spans="1:37">
      <c r="A63" s="187">
        <f t="shared" si="0"/>
        <v>54</v>
      </c>
      <c r="B63" s="187" t="s">
        <v>1315</v>
      </c>
      <c r="C63" s="187" t="s">
        <v>825</v>
      </c>
      <c r="D63" s="186" t="b">
        <v>1</v>
      </c>
      <c r="E63" s="187">
        <v>0</v>
      </c>
      <c r="F63" s="187">
        <v>64</v>
      </c>
      <c r="G63" s="187">
        <v>0</v>
      </c>
      <c r="H63" s="187">
        <v>0</v>
      </c>
      <c r="I63" s="188"/>
      <c r="J63" s="189" t="s">
        <v>131</v>
      </c>
      <c r="K63" s="137"/>
      <c r="L63" s="137"/>
      <c r="M63" s="539"/>
      <c r="N63" s="539"/>
      <c r="O63" s="539"/>
      <c r="P63" s="135"/>
      <c r="Q63" s="138"/>
      <c r="R63" s="138"/>
      <c r="S63" s="138"/>
      <c r="T63" s="138"/>
      <c r="U63" s="138"/>
      <c r="V63" s="138"/>
      <c r="W63" s="138"/>
      <c r="X63" s="138"/>
      <c r="Y63" s="138"/>
      <c r="Z63" s="138"/>
      <c r="AA63" s="138"/>
      <c r="AB63" s="135"/>
      <c r="AC63" s="138"/>
      <c r="AD63" s="138"/>
      <c r="AE63" s="138"/>
      <c r="AF63" s="138"/>
      <c r="AG63" s="138"/>
      <c r="AH63" s="140"/>
      <c r="AJ63" s="125" t="s">
        <v>823</v>
      </c>
      <c r="AK63" s="125" t="s">
        <v>814</v>
      </c>
    </row>
    <row r="64" spans="1:37">
      <c r="A64" s="187">
        <f t="shared" si="0"/>
        <v>55</v>
      </c>
      <c r="B64" s="187" t="s">
        <v>1316</v>
      </c>
      <c r="C64" s="187" t="s">
        <v>826</v>
      </c>
      <c r="D64" s="186" t="b">
        <v>1</v>
      </c>
      <c r="E64" s="187">
        <v>0</v>
      </c>
      <c r="F64" s="187">
        <v>64</v>
      </c>
      <c r="G64" s="187">
        <v>0</v>
      </c>
      <c r="H64" s="187">
        <v>0</v>
      </c>
      <c r="I64" s="188"/>
      <c r="J64" s="189" t="s">
        <v>131</v>
      </c>
      <c r="K64" s="137"/>
      <c r="L64" s="137"/>
      <c r="M64" s="539"/>
      <c r="N64" s="539"/>
      <c r="O64" s="539"/>
      <c r="P64" s="135"/>
      <c r="Q64" s="138"/>
      <c r="R64" s="138"/>
      <c r="S64" s="138"/>
      <c r="T64" s="138"/>
      <c r="U64" s="138"/>
      <c r="V64" s="138"/>
      <c r="W64" s="138"/>
      <c r="X64" s="138"/>
      <c r="Y64" s="138"/>
      <c r="Z64" s="138"/>
      <c r="AA64" s="138"/>
      <c r="AB64" s="135"/>
      <c r="AC64" s="138"/>
      <c r="AD64" s="138"/>
      <c r="AE64" s="138"/>
      <c r="AF64" s="138"/>
      <c r="AG64" s="138"/>
      <c r="AH64" s="140"/>
      <c r="AJ64" s="125" t="s">
        <v>823</v>
      </c>
      <c r="AK64" s="125" t="s">
        <v>816</v>
      </c>
    </row>
    <row r="65" spans="1:38">
      <c r="A65" s="187">
        <f t="shared" si="0"/>
        <v>56</v>
      </c>
      <c r="B65" s="187" t="s">
        <v>1317</v>
      </c>
      <c r="C65" s="187" t="s">
        <v>699</v>
      </c>
      <c r="D65" s="186" t="b">
        <v>1</v>
      </c>
      <c r="E65" s="187">
        <v>0</v>
      </c>
      <c r="F65" s="187">
        <v>6</v>
      </c>
      <c r="G65" s="187">
        <v>0</v>
      </c>
      <c r="H65" s="187">
        <v>0</v>
      </c>
      <c r="I65" s="188"/>
      <c r="J65" s="189" t="s">
        <v>131</v>
      </c>
      <c r="K65" s="137"/>
      <c r="L65" s="137"/>
      <c r="M65" s="539"/>
      <c r="N65" s="539"/>
      <c r="O65" s="539"/>
      <c r="P65" s="135"/>
      <c r="Q65" s="138"/>
      <c r="R65" s="138"/>
      <c r="S65" s="138"/>
      <c r="T65" s="138"/>
      <c r="U65" s="138"/>
      <c r="V65" s="138"/>
      <c r="W65" s="138"/>
      <c r="X65" s="138"/>
      <c r="Y65" s="138"/>
      <c r="Z65" s="138"/>
      <c r="AA65" s="138"/>
      <c r="AB65" s="135"/>
      <c r="AC65" s="138"/>
      <c r="AD65" s="138"/>
      <c r="AE65" s="138"/>
      <c r="AF65" s="138"/>
      <c r="AG65" s="138"/>
      <c r="AH65" s="140"/>
      <c r="AJ65" s="125" t="s">
        <v>823</v>
      </c>
      <c r="AK65" s="125" t="s">
        <v>817</v>
      </c>
    </row>
    <row r="66" spans="1:38">
      <c r="A66" s="187">
        <f t="shared" si="0"/>
        <v>57</v>
      </c>
      <c r="B66" s="187" t="s">
        <v>1318</v>
      </c>
      <c r="C66" s="187" t="s">
        <v>698</v>
      </c>
      <c r="D66" s="186" t="b">
        <v>1</v>
      </c>
      <c r="E66" s="187">
        <v>0</v>
      </c>
      <c r="F66" s="187">
        <v>6</v>
      </c>
      <c r="G66" s="187">
        <v>0</v>
      </c>
      <c r="H66" s="187">
        <v>0</v>
      </c>
      <c r="I66" s="188"/>
      <c r="J66" s="189" t="s">
        <v>131</v>
      </c>
      <c r="K66" s="137"/>
      <c r="L66" s="137"/>
      <c r="M66" s="539"/>
      <c r="N66" s="539"/>
      <c r="O66" s="539"/>
      <c r="P66" s="135"/>
      <c r="Q66" s="138"/>
      <c r="R66" s="138"/>
      <c r="S66" s="138"/>
      <c r="T66" s="138"/>
      <c r="U66" s="138"/>
      <c r="V66" s="138"/>
      <c r="W66" s="138"/>
      <c r="X66" s="138"/>
      <c r="Y66" s="138"/>
      <c r="Z66" s="138"/>
      <c r="AA66" s="138"/>
      <c r="AB66" s="135"/>
      <c r="AC66" s="138"/>
      <c r="AD66" s="138"/>
      <c r="AE66" s="138"/>
      <c r="AF66" s="138"/>
      <c r="AG66" s="138"/>
      <c r="AH66" s="140"/>
      <c r="AJ66" s="125" t="s">
        <v>823</v>
      </c>
      <c r="AK66" s="125" t="s">
        <v>818</v>
      </c>
    </row>
    <row r="67" spans="1:38">
      <c r="A67" s="187">
        <f t="shared" si="0"/>
        <v>58</v>
      </c>
      <c r="B67" s="187" t="s">
        <v>1319</v>
      </c>
      <c r="C67" s="187" t="s">
        <v>697</v>
      </c>
      <c r="D67" s="186" t="b">
        <v>1</v>
      </c>
      <c r="E67" s="187">
        <v>0</v>
      </c>
      <c r="F67" s="187">
        <v>6</v>
      </c>
      <c r="G67" s="187">
        <v>0</v>
      </c>
      <c r="H67" s="187">
        <v>0</v>
      </c>
      <c r="I67" s="188"/>
      <c r="J67" s="189" t="s">
        <v>131</v>
      </c>
      <c r="K67" s="137"/>
      <c r="L67" s="137"/>
      <c r="M67" s="539"/>
      <c r="N67" s="539"/>
      <c r="O67" s="539"/>
      <c r="P67" s="135"/>
      <c r="Q67" s="138"/>
      <c r="R67" s="138"/>
      <c r="S67" s="138"/>
      <c r="T67" s="138"/>
      <c r="U67" s="138"/>
      <c r="V67" s="138"/>
      <c r="W67" s="138"/>
      <c r="X67" s="138"/>
      <c r="Y67" s="138"/>
      <c r="Z67" s="138"/>
      <c r="AA67" s="138"/>
      <c r="AB67" s="135"/>
      <c r="AC67" s="138"/>
      <c r="AD67" s="138"/>
      <c r="AE67" s="138"/>
      <c r="AF67" s="138"/>
      <c r="AG67" s="138"/>
      <c r="AH67" s="140"/>
      <c r="AJ67" s="125" t="s">
        <v>823</v>
      </c>
      <c r="AK67" s="125" t="s">
        <v>819</v>
      </c>
    </row>
    <row r="68" spans="1:38">
      <c r="A68" s="187">
        <f t="shared" si="0"/>
        <v>59</v>
      </c>
      <c r="B68" s="187" t="s">
        <v>1320</v>
      </c>
      <c r="C68" s="187" t="s">
        <v>696</v>
      </c>
      <c r="D68" s="186" t="b">
        <v>1</v>
      </c>
      <c r="E68" s="187">
        <v>0</v>
      </c>
      <c r="F68" s="187">
        <v>6</v>
      </c>
      <c r="G68" s="187">
        <v>0</v>
      </c>
      <c r="H68" s="187">
        <v>0</v>
      </c>
      <c r="I68" s="188"/>
      <c r="J68" s="189" t="s">
        <v>131</v>
      </c>
      <c r="K68" s="137"/>
      <c r="L68" s="137"/>
      <c r="M68" s="539"/>
      <c r="N68" s="539"/>
      <c r="O68" s="539"/>
      <c r="P68" s="135"/>
      <c r="Q68" s="138"/>
      <c r="R68" s="138"/>
      <c r="S68" s="138"/>
      <c r="T68" s="138"/>
      <c r="U68" s="138"/>
      <c r="V68" s="138"/>
      <c r="W68" s="138"/>
      <c r="X68" s="138"/>
      <c r="Y68" s="138"/>
      <c r="Z68" s="138"/>
      <c r="AA68" s="138"/>
      <c r="AB68" s="135"/>
      <c r="AC68" s="138"/>
      <c r="AD68" s="138"/>
      <c r="AE68" s="138"/>
      <c r="AF68" s="138"/>
      <c r="AG68" s="138"/>
      <c r="AH68" s="140"/>
      <c r="AJ68" s="125" t="s">
        <v>823</v>
      </c>
      <c r="AK68" s="125" t="s">
        <v>820</v>
      </c>
    </row>
    <row r="69" spans="1:38">
      <c r="A69" s="187">
        <f t="shared" si="0"/>
        <v>60</v>
      </c>
      <c r="B69" s="187" t="s">
        <v>1321</v>
      </c>
      <c r="C69" s="187" t="s">
        <v>695</v>
      </c>
      <c r="D69" s="186" t="b">
        <v>1</v>
      </c>
      <c r="E69" s="187">
        <v>0</v>
      </c>
      <c r="F69" s="187">
        <v>6</v>
      </c>
      <c r="G69" s="187">
        <v>0</v>
      </c>
      <c r="H69" s="187">
        <v>0</v>
      </c>
      <c r="I69" s="188"/>
      <c r="J69" s="189" t="s">
        <v>131</v>
      </c>
      <c r="K69" s="137"/>
      <c r="L69" s="137"/>
      <c r="M69" s="539"/>
      <c r="N69" s="539"/>
      <c r="O69" s="539"/>
      <c r="P69" s="135"/>
      <c r="Q69" s="138"/>
      <c r="R69" s="138"/>
      <c r="S69" s="138"/>
      <c r="T69" s="138"/>
      <c r="U69" s="138"/>
      <c r="V69" s="138"/>
      <c r="W69" s="138"/>
      <c r="X69" s="138"/>
      <c r="Y69" s="138"/>
      <c r="Z69" s="138"/>
      <c r="AA69" s="138"/>
      <c r="AB69" s="135"/>
      <c r="AC69" s="138"/>
      <c r="AD69" s="138"/>
      <c r="AE69" s="138"/>
      <c r="AF69" s="138"/>
      <c r="AG69" s="138"/>
      <c r="AH69" s="140"/>
      <c r="AJ69" s="125" t="s">
        <v>823</v>
      </c>
      <c r="AK69" s="125" t="s">
        <v>821</v>
      </c>
    </row>
    <row r="70" spans="1:38">
      <c r="A70" s="187">
        <f t="shared" si="0"/>
        <v>61</v>
      </c>
      <c r="B70" s="187" t="s">
        <v>1322</v>
      </c>
      <c r="C70" s="187" t="s">
        <v>694</v>
      </c>
      <c r="D70" s="186" t="b">
        <v>1</v>
      </c>
      <c r="E70" s="187">
        <v>0</v>
      </c>
      <c r="F70" s="187">
        <v>6</v>
      </c>
      <c r="G70" s="187">
        <v>0</v>
      </c>
      <c r="H70" s="187">
        <v>0</v>
      </c>
      <c r="I70" s="188"/>
      <c r="J70" s="189" t="s">
        <v>131</v>
      </c>
      <c r="K70" s="137"/>
      <c r="L70" s="137"/>
      <c r="M70" s="539"/>
      <c r="N70" s="539"/>
      <c r="O70" s="539"/>
      <c r="P70" s="135"/>
      <c r="Q70" s="138"/>
      <c r="R70" s="138"/>
      <c r="S70" s="138"/>
      <c r="T70" s="138"/>
      <c r="U70" s="138"/>
      <c r="V70" s="138"/>
      <c r="W70" s="138"/>
      <c r="X70" s="138"/>
      <c r="Y70" s="138"/>
      <c r="Z70" s="138"/>
      <c r="AA70" s="138"/>
      <c r="AB70" s="135"/>
      <c r="AC70" s="138"/>
      <c r="AD70" s="138"/>
      <c r="AE70" s="138"/>
      <c r="AF70" s="138"/>
      <c r="AG70" s="138"/>
      <c r="AH70" s="140"/>
      <c r="AJ70" s="125" t="s">
        <v>823</v>
      </c>
      <c r="AK70" s="125" t="s">
        <v>822</v>
      </c>
    </row>
    <row r="71" spans="1:38" ht="31.5">
      <c r="A71" s="187">
        <f t="shared" si="0"/>
        <v>62</v>
      </c>
      <c r="B71" s="187" t="s">
        <v>1073</v>
      </c>
      <c r="C71" s="187" t="s">
        <v>827</v>
      </c>
      <c r="D71" s="186" t="b">
        <v>1</v>
      </c>
      <c r="E71" s="187">
        <v>0</v>
      </c>
      <c r="F71" s="187">
        <v>8</v>
      </c>
      <c r="G71" s="187">
        <v>0</v>
      </c>
      <c r="H71" s="187">
        <v>0</v>
      </c>
      <c r="I71" s="188"/>
      <c r="J71" s="189" t="s">
        <v>129</v>
      </c>
      <c r="K71" s="137"/>
      <c r="L71" s="137"/>
      <c r="M71" s="539"/>
      <c r="N71" s="539"/>
      <c r="O71" s="539"/>
      <c r="P71" s="135" t="s">
        <v>1331</v>
      </c>
      <c r="Q71" s="138"/>
      <c r="R71" s="138"/>
      <c r="S71" s="138"/>
      <c r="T71" s="138"/>
      <c r="U71" s="138"/>
      <c r="V71" s="138"/>
      <c r="W71" s="138"/>
      <c r="X71" s="138"/>
      <c r="Y71" s="138"/>
      <c r="Z71" s="138"/>
      <c r="AA71" s="138"/>
      <c r="AB71" s="135"/>
      <c r="AC71" s="138"/>
      <c r="AD71" s="138"/>
      <c r="AE71" s="138"/>
      <c r="AF71" s="138"/>
      <c r="AG71" s="138"/>
      <c r="AH71" s="140"/>
      <c r="AJ71" s="125" t="s">
        <v>761</v>
      </c>
      <c r="AK71" s="143" t="s">
        <v>828</v>
      </c>
      <c r="AL71" s="142" t="s">
        <v>1053</v>
      </c>
    </row>
    <row r="72" spans="1:38">
      <c r="A72" s="187">
        <f t="shared" si="0"/>
        <v>63</v>
      </c>
      <c r="B72" s="187" t="s">
        <v>1072</v>
      </c>
      <c r="C72" s="187" t="s">
        <v>693</v>
      </c>
      <c r="D72" s="186" t="b">
        <v>1</v>
      </c>
      <c r="E72" s="187">
        <v>0</v>
      </c>
      <c r="F72" s="187">
        <v>1</v>
      </c>
      <c r="G72" s="187">
        <v>0</v>
      </c>
      <c r="H72" s="187">
        <v>0</v>
      </c>
      <c r="I72" s="188"/>
      <c r="J72" s="189" t="s">
        <v>1017</v>
      </c>
      <c r="K72" s="137"/>
      <c r="L72" s="137"/>
      <c r="M72" s="539"/>
      <c r="N72" s="539"/>
      <c r="O72" s="539"/>
      <c r="P72" s="135"/>
      <c r="Q72" s="138"/>
      <c r="R72" s="138"/>
      <c r="S72" s="138"/>
      <c r="T72" s="138"/>
      <c r="U72" s="138"/>
      <c r="V72" s="138"/>
      <c r="W72" s="138"/>
      <c r="X72" s="138"/>
      <c r="Y72" s="138"/>
      <c r="Z72" s="138"/>
      <c r="AA72" s="138"/>
      <c r="AB72" s="135"/>
      <c r="AC72" s="138"/>
      <c r="AD72" s="138"/>
      <c r="AE72" s="138"/>
      <c r="AF72" s="138"/>
      <c r="AG72" s="138"/>
      <c r="AH72" s="140"/>
      <c r="AJ72" s="125" t="s">
        <v>761</v>
      </c>
      <c r="AK72" s="125" t="s">
        <v>1052</v>
      </c>
    </row>
    <row r="73" spans="1:38">
      <c r="A73" s="187">
        <f t="shared" si="0"/>
        <v>64</v>
      </c>
      <c r="B73" s="187" t="s">
        <v>1035</v>
      </c>
      <c r="C73" s="187" t="s">
        <v>692</v>
      </c>
      <c r="D73" s="186" t="b">
        <v>1</v>
      </c>
      <c r="E73" s="187">
        <v>0</v>
      </c>
      <c r="F73" s="187">
        <v>80</v>
      </c>
      <c r="G73" s="187">
        <v>0</v>
      </c>
      <c r="H73" s="187">
        <v>0</v>
      </c>
      <c r="I73" s="188"/>
      <c r="J73" s="189" t="s">
        <v>131</v>
      </c>
      <c r="K73" s="137"/>
      <c r="L73" s="137"/>
      <c r="M73" s="539"/>
      <c r="N73" s="539"/>
      <c r="O73" s="539"/>
      <c r="P73" s="135"/>
      <c r="Q73" s="138"/>
      <c r="R73" s="138"/>
      <c r="S73" s="138"/>
      <c r="T73" s="138"/>
      <c r="U73" s="138"/>
      <c r="V73" s="138"/>
      <c r="W73" s="138"/>
      <c r="X73" s="138"/>
      <c r="Y73" s="138"/>
      <c r="Z73" s="138"/>
      <c r="AA73" s="138"/>
      <c r="AB73" s="135"/>
      <c r="AC73" s="138"/>
      <c r="AD73" s="138"/>
      <c r="AE73" s="138"/>
      <c r="AF73" s="138"/>
      <c r="AG73" s="138"/>
      <c r="AH73" s="140"/>
      <c r="AJ73" s="125" t="s">
        <v>761</v>
      </c>
      <c r="AK73" s="125" t="s">
        <v>692</v>
      </c>
    </row>
    <row r="74" spans="1:38">
      <c r="A74" s="187">
        <f t="shared" ref="A74:A94" si="1">+IF(C74&lt;&gt;"",ROW()-9,"")</f>
        <v>65</v>
      </c>
      <c r="B74" s="187" t="s">
        <v>1036</v>
      </c>
      <c r="C74" s="187" t="s">
        <v>691</v>
      </c>
      <c r="D74" s="186" t="b">
        <v>1</v>
      </c>
      <c r="E74" s="187">
        <v>0</v>
      </c>
      <c r="F74" s="187">
        <v>30</v>
      </c>
      <c r="G74" s="187">
        <v>0</v>
      </c>
      <c r="H74" s="187">
        <v>0</v>
      </c>
      <c r="I74" s="188"/>
      <c r="J74" s="189" t="s">
        <v>131</v>
      </c>
      <c r="K74" s="137"/>
      <c r="L74" s="137"/>
      <c r="M74" s="539"/>
      <c r="N74" s="539"/>
      <c r="O74" s="539"/>
      <c r="P74" s="135"/>
      <c r="Q74" s="138"/>
      <c r="R74" s="138"/>
      <c r="S74" s="138"/>
      <c r="T74" s="138"/>
      <c r="U74" s="138"/>
      <c r="V74" s="138"/>
      <c r="W74" s="138"/>
      <c r="X74" s="138"/>
      <c r="Y74" s="138"/>
      <c r="Z74" s="138"/>
      <c r="AA74" s="138"/>
      <c r="AB74" s="135"/>
      <c r="AC74" s="138"/>
      <c r="AD74" s="138"/>
      <c r="AE74" s="138"/>
      <c r="AF74" s="138"/>
      <c r="AG74" s="138"/>
      <c r="AH74" s="140"/>
      <c r="AJ74" s="125" t="s">
        <v>761</v>
      </c>
      <c r="AK74" s="125" t="s">
        <v>691</v>
      </c>
    </row>
    <row r="75" spans="1:38">
      <c r="A75" s="187">
        <f t="shared" si="1"/>
        <v>66</v>
      </c>
      <c r="B75" s="187" t="s">
        <v>1037</v>
      </c>
      <c r="C75" s="187" t="s">
        <v>690</v>
      </c>
      <c r="D75" s="186" t="b">
        <v>1</v>
      </c>
      <c r="E75" s="187">
        <v>0</v>
      </c>
      <c r="F75" s="187">
        <v>8</v>
      </c>
      <c r="G75" s="187">
        <v>0</v>
      </c>
      <c r="H75" s="187">
        <v>0</v>
      </c>
      <c r="I75" s="188"/>
      <c r="J75" s="189" t="s">
        <v>131</v>
      </c>
      <c r="K75" s="137"/>
      <c r="L75" s="137"/>
      <c r="M75" s="539"/>
      <c r="N75" s="539"/>
      <c r="O75" s="539"/>
      <c r="P75" s="135"/>
      <c r="Q75" s="138"/>
      <c r="R75" s="138"/>
      <c r="S75" s="138"/>
      <c r="T75" s="138"/>
      <c r="U75" s="138"/>
      <c r="V75" s="138"/>
      <c r="W75" s="138"/>
      <c r="X75" s="138"/>
      <c r="Y75" s="138"/>
      <c r="Z75" s="138"/>
      <c r="AA75" s="138"/>
      <c r="AB75" s="135"/>
      <c r="AC75" s="138"/>
      <c r="AD75" s="138"/>
      <c r="AE75" s="138"/>
      <c r="AF75" s="138"/>
      <c r="AG75" s="138"/>
      <c r="AH75" s="140"/>
      <c r="AJ75" s="125" t="s">
        <v>761</v>
      </c>
      <c r="AK75" s="125" t="s">
        <v>690</v>
      </c>
    </row>
    <row r="76" spans="1:38">
      <c r="A76" s="187">
        <f t="shared" si="1"/>
        <v>67</v>
      </c>
      <c r="B76" s="187" t="s">
        <v>1038</v>
      </c>
      <c r="C76" s="187" t="s">
        <v>829</v>
      </c>
      <c r="D76" s="186" t="b">
        <v>1</v>
      </c>
      <c r="E76" s="187">
        <v>0</v>
      </c>
      <c r="F76" s="187">
        <v>2</v>
      </c>
      <c r="G76" s="187">
        <v>0</v>
      </c>
      <c r="H76" s="187">
        <v>0</v>
      </c>
      <c r="I76" s="188"/>
      <c r="J76" s="189" t="s">
        <v>1017</v>
      </c>
      <c r="K76" s="137"/>
      <c r="L76" s="137"/>
      <c r="M76" s="539"/>
      <c r="N76" s="539"/>
      <c r="O76" s="539"/>
      <c r="P76" s="135"/>
      <c r="Q76" s="138"/>
      <c r="R76" s="138"/>
      <c r="S76" s="138"/>
      <c r="T76" s="138"/>
      <c r="U76" s="138"/>
      <c r="V76" s="138"/>
      <c r="W76" s="138"/>
      <c r="X76" s="138"/>
      <c r="Y76" s="138"/>
      <c r="Z76" s="138"/>
      <c r="AA76" s="138"/>
      <c r="AB76" s="135"/>
      <c r="AC76" s="138"/>
      <c r="AD76" s="138"/>
      <c r="AE76" s="138"/>
      <c r="AF76" s="138"/>
      <c r="AG76" s="138"/>
      <c r="AH76" s="140"/>
      <c r="AJ76" s="125" t="s">
        <v>764</v>
      </c>
      <c r="AK76" s="125" t="s">
        <v>829</v>
      </c>
    </row>
    <row r="77" spans="1:38">
      <c r="A77" s="187">
        <f t="shared" si="1"/>
        <v>68</v>
      </c>
      <c r="B77" s="187" t="s">
        <v>1039</v>
      </c>
      <c r="C77" s="187" t="s">
        <v>689</v>
      </c>
      <c r="D77" s="186" t="b">
        <v>1</v>
      </c>
      <c r="E77" s="187">
        <v>0</v>
      </c>
      <c r="F77" s="187">
        <v>80</v>
      </c>
      <c r="G77" s="187">
        <v>0</v>
      </c>
      <c r="H77" s="187">
        <v>0</v>
      </c>
      <c r="I77" s="188"/>
      <c r="J77" s="189" t="s">
        <v>131</v>
      </c>
      <c r="K77" s="137"/>
      <c r="L77" s="137"/>
      <c r="M77" s="539"/>
      <c r="N77" s="539"/>
      <c r="O77" s="539"/>
      <c r="P77" s="135"/>
      <c r="Q77" s="138"/>
      <c r="R77" s="138"/>
      <c r="S77" s="138"/>
      <c r="T77" s="138"/>
      <c r="U77" s="138"/>
      <c r="V77" s="138"/>
      <c r="W77" s="138"/>
      <c r="X77" s="138"/>
      <c r="Y77" s="138"/>
      <c r="Z77" s="138"/>
      <c r="AA77" s="138"/>
      <c r="AB77" s="135"/>
      <c r="AC77" s="138"/>
      <c r="AD77" s="138"/>
      <c r="AE77" s="138"/>
      <c r="AF77" s="138"/>
      <c r="AG77" s="138"/>
      <c r="AH77" s="140"/>
      <c r="AJ77" s="125" t="s">
        <v>761</v>
      </c>
      <c r="AK77" s="125" t="s">
        <v>689</v>
      </c>
    </row>
    <row r="78" spans="1:38">
      <c r="A78" s="187">
        <f t="shared" si="1"/>
        <v>69</v>
      </c>
      <c r="B78" s="187" t="s">
        <v>1040</v>
      </c>
      <c r="C78" s="187" t="s">
        <v>688</v>
      </c>
      <c r="D78" s="186" t="b">
        <v>1</v>
      </c>
      <c r="E78" s="187">
        <v>0</v>
      </c>
      <c r="F78" s="187">
        <v>6</v>
      </c>
      <c r="G78" s="187">
        <v>0</v>
      </c>
      <c r="H78" s="187">
        <v>0</v>
      </c>
      <c r="I78" s="188"/>
      <c r="J78" s="189" t="s">
        <v>131</v>
      </c>
      <c r="K78" s="137"/>
      <c r="L78" s="137"/>
      <c r="M78" s="539"/>
      <c r="N78" s="539"/>
      <c r="O78" s="539"/>
      <c r="P78" s="135"/>
      <c r="Q78" s="138"/>
      <c r="R78" s="138"/>
      <c r="S78" s="138"/>
      <c r="T78" s="138"/>
      <c r="U78" s="138"/>
      <c r="V78" s="138"/>
      <c r="W78" s="138"/>
      <c r="X78" s="138"/>
      <c r="Y78" s="138"/>
      <c r="Z78" s="138"/>
      <c r="AA78" s="138"/>
      <c r="AB78" s="135"/>
      <c r="AC78" s="138"/>
      <c r="AD78" s="138"/>
      <c r="AE78" s="138"/>
      <c r="AF78" s="138"/>
      <c r="AG78" s="138"/>
      <c r="AH78" s="140"/>
      <c r="AJ78" s="125" t="s">
        <v>761</v>
      </c>
      <c r="AK78" s="125" t="s">
        <v>688</v>
      </c>
    </row>
    <row r="79" spans="1:38">
      <c r="A79" s="187">
        <f t="shared" si="1"/>
        <v>70</v>
      </c>
      <c r="B79" s="187" t="s">
        <v>1041</v>
      </c>
      <c r="C79" s="187" t="s">
        <v>687</v>
      </c>
      <c r="D79" s="186" t="b">
        <v>1</v>
      </c>
      <c r="E79" s="187">
        <v>0</v>
      </c>
      <c r="F79" s="187">
        <v>6</v>
      </c>
      <c r="G79" s="187">
        <v>0</v>
      </c>
      <c r="H79" s="187">
        <v>0</v>
      </c>
      <c r="I79" s="188"/>
      <c r="J79" s="189" t="s">
        <v>131</v>
      </c>
      <c r="K79" s="137"/>
      <c r="L79" s="137"/>
      <c r="M79" s="539"/>
      <c r="N79" s="539"/>
      <c r="O79" s="539"/>
      <c r="P79" s="135"/>
      <c r="Q79" s="138"/>
      <c r="R79" s="138"/>
      <c r="S79" s="138"/>
      <c r="T79" s="138"/>
      <c r="U79" s="138"/>
      <c r="V79" s="138"/>
      <c r="W79" s="138"/>
      <c r="X79" s="138"/>
      <c r="Y79" s="138"/>
      <c r="Z79" s="138"/>
      <c r="AA79" s="138"/>
      <c r="AB79" s="135"/>
      <c r="AC79" s="138"/>
      <c r="AD79" s="138"/>
      <c r="AE79" s="138"/>
      <c r="AF79" s="138"/>
      <c r="AG79" s="138"/>
      <c r="AH79" s="140"/>
      <c r="AJ79" s="125" t="s">
        <v>761</v>
      </c>
      <c r="AK79" s="125" t="s">
        <v>687</v>
      </c>
    </row>
    <row r="80" spans="1:38">
      <c r="A80" s="187">
        <f t="shared" si="1"/>
        <v>71</v>
      </c>
      <c r="B80" s="187" t="s">
        <v>1042</v>
      </c>
      <c r="C80" s="187" t="s">
        <v>686</v>
      </c>
      <c r="D80" s="186" t="b">
        <v>1</v>
      </c>
      <c r="E80" s="187">
        <v>0</v>
      </c>
      <c r="F80" s="187">
        <v>6</v>
      </c>
      <c r="G80" s="187">
        <v>0</v>
      </c>
      <c r="H80" s="187">
        <v>0</v>
      </c>
      <c r="I80" s="188"/>
      <c r="J80" s="189" t="s">
        <v>131</v>
      </c>
      <c r="K80" s="137"/>
      <c r="L80" s="137"/>
      <c r="M80" s="539"/>
      <c r="N80" s="539"/>
      <c r="O80" s="539"/>
      <c r="P80" s="135"/>
      <c r="Q80" s="138"/>
      <c r="R80" s="138"/>
      <c r="S80" s="138"/>
      <c r="T80" s="138"/>
      <c r="U80" s="138"/>
      <c r="V80" s="138"/>
      <c r="W80" s="138"/>
      <c r="X80" s="138"/>
      <c r="Y80" s="138"/>
      <c r="Z80" s="138"/>
      <c r="AA80" s="138"/>
      <c r="AB80" s="135"/>
      <c r="AC80" s="138"/>
      <c r="AD80" s="138"/>
      <c r="AE80" s="138"/>
      <c r="AF80" s="138"/>
      <c r="AG80" s="138"/>
      <c r="AH80" s="140"/>
      <c r="AJ80" s="125" t="s">
        <v>761</v>
      </c>
      <c r="AK80" s="125" t="s">
        <v>686</v>
      </c>
    </row>
    <row r="81" spans="1:50">
      <c r="A81" s="187">
        <f t="shared" si="1"/>
        <v>72</v>
      </c>
      <c r="B81" s="187" t="s">
        <v>1058</v>
      </c>
      <c r="C81" s="187" t="s">
        <v>830</v>
      </c>
      <c r="D81" s="186" t="b">
        <v>1</v>
      </c>
      <c r="E81" s="187">
        <v>0</v>
      </c>
      <c r="F81" s="187">
        <v>30</v>
      </c>
      <c r="G81" s="187">
        <v>0</v>
      </c>
      <c r="H81" s="187">
        <v>0</v>
      </c>
      <c r="I81" s="188"/>
      <c r="J81" s="189" t="s">
        <v>131</v>
      </c>
      <c r="K81" s="137"/>
      <c r="L81" s="137"/>
      <c r="M81" s="539"/>
      <c r="N81" s="539"/>
      <c r="O81" s="539"/>
      <c r="P81" s="135"/>
      <c r="Q81" s="138"/>
      <c r="R81" s="138"/>
      <c r="S81" s="138"/>
      <c r="T81" s="138"/>
      <c r="U81" s="138"/>
      <c r="V81" s="138"/>
      <c r="W81" s="138"/>
      <c r="X81" s="138"/>
      <c r="Y81" s="138"/>
      <c r="Z81" s="138"/>
      <c r="AA81" s="138"/>
      <c r="AB81" s="135"/>
      <c r="AC81" s="138"/>
      <c r="AD81" s="138"/>
      <c r="AE81" s="138"/>
      <c r="AF81" s="138"/>
      <c r="AG81" s="138"/>
      <c r="AH81" s="140"/>
      <c r="AJ81" s="125" t="s">
        <v>831</v>
      </c>
      <c r="AK81" s="125" t="s">
        <v>830</v>
      </c>
    </row>
    <row r="82" spans="1:50">
      <c r="A82" s="187">
        <f t="shared" si="1"/>
        <v>73</v>
      </c>
      <c r="B82" s="187" t="s">
        <v>1059</v>
      </c>
      <c r="C82" s="187" t="s">
        <v>832</v>
      </c>
      <c r="D82" s="186" t="b">
        <v>1</v>
      </c>
      <c r="E82" s="187">
        <v>0</v>
      </c>
      <c r="F82" s="187">
        <v>42</v>
      </c>
      <c r="G82" s="187">
        <v>0</v>
      </c>
      <c r="H82" s="187">
        <v>0</v>
      </c>
      <c r="I82" s="188"/>
      <c r="J82" s="189" t="s">
        <v>131</v>
      </c>
      <c r="K82" s="137"/>
      <c r="L82" s="137"/>
      <c r="M82" s="539"/>
      <c r="N82" s="539"/>
      <c r="O82" s="539"/>
      <c r="P82" s="135"/>
      <c r="Q82" s="138"/>
      <c r="R82" s="138"/>
      <c r="S82" s="138"/>
      <c r="T82" s="138"/>
      <c r="U82" s="138"/>
      <c r="V82" s="138"/>
      <c r="W82" s="138"/>
      <c r="X82" s="138"/>
      <c r="Y82" s="138"/>
      <c r="Z82" s="138"/>
      <c r="AA82" s="138"/>
      <c r="AB82" s="135"/>
      <c r="AC82" s="138"/>
      <c r="AD82" s="138"/>
      <c r="AE82" s="138"/>
      <c r="AF82" s="138"/>
      <c r="AG82" s="138"/>
      <c r="AH82" s="140"/>
      <c r="AJ82" s="125" t="s">
        <v>833</v>
      </c>
      <c r="AK82" s="125" t="s">
        <v>832</v>
      </c>
    </row>
    <row r="83" spans="1:50">
      <c r="A83" s="187">
        <f t="shared" si="1"/>
        <v>74</v>
      </c>
      <c r="B83" s="187" t="s">
        <v>1043</v>
      </c>
      <c r="C83" s="187" t="s">
        <v>834</v>
      </c>
      <c r="D83" s="186" t="b">
        <v>1</v>
      </c>
      <c r="E83" s="187">
        <v>0</v>
      </c>
      <c r="F83" s="187">
        <v>1000</v>
      </c>
      <c r="G83" s="187">
        <v>0</v>
      </c>
      <c r="H83" s="187">
        <v>0</v>
      </c>
      <c r="I83" s="188"/>
      <c r="J83" s="189" t="s">
        <v>131</v>
      </c>
      <c r="K83" s="137"/>
      <c r="L83" s="137"/>
      <c r="M83" s="539"/>
      <c r="N83" s="539"/>
      <c r="O83" s="539"/>
      <c r="P83" s="135"/>
      <c r="Q83" s="138"/>
      <c r="R83" s="138"/>
      <c r="S83" s="138"/>
      <c r="T83" s="138"/>
      <c r="U83" s="138"/>
      <c r="V83" s="138"/>
      <c r="W83" s="138"/>
      <c r="X83" s="138"/>
      <c r="Y83" s="138"/>
      <c r="Z83" s="138"/>
      <c r="AA83" s="138"/>
      <c r="AB83" s="135"/>
      <c r="AC83" s="138"/>
      <c r="AD83" s="138"/>
      <c r="AE83" s="138"/>
      <c r="AF83" s="138"/>
      <c r="AG83" s="138"/>
      <c r="AH83" s="140"/>
      <c r="AJ83" s="125" t="s">
        <v>761</v>
      </c>
      <c r="AK83" s="125" t="s">
        <v>834</v>
      </c>
    </row>
    <row r="84" spans="1:50">
      <c r="A84" s="187">
        <f t="shared" si="1"/>
        <v>75</v>
      </c>
      <c r="B84" s="187" t="s">
        <v>1044</v>
      </c>
      <c r="C84" s="187" t="s">
        <v>835</v>
      </c>
      <c r="D84" s="186" t="b">
        <v>1</v>
      </c>
      <c r="E84" s="187">
        <v>0</v>
      </c>
      <c r="F84" s="187">
        <v>500</v>
      </c>
      <c r="G84" s="187">
        <v>0</v>
      </c>
      <c r="H84" s="187">
        <v>0</v>
      </c>
      <c r="I84" s="188"/>
      <c r="J84" s="189" t="s">
        <v>131</v>
      </c>
      <c r="K84" s="137"/>
      <c r="L84" s="137"/>
      <c r="M84" s="539"/>
      <c r="N84" s="539"/>
      <c r="O84" s="539"/>
      <c r="P84" s="135"/>
      <c r="Q84" s="138"/>
      <c r="R84" s="138"/>
      <c r="S84" s="138"/>
      <c r="T84" s="138"/>
      <c r="U84" s="138"/>
      <c r="V84" s="138"/>
      <c r="W84" s="138"/>
      <c r="X84" s="138"/>
      <c r="Y84" s="138"/>
      <c r="Z84" s="138"/>
      <c r="AA84" s="138"/>
      <c r="AB84" s="135"/>
      <c r="AC84" s="138"/>
      <c r="AD84" s="138"/>
      <c r="AE84" s="138"/>
      <c r="AF84" s="138"/>
      <c r="AG84" s="138"/>
      <c r="AH84" s="140"/>
      <c r="AJ84" s="125" t="s">
        <v>761</v>
      </c>
      <c r="AK84" s="125" t="s">
        <v>835</v>
      </c>
    </row>
    <row r="85" spans="1:50">
      <c r="A85" s="187">
        <f t="shared" si="1"/>
        <v>76</v>
      </c>
      <c r="B85" s="187" t="s">
        <v>1045</v>
      </c>
      <c r="C85" s="187" t="s">
        <v>836</v>
      </c>
      <c r="D85" s="186" t="b">
        <v>1</v>
      </c>
      <c r="E85" s="187">
        <v>0</v>
      </c>
      <c r="F85" s="187">
        <v>500</v>
      </c>
      <c r="G85" s="187">
        <v>0</v>
      </c>
      <c r="H85" s="187">
        <v>0</v>
      </c>
      <c r="I85" s="188"/>
      <c r="J85" s="189" t="s">
        <v>131</v>
      </c>
      <c r="K85" s="137"/>
      <c r="L85" s="137"/>
      <c r="M85" s="539"/>
      <c r="N85" s="539"/>
      <c r="O85" s="539"/>
      <c r="P85" s="135"/>
      <c r="Q85" s="138"/>
      <c r="R85" s="138"/>
      <c r="S85" s="138"/>
      <c r="T85" s="138"/>
      <c r="U85" s="138"/>
      <c r="V85" s="138"/>
      <c r="W85" s="138"/>
      <c r="X85" s="138"/>
      <c r="Y85" s="138"/>
      <c r="Z85" s="138"/>
      <c r="AA85" s="138"/>
      <c r="AB85" s="135"/>
      <c r="AC85" s="138"/>
      <c r="AD85" s="138"/>
      <c r="AE85" s="138"/>
      <c r="AF85" s="138"/>
      <c r="AG85" s="138"/>
      <c r="AH85" s="140"/>
      <c r="AJ85" s="125" t="s">
        <v>761</v>
      </c>
      <c r="AK85" s="125" t="s">
        <v>836</v>
      </c>
    </row>
    <row r="86" spans="1:50">
      <c r="A86" s="187">
        <f t="shared" si="1"/>
        <v>77</v>
      </c>
      <c r="B86" s="187" t="s">
        <v>1046</v>
      </c>
      <c r="C86" s="187" t="s">
        <v>837</v>
      </c>
      <c r="D86" s="186" t="b">
        <v>0</v>
      </c>
      <c r="E86" s="187">
        <v>0</v>
      </c>
      <c r="F86" s="187">
        <v>0</v>
      </c>
      <c r="G86" s="187">
        <v>0</v>
      </c>
      <c r="H86" s="187">
        <v>0</v>
      </c>
      <c r="I86" s="188"/>
      <c r="J86" s="189" t="s">
        <v>1020</v>
      </c>
      <c r="K86" s="137"/>
      <c r="L86" s="137"/>
      <c r="M86" s="539"/>
      <c r="N86" s="539"/>
      <c r="O86" s="539"/>
      <c r="P86" s="135"/>
      <c r="Q86" s="138"/>
      <c r="R86" s="138"/>
      <c r="S86" s="138"/>
      <c r="T86" s="138"/>
      <c r="U86" s="138"/>
      <c r="V86" s="138"/>
      <c r="W86" s="138"/>
      <c r="X86" s="138"/>
      <c r="Y86" s="138"/>
      <c r="Z86" s="138"/>
      <c r="AA86" s="138"/>
      <c r="AB86" s="135"/>
      <c r="AC86" s="138"/>
      <c r="AD86" s="138"/>
      <c r="AE86" s="138"/>
      <c r="AF86" s="138"/>
      <c r="AG86" s="138"/>
      <c r="AH86" s="140"/>
      <c r="AJ86" s="125" t="s">
        <v>761</v>
      </c>
      <c r="AK86" s="125" t="s">
        <v>837</v>
      </c>
      <c r="AP86" s="178"/>
      <c r="AQ86" s="178"/>
      <c r="AR86" s="178"/>
      <c r="AS86" s="178"/>
      <c r="AT86" s="178"/>
      <c r="AU86" s="178"/>
      <c r="AV86" s="178"/>
      <c r="AW86" s="178"/>
      <c r="AX86" s="178"/>
    </row>
    <row r="87" spans="1:50">
      <c r="A87" s="187">
        <f t="shared" si="1"/>
        <v>78</v>
      </c>
      <c r="B87" s="187" t="s">
        <v>1074</v>
      </c>
      <c r="C87" s="187" t="s">
        <v>1075</v>
      </c>
      <c r="D87" s="186" t="b">
        <v>1</v>
      </c>
      <c r="E87" s="187">
        <v>0</v>
      </c>
      <c r="F87" s="187">
        <v>100</v>
      </c>
      <c r="G87" s="187">
        <v>0</v>
      </c>
      <c r="H87" s="187">
        <v>0</v>
      </c>
      <c r="I87" s="188"/>
      <c r="J87" s="189" t="s">
        <v>131</v>
      </c>
      <c r="K87" s="137"/>
      <c r="L87" s="137"/>
      <c r="M87" s="539"/>
      <c r="N87" s="539"/>
      <c r="O87" s="539"/>
      <c r="P87" s="135"/>
      <c r="Q87" s="138"/>
      <c r="R87" s="138"/>
      <c r="S87" s="138"/>
      <c r="T87" s="138"/>
      <c r="U87" s="138"/>
      <c r="V87" s="138"/>
      <c r="W87" s="138"/>
      <c r="X87" s="138"/>
      <c r="Y87" s="138"/>
      <c r="Z87" s="138"/>
      <c r="AA87" s="138"/>
      <c r="AB87" s="135"/>
      <c r="AC87" s="138"/>
      <c r="AD87" s="138"/>
      <c r="AE87" s="138"/>
      <c r="AF87" s="138"/>
      <c r="AG87" s="138"/>
      <c r="AH87" s="140"/>
      <c r="AJ87" s="125" t="s">
        <v>838</v>
      </c>
      <c r="AK87" s="125" t="s">
        <v>771</v>
      </c>
    </row>
    <row r="88" spans="1:50">
      <c r="A88" s="187">
        <f t="shared" si="1"/>
        <v>79</v>
      </c>
      <c r="B88" s="187" t="s">
        <v>1047</v>
      </c>
      <c r="C88" s="187" t="s">
        <v>839</v>
      </c>
      <c r="D88" s="186" t="b">
        <v>1</v>
      </c>
      <c r="E88" s="187">
        <v>0</v>
      </c>
      <c r="F88" s="187">
        <v>256</v>
      </c>
      <c r="G88" s="187">
        <v>0</v>
      </c>
      <c r="H88" s="187">
        <v>0</v>
      </c>
      <c r="I88" s="188"/>
      <c r="J88" s="189" t="s">
        <v>131</v>
      </c>
      <c r="K88" s="137"/>
      <c r="L88" s="137"/>
      <c r="M88" s="539"/>
      <c r="N88" s="539"/>
      <c r="O88" s="539"/>
      <c r="P88" s="135"/>
      <c r="Q88" s="138"/>
      <c r="R88" s="138"/>
      <c r="S88" s="138"/>
      <c r="T88" s="138"/>
      <c r="U88" s="138"/>
      <c r="V88" s="138"/>
      <c r="W88" s="138"/>
      <c r="X88" s="138"/>
      <c r="Y88" s="138"/>
      <c r="Z88" s="138"/>
      <c r="AA88" s="138"/>
      <c r="AB88" s="135"/>
      <c r="AC88" s="138"/>
      <c r="AD88" s="138"/>
      <c r="AE88" s="138"/>
      <c r="AF88" s="138"/>
      <c r="AG88" s="138"/>
      <c r="AH88" s="140"/>
      <c r="AJ88" s="125" t="s">
        <v>761</v>
      </c>
      <c r="AK88" s="125" t="s">
        <v>1048</v>
      </c>
    </row>
    <row r="89" spans="1:50">
      <c r="A89" s="187">
        <f t="shared" si="1"/>
        <v>80</v>
      </c>
      <c r="B89" s="187" t="s">
        <v>1049</v>
      </c>
      <c r="C89" s="187" t="s">
        <v>840</v>
      </c>
      <c r="D89" s="186" t="b">
        <v>1</v>
      </c>
      <c r="E89" s="187">
        <v>0</v>
      </c>
      <c r="F89" s="187">
        <v>256</v>
      </c>
      <c r="G89" s="187">
        <v>0</v>
      </c>
      <c r="H89" s="187">
        <v>0</v>
      </c>
      <c r="I89" s="188"/>
      <c r="J89" s="189" t="s">
        <v>131</v>
      </c>
      <c r="K89" s="137"/>
      <c r="L89" s="137"/>
      <c r="M89" s="539"/>
      <c r="N89" s="539"/>
      <c r="O89" s="539"/>
      <c r="P89" s="135"/>
      <c r="Q89" s="138"/>
      <c r="R89" s="138"/>
      <c r="S89" s="138"/>
      <c r="T89" s="138"/>
      <c r="U89" s="138"/>
      <c r="V89" s="138"/>
      <c r="W89" s="138"/>
      <c r="X89" s="138"/>
      <c r="Y89" s="138"/>
      <c r="Z89" s="138"/>
      <c r="AA89" s="138"/>
      <c r="AB89" s="135"/>
      <c r="AC89" s="138"/>
      <c r="AD89" s="138"/>
      <c r="AE89" s="138"/>
      <c r="AF89" s="138"/>
      <c r="AG89" s="138"/>
      <c r="AH89" s="140"/>
      <c r="AJ89" s="125" t="s">
        <v>761</v>
      </c>
      <c r="AK89" s="125" t="s">
        <v>1050</v>
      </c>
    </row>
    <row r="90" spans="1:50">
      <c r="A90" s="187">
        <f t="shared" si="1"/>
        <v>81</v>
      </c>
      <c r="B90" s="187" t="s">
        <v>1081</v>
      </c>
      <c r="C90" s="187" t="s">
        <v>841</v>
      </c>
      <c r="D90" s="186" t="b">
        <v>1</v>
      </c>
      <c r="E90" s="187">
        <v>0</v>
      </c>
      <c r="F90" s="187">
        <v>256</v>
      </c>
      <c r="G90" s="187">
        <v>0</v>
      </c>
      <c r="H90" s="187">
        <v>0</v>
      </c>
      <c r="I90" s="188"/>
      <c r="J90" s="189" t="s">
        <v>131</v>
      </c>
      <c r="K90" s="137"/>
      <c r="L90" s="137"/>
      <c r="M90" s="539"/>
      <c r="N90" s="539"/>
      <c r="O90" s="539"/>
      <c r="P90" s="135"/>
      <c r="Q90" s="138"/>
      <c r="R90" s="138"/>
      <c r="S90" s="138"/>
      <c r="T90" s="138"/>
      <c r="U90" s="138"/>
      <c r="V90" s="138"/>
      <c r="W90" s="138"/>
      <c r="X90" s="138"/>
      <c r="Y90" s="138"/>
      <c r="Z90" s="138"/>
      <c r="AA90" s="138"/>
      <c r="AB90" s="135"/>
      <c r="AC90" s="138"/>
      <c r="AD90" s="138"/>
      <c r="AE90" s="138"/>
      <c r="AF90" s="138"/>
      <c r="AG90" s="138"/>
      <c r="AH90" s="140"/>
      <c r="AJ90" s="125" t="s">
        <v>761</v>
      </c>
      <c r="AK90" s="125" t="s">
        <v>841</v>
      </c>
    </row>
    <row r="91" spans="1:50">
      <c r="A91" s="187">
        <f t="shared" si="1"/>
        <v>82</v>
      </c>
      <c r="B91" s="187" t="s">
        <v>1051</v>
      </c>
      <c r="C91" s="187" t="s">
        <v>842</v>
      </c>
      <c r="D91" s="186" t="b">
        <v>0</v>
      </c>
      <c r="E91" s="187">
        <v>0</v>
      </c>
      <c r="F91" s="187">
        <v>10</v>
      </c>
      <c r="G91" s="187">
        <v>0</v>
      </c>
      <c r="H91" s="187">
        <v>0</v>
      </c>
      <c r="I91" s="188"/>
      <c r="J91" s="189" t="s">
        <v>129</v>
      </c>
      <c r="K91" s="137"/>
      <c r="L91" s="137"/>
      <c r="M91" s="539"/>
      <c r="N91" s="539"/>
      <c r="O91" s="539"/>
      <c r="P91" s="135"/>
      <c r="Q91" s="138"/>
      <c r="R91" s="138"/>
      <c r="S91" s="138"/>
      <c r="T91" s="138"/>
      <c r="U91" s="138"/>
      <c r="V91" s="138"/>
      <c r="W91" s="138"/>
      <c r="X91" s="138"/>
      <c r="Y91" s="138"/>
      <c r="Z91" s="138"/>
      <c r="AA91" s="138"/>
      <c r="AB91" s="135"/>
      <c r="AC91" s="138"/>
      <c r="AD91" s="138"/>
      <c r="AE91" s="138"/>
      <c r="AF91" s="138"/>
      <c r="AG91" s="138"/>
      <c r="AH91" s="140"/>
      <c r="AJ91" s="142" t="s">
        <v>843</v>
      </c>
      <c r="AK91" s="125" t="s">
        <v>842</v>
      </c>
    </row>
    <row r="92" spans="1:50">
      <c r="A92" s="137" t="str">
        <f t="shared" si="1"/>
        <v/>
      </c>
      <c r="B92" s="137"/>
      <c r="C92" s="137"/>
      <c r="D92" s="136"/>
      <c r="E92" s="137"/>
      <c r="F92" s="137"/>
      <c r="G92" s="137"/>
      <c r="H92" s="137"/>
      <c r="I92" s="135"/>
      <c r="J92" s="140"/>
      <c r="K92" s="137"/>
      <c r="L92" s="137"/>
      <c r="M92" s="539"/>
      <c r="N92" s="539"/>
      <c r="O92" s="539"/>
      <c r="P92" s="135"/>
      <c r="Q92" s="138"/>
      <c r="R92" s="138"/>
      <c r="S92" s="138"/>
      <c r="T92" s="138"/>
      <c r="U92" s="138"/>
      <c r="V92" s="138"/>
      <c r="W92" s="138"/>
      <c r="X92" s="138"/>
      <c r="Y92" s="138"/>
      <c r="Z92" s="138"/>
      <c r="AA92" s="138"/>
      <c r="AB92" s="135"/>
      <c r="AC92" s="138"/>
      <c r="AD92" s="138"/>
      <c r="AE92" s="138"/>
      <c r="AF92" s="138"/>
      <c r="AG92" s="138"/>
      <c r="AH92" s="140"/>
    </row>
    <row r="93" spans="1:50">
      <c r="A93" s="137" t="str">
        <f t="shared" si="1"/>
        <v/>
      </c>
      <c r="B93" s="137"/>
      <c r="C93" s="137"/>
      <c r="D93" s="136"/>
      <c r="E93" s="137"/>
      <c r="F93" s="137"/>
      <c r="G93" s="137"/>
      <c r="H93" s="137"/>
      <c r="I93" s="135"/>
      <c r="J93" s="140"/>
      <c r="K93" s="137"/>
      <c r="L93" s="137"/>
      <c r="M93" s="539"/>
      <c r="N93" s="539"/>
      <c r="O93" s="539"/>
      <c r="P93" s="135"/>
      <c r="Q93" s="138"/>
      <c r="R93" s="138"/>
      <c r="S93" s="138"/>
      <c r="T93" s="138"/>
      <c r="U93" s="138"/>
      <c r="V93" s="138"/>
      <c r="W93" s="138"/>
      <c r="X93" s="138"/>
      <c r="Y93" s="138"/>
      <c r="Z93" s="138"/>
      <c r="AA93" s="138"/>
      <c r="AB93" s="135"/>
      <c r="AC93" s="138"/>
      <c r="AD93" s="138"/>
      <c r="AE93" s="138"/>
      <c r="AF93" s="138"/>
      <c r="AG93" s="138"/>
      <c r="AH93" s="140"/>
    </row>
    <row r="94" spans="1:50">
      <c r="A94" s="144" t="str">
        <f t="shared" si="1"/>
        <v/>
      </c>
      <c r="B94" s="145"/>
      <c r="C94" s="145"/>
      <c r="D94" s="146"/>
      <c r="E94" s="144"/>
      <c r="F94" s="144"/>
      <c r="G94" s="144"/>
      <c r="H94" s="144"/>
      <c r="I94" s="147"/>
      <c r="J94" s="148"/>
      <c r="K94" s="144"/>
      <c r="L94" s="144"/>
      <c r="M94" s="545"/>
      <c r="N94" s="545"/>
      <c r="O94" s="545"/>
      <c r="P94" s="147"/>
      <c r="Q94" s="149"/>
      <c r="R94" s="149"/>
      <c r="S94" s="149"/>
      <c r="T94" s="149"/>
      <c r="U94" s="149"/>
      <c r="V94" s="149"/>
      <c r="W94" s="149"/>
      <c r="X94" s="149"/>
      <c r="Y94" s="149"/>
      <c r="Z94" s="149"/>
      <c r="AA94" s="149"/>
      <c r="AB94" s="147"/>
      <c r="AC94" s="149"/>
      <c r="AD94" s="149"/>
      <c r="AE94" s="149"/>
      <c r="AF94" s="149"/>
      <c r="AG94" s="149"/>
      <c r="AH94" s="148"/>
    </row>
    <row r="95" spans="1:50">
      <c r="A95" s="515" t="s">
        <v>37</v>
      </c>
      <c r="B95" s="516"/>
      <c r="C95" s="516"/>
      <c r="D95" s="516"/>
      <c r="E95" s="516"/>
      <c r="F95" s="516"/>
      <c r="G95" s="516"/>
      <c r="H95" s="516"/>
      <c r="I95" s="516"/>
      <c r="J95" s="516"/>
      <c r="K95" s="516"/>
      <c r="L95" s="516"/>
      <c r="M95" s="516"/>
      <c r="N95" s="516"/>
      <c r="O95" s="516"/>
      <c r="P95" s="516"/>
      <c r="Q95" s="516"/>
      <c r="R95" s="516"/>
      <c r="S95" s="516"/>
      <c r="T95" s="516"/>
      <c r="U95" s="516"/>
      <c r="V95" s="516"/>
      <c r="W95" s="516"/>
      <c r="X95" s="516"/>
      <c r="Y95" s="516"/>
      <c r="Z95" s="516"/>
      <c r="AA95" s="516"/>
      <c r="AB95" s="516"/>
      <c r="AC95" s="516"/>
      <c r="AD95" s="516"/>
      <c r="AE95" s="516"/>
      <c r="AF95" s="516"/>
      <c r="AG95" s="516"/>
      <c r="AH95" s="517"/>
    </row>
    <row r="96" spans="1:50">
      <c r="A96" s="150"/>
      <c r="B96" s="151"/>
      <c r="C96" s="151"/>
      <c r="D96" s="152"/>
      <c r="E96" s="151"/>
      <c r="F96" s="151"/>
      <c r="G96" s="151"/>
      <c r="H96" s="151"/>
      <c r="I96" s="151"/>
      <c r="J96" s="151"/>
      <c r="K96" s="151"/>
      <c r="L96" s="151"/>
      <c r="M96" s="518"/>
      <c r="N96" s="518"/>
      <c r="O96" s="518"/>
      <c r="P96" s="151"/>
      <c r="Q96" s="151"/>
      <c r="R96" s="151"/>
      <c r="S96" s="151"/>
      <c r="T96" s="151"/>
      <c r="U96" s="151"/>
      <c r="V96" s="151"/>
      <c r="W96" s="151"/>
      <c r="X96" s="151"/>
      <c r="Y96" s="151"/>
      <c r="Z96" s="151"/>
      <c r="AA96" s="151"/>
      <c r="AB96" s="151"/>
      <c r="AC96" s="151"/>
      <c r="AD96" s="151"/>
      <c r="AE96" s="151"/>
      <c r="AF96" s="151"/>
      <c r="AG96" s="151"/>
      <c r="AH96" s="153"/>
    </row>
    <row r="97" spans="1:34">
      <c r="A97" s="154"/>
      <c r="B97" s="125" t="s">
        <v>38</v>
      </c>
      <c r="M97" s="544"/>
      <c r="N97" s="544"/>
      <c r="O97" s="544"/>
      <c r="AH97" s="156"/>
    </row>
    <row r="98" spans="1:34" s="293" customFormat="1">
      <c r="A98" s="154"/>
      <c r="B98" s="171" t="s">
        <v>761</v>
      </c>
      <c r="AH98" s="156"/>
    </row>
    <row r="99" spans="1:34" s="293" customFormat="1">
      <c r="A99" s="154"/>
      <c r="B99" s="171" t="s">
        <v>948</v>
      </c>
      <c r="AH99" s="156"/>
    </row>
    <row r="100" spans="1:34" s="293" customFormat="1">
      <c r="A100" s="154"/>
      <c r="B100" s="171" t="s">
        <v>1142</v>
      </c>
      <c r="AH100" s="156"/>
    </row>
    <row r="101" spans="1:34" s="293" customFormat="1">
      <c r="A101" s="154"/>
      <c r="B101" s="171" t="s">
        <v>586</v>
      </c>
      <c r="AH101" s="156"/>
    </row>
    <row r="102" spans="1:34" s="293" customFormat="1">
      <c r="A102" s="154"/>
      <c r="B102" s="171" t="s">
        <v>862</v>
      </c>
      <c r="AH102" s="156"/>
    </row>
    <row r="103" spans="1:34" s="293" customFormat="1">
      <c r="A103" s="154"/>
      <c r="B103" s="171" t="s">
        <v>736</v>
      </c>
      <c r="AH103" s="156"/>
    </row>
    <row r="104" spans="1:34" s="293" customFormat="1">
      <c r="A104" s="154"/>
      <c r="B104" s="171" t="s">
        <v>1327</v>
      </c>
      <c r="AH104" s="156"/>
    </row>
    <row r="105" spans="1:34" s="293" customFormat="1">
      <c r="A105" s="154"/>
      <c r="B105" s="171" t="s">
        <v>1328</v>
      </c>
      <c r="AH105" s="156"/>
    </row>
    <row r="106" spans="1:34" s="293" customFormat="1">
      <c r="A106" s="154"/>
      <c r="B106" s="171" t="s">
        <v>1329</v>
      </c>
      <c r="AH106" s="156"/>
    </row>
    <row r="107" spans="1:34" s="293" customFormat="1">
      <c r="A107" s="154"/>
      <c r="B107" s="171" t="s">
        <v>868</v>
      </c>
      <c r="AH107" s="156"/>
    </row>
    <row r="108" spans="1:34" s="293" customFormat="1">
      <c r="A108" s="154"/>
      <c r="B108" s="171" t="s">
        <v>865</v>
      </c>
      <c r="AH108" s="156"/>
    </row>
    <row r="109" spans="1:34" s="293" customFormat="1">
      <c r="A109" s="154"/>
      <c r="B109" s="171" t="s">
        <v>887</v>
      </c>
      <c r="AH109" s="156"/>
    </row>
    <row r="110" spans="1:34" s="293" customFormat="1">
      <c r="A110" s="154"/>
      <c r="B110" s="171" t="s">
        <v>1171</v>
      </c>
      <c r="AH110" s="156"/>
    </row>
    <row r="111" spans="1:34" s="293" customFormat="1">
      <c r="A111" s="154"/>
      <c r="B111" s="171" t="s">
        <v>1166</v>
      </c>
      <c r="AH111" s="156"/>
    </row>
    <row r="112" spans="1:34" s="293" customFormat="1">
      <c r="A112" s="154"/>
      <c r="AH112" s="156"/>
    </row>
    <row r="113" spans="1:34" s="293" customFormat="1">
      <c r="A113" s="154"/>
      <c r="B113" s="293" t="s">
        <v>39</v>
      </c>
      <c r="AH113" s="156"/>
    </row>
    <row r="114" spans="1:34" s="293" customFormat="1">
      <c r="A114" s="154"/>
      <c r="B114" s="171" t="s">
        <v>1326</v>
      </c>
      <c r="AH114" s="156"/>
    </row>
    <row r="115" spans="1:34" s="293" customFormat="1">
      <c r="A115" s="154"/>
      <c r="B115" s="171"/>
      <c r="AH115" s="156"/>
    </row>
    <row r="116" spans="1:34" s="293" customFormat="1">
      <c r="A116" s="154"/>
      <c r="AH116" s="156"/>
    </row>
    <row r="117" spans="1:34">
      <c r="A117" s="154"/>
      <c r="B117" s="125" t="s">
        <v>41</v>
      </c>
      <c r="AH117" s="156"/>
    </row>
    <row r="118" spans="1:34">
      <c r="A118" s="154"/>
      <c r="B118" s="125" t="s">
        <v>951</v>
      </c>
      <c r="C118" s="125" t="s">
        <v>952</v>
      </c>
      <c r="AH118" s="156"/>
    </row>
    <row r="119" spans="1:34" s="293" customFormat="1">
      <c r="A119" s="154"/>
      <c r="D119" s="293" t="s">
        <v>1351</v>
      </c>
      <c r="AH119" s="156"/>
    </row>
    <row r="120" spans="1:34" s="293" customFormat="1">
      <c r="A120" s="154"/>
      <c r="D120" s="293" t="s">
        <v>1352</v>
      </c>
      <c r="AH120" s="156"/>
    </row>
    <row r="121" spans="1:34" s="293" customFormat="1">
      <c r="A121" s="154"/>
      <c r="AH121" s="156"/>
    </row>
    <row r="122" spans="1:34">
      <c r="A122" s="154"/>
      <c r="B122" s="125" t="s">
        <v>953</v>
      </c>
      <c r="C122" s="125" t="s">
        <v>952</v>
      </c>
      <c r="AH122" s="156"/>
    </row>
    <row r="123" spans="1:34" s="293" customFormat="1">
      <c r="A123" s="154"/>
      <c r="D123" s="293" t="s">
        <v>1351</v>
      </c>
      <c r="AH123" s="156"/>
    </row>
    <row r="124" spans="1:34" s="293" customFormat="1">
      <c r="A124" s="154"/>
      <c r="D124" s="293" t="s">
        <v>1353</v>
      </c>
      <c r="AH124" s="156"/>
    </row>
    <row r="125" spans="1:34">
      <c r="A125" s="154"/>
      <c r="AH125" s="156"/>
    </row>
    <row r="126" spans="1:34">
      <c r="A126" s="154"/>
      <c r="B126" s="125" t="s">
        <v>954</v>
      </c>
      <c r="C126" s="125" t="s">
        <v>955</v>
      </c>
      <c r="AH126" s="156"/>
    </row>
    <row r="127" spans="1:34" s="293" customFormat="1">
      <c r="A127" s="154"/>
      <c r="C127" s="293" t="s">
        <v>1350</v>
      </c>
      <c r="AH127" s="156"/>
    </row>
    <row r="128" spans="1:34">
      <c r="A128" s="154"/>
      <c r="D128" s="293" t="s">
        <v>1339</v>
      </c>
      <c r="E128" s="293"/>
      <c r="F128" s="293"/>
      <c r="G128" s="293"/>
      <c r="H128" s="293"/>
      <c r="J128" s="293" t="s">
        <v>1340</v>
      </c>
      <c r="AH128" s="156"/>
    </row>
    <row r="129" spans="1:34">
      <c r="A129" s="154"/>
      <c r="D129" s="293" t="s">
        <v>1341</v>
      </c>
      <c r="E129" s="293"/>
      <c r="F129" s="293"/>
      <c r="G129" s="293"/>
      <c r="H129" s="293"/>
      <c r="J129" s="293" t="s">
        <v>1342</v>
      </c>
      <c r="AH129" s="156"/>
    </row>
    <row r="130" spans="1:34">
      <c r="A130" s="154"/>
      <c r="D130" s="293" t="s">
        <v>1343</v>
      </c>
      <c r="E130" s="293"/>
      <c r="F130" s="293"/>
      <c r="G130" s="293"/>
      <c r="H130" s="293"/>
      <c r="J130" s="293" t="s">
        <v>1344</v>
      </c>
      <c r="AH130" s="156"/>
    </row>
    <row r="131" spans="1:34">
      <c r="A131" s="154"/>
      <c r="D131" s="293" t="s">
        <v>1345</v>
      </c>
      <c r="E131" s="293"/>
      <c r="F131" s="293"/>
      <c r="G131" s="293"/>
      <c r="H131" s="293"/>
      <c r="J131" s="293" t="s">
        <v>1346</v>
      </c>
      <c r="AH131" s="156"/>
    </row>
    <row r="132" spans="1:34">
      <c r="A132" s="154"/>
      <c r="D132" s="293" t="s">
        <v>1336</v>
      </c>
      <c r="E132" s="293"/>
      <c r="F132" s="293"/>
      <c r="G132" s="293"/>
      <c r="H132" s="293"/>
      <c r="J132" s="293" t="s">
        <v>1347</v>
      </c>
      <c r="AH132" s="156"/>
    </row>
    <row r="133" spans="1:34" s="293" customFormat="1">
      <c r="A133" s="154"/>
      <c r="AH133" s="156"/>
    </row>
    <row r="134" spans="1:34" s="293" customFormat="1">
      <c r="A134" s="154"/>
      <c r="B134" s="293" t="s">
        <v>1332</v>
      </c>
      <c r="C134" s="293" t="s">
        <v>1333</v>
      </c>
      <c r="AH134" s="156"/>
    </row>
    <row r="135" spans="1:34" s="293" customFormat="1">
      <c r="A135" s="154"/>
      <c r="D135" s="293" t="s">
        <v>1349</v>
      </c>
      <c r="G135" s="293" t="s">
        <v>1334</v>
      </c>
      <c r="AH135" s="156"/>
    </row>
    <row r="136" spans="1:34" s="293" customFormat="1">
      <c r="A136" s="154"/>
      <c r="D136" s="293" t="s">
        <v>1348</v>
      </c>
      <c r="G136" s="293" t="s">
        <v>1335</v>
      </c>
      <c r="AH136" s="156"/>
    </row>
    <row r="137" spans="1:34" s="293" customFormat="1">
      <c r="A137" s="154"/>
      <c r="D137" s="293" t="s">
        <v>1337</v>
      </c>
      <c r="G137" s="293" t="s">
        <v>1338</v>
      </c>
      <c r="AH137" s="156"/>
    </row>
    <row r="138" spans="1:34">
      <c r="A138" s="154"/>
      <c r="AH138" s="156"/>
    </row>
    <row r="139" spans="1:34">
      <c r="A139" s="154"/>
      <c r="B139" s="125" t="s">
        <v>225</v>
      </c>
      <c r="AH139" s="156"/>
    </row>
    <row r="140" spans="1:34">
      <c r="A140" s="154"/>
      <c r="B140" s="171" t="s">
        <v>956</v>
      </c>
      <c r="C140" s="125" t="s">
        <v>190</v>
      </c>
      <c r="AH140" s="156"/>
    </row>
    <row r="141" spans="1:34" s="293" customFormat="1">
      <c r="A141" s="154"/>
      <c r="B141" s="171"/>
      <c r="AH141" s="156"/>
    </row>
    <row r="142" spans="1:34">
      <c r="A142" s="154"/>
      <c r="AH142" s="156"/>
    </row>
    <row r="143" spans="1:34">
      <c r="A143" s="515" t="s">
        <v>42</v>
      </c>
      <c r="B143" s="516"/>
      <c r="C143" s="516"/>
      <c r="D143" s="516"/>
      <c r="E143" s="516"/>
      <c r="F143" s="516"/>
      <c r="G143" s="516"/>
      <c r="H143" s="516"/>
      <c r="I143" s="516"/>
      <c r="J143" s="516"/>
      <c r="K143" s="516"/>
      <c r="L143" s="516"/>
      <c r="M143" s="516"/>
      <c r="N143" s="516"/>
      <c r="O143" s="516"/>
      <c r="P143" s="516"/>
      <c r="Q143" s="516"/>
      <c r="R143" s="516"/>
      <c r="S143" s="516"/>
      <c r="T143" s="516"/>
      <c r="U143" s="516"/>
      <c r="V143" s="516"/>
      <c r="W143" s="516"/>
      <c r="X143" s="516"/>
      <c r="Y143" s="516"/>
      <c r="Z143" s="516"/>
      <c r="AA143" s="516"/>
      <c r="AB143" s="516"/>
      <c r="AC143" s="516"/>
      <c r="AD143" s="516"/>
      <c r="AE143" s="516"/>
      <c r="AF143" s="516"/>
      <c r="AG143" s="516"/>
      <c r="AH143" s="517"/>
    </row>
    <row r="144" spans="1:34">
      <c r="A144" s="154"/>
      <c r="M144" s="544"/>
      <c r="N144" s="544"/>
      <c r="O144" s="544"/>
      <c r="AH144" s="156"/>
    </row>
    <row r="145" spans="1:34">
      <c r="A145" s="154"/>
      <c r="B145" s="125" t="s">
        <v>957</v>
      </c>
      <c r="M145" s="544"/>
      <c r="N145" s="544"/>
      <c r="O145" s="544"/>
      <c r="AH145" s="156"/>
    </row>
    <row r="146" spans="1:34">
      <c r="A146" s="154"/>
      <c r="M146" s="544"/>
      <c r="N146" s="544"/>
      <c r="O146" s="544"/>
      <c r="AH146" s="156"/>
    </row>
    <row r="147" spans="1:34">
      <c r="A147" s="154"/>
      <c r="AH147" s="156"/>
    </row>
    <row r="148" spans="1:34">
      <c r="A148" s="154"/>
      <c r="B148" s="125" t="s">
        <v>750</v>
      </c>
      <c r="M148" s="544"/>
      <c r="N148" s="544"/>
      <c r="O148" s="544"/>
      <c r="AH148" s="156"/>
    </row>
    <row r="149" spans="1:34">
      <c r="A149" s="154"/>
      <c r="M149" s="544"/>
      <c r="N149" s="544"/>
      <c r="O149" s="544"/>
      <c r="AH149" s="156"/>
    </row>
    <row r="150" spans="1:34">
      <c r="A150" s="154"/>
      <c r="B150" s="125" t="s">
        <v>958</v>
      </c>
      <c r="M150" s="544"/>
      <c r="N150" s="544"/>
      <c r="O150" s="544"/>
      <c r="AH150" s="156"/>
    </row>
    <row r="151" spans="1:34">
      <c r="A151" s="154"/>
      <c r="M151" s="544"/>
      <c r="N151" s="544"/>
      <c r="O151" s="544"/>
      <c r="AH151" s="156"/>
    </row>
    <row r="152" spans="1:34">
      <c r="A152" s="154"/>
      <c r="B152" s="125" t="s">
        <v>579</v>
      </c>
      <c r="M152" s="544"/>
      <c r="N152" s="544"/>
      <c r="O152" s="544"/>
      <c r="AH152" s="156"/>
    </row>
    <row r="153" spans="1:34">
      <c r="A153" s="154"/>
      <c r="M153" s="544"/>
      <c r="N153" s="544"/>
      <c r="O153" s="544"/>
      <c r="AH153" s="156"/>
    </row>
    <row r="154" spans="1:34">
      <c r="A154" s="154"/>
      <c r="B154" s="125" t="s">
        <v>1359</v>
      </c>
      <c r="M154" s="544"/>
      <c r="N154" s="544"/>
      <c r="O154" s="544"/>
      <c r="AH154" s="156"/>
    </row>
    <row r="155" spans="1:34">
      <c r="A155" s="154"/>
      <c r="M155" s="544"/>
      <c r="N155" s="544"/>
      <c r="O155" s="544"/>
      <c r="AH155" s="156"/>
    </row>
    <row r="156" spans="1:34">
      <c r="A156" s="154"/>
      <c r="B156" s="125" t="s">
        <v>960</v>
      </c>
      <c r="M156" s="544"/>
      <c r="N156" s="544"/>
      <c r="O156" s="544"/>
      <c r="AH156" s="156"/>
    </row>
    <row r="157" spans="1:34">
      <c r="A157" s="154"/>
      <c r="M157" s="544"/>
      <c r="N157" s="544"/>
      <c r="O157" s="544"/>
      <c r="AH157" s="156"/>
    </row>
    <row r="158" spans="1:34">
      <c r="A158" s="154"/>
      <c r="B158" s="288" t="s">
        <v>1323</v>
      </c>
      <c r="M158" s="544"/>
      <c r="N158" s="544"/>
      <c r="O158" s="544"/>
      <c r="AH158" s="156"/>
    </row>
    <row r="159" spans="1:34">
      <c r="A159" s="154"/>
      <c r="B159" s="288" t="s">
        <v>1325</v>
      </c>
      <c r="M159" s="544"/>
      <c r="N159" s="544"/>
      <c r="O159" s="544"/>
      <c r="AH159" s="156"/>
    </row>
    <row r="160" spans="1:34">
      <c r="A160" s="154"/>
      <c r="M160" s="544"/>
      <c r="N160" s="544"/>
      <c r="O160" s="544"/>
      <c r="AH160" s="156"/>
    </row>
    <row r="161" spans="1:36">
      <c r="A161" s="154"/>
      <c r="M161" s="544"/>
      <c r="N161" s="544"/>
      <c r="O161" s="544"/>
      <c r="AH161" s="156"/>
    </row>
    <row r="162" spans="1:36">
      <c r="A162" s="154"/>
      <c r="M162" s="544"/>
      <c r="N162" s="544"/>
      <c r="O162" s="544"/>
      <c r="AH162" s="156"/>
    </row>
    <row r="163" spans="1:36">
      <c r="A163" s="154"/>
      <c r="AH163" s="156"/>
    </row>
    <row r="164" spans="1:36">
      <c r="A164" s="154"/>
      <c r="AH164" s="156"/>
    </row>
    <row r="165" spans="1:36">
      <c r="A165" s="515" t="s">
        <v>43</v>
      </c>
      <c r="B165" s="516"/>
      <c r="C165" s="516"/>
      <c r="D165" s="516"/>
      <c r="E165" s="516"/>
      <c r="F165" s="516"/>
      <c r="G165" s="516"/>
      <c r="H165" s="516"/>
      <c r="I165" s="516"/>
      <c r="J165" s="516"/>
      <c r="K165" s="516"/>
      <c r="L165" s="516"/>
      <c r="M165" s="516"/>
      <c r="N165" s="516"/>
      <c r="O165" s="516"/>
      <c r="P165" s="516"/>
      <c r="Q165" s="516"/>
      <c r="R165" s="516"/>
      <c r="S165" s="516"/>
      <c r="T165" s="516"/>
      <c r="U165" s="516"/>
      <c r="V165" s="516"/>
      <c r="W165" s="516"/>
      <c r="X165" s="516"/>
      <c r="Y165" s="516"/>
      <c r="Z165" s="516"/>
      <c r="AA165" s="516"/>
      <c r="AB165" s="516"/>
      <c r="AC165" s="516"/>
      <c r="AD165" s="516"/>
      <c r="AE165" s="516"/>
      <c r="AF165" s="516"/>
      <c r="AG165" s="516"/>
      <c r="AH165" s="517"/>
    </row>
    <row r="166" spans="1:36">
      <c r="A166" s="154"/>
      <c r="M166" s="544"/>
      <c r="N166" s="544"/>
      <c r="O166" s="544"/>
      <c r="AH166" s="156"/>
    </row>
    <row r="167" spans="1:36">
      <c r="A167" s="154"/>
      <c r="B167" s="125" t="s">
        <v>44</v>
      </c>
      <c r="AH167" s="156"/>
    </row>
    <row r="168" spans="1:36">
      <c r="A168" s="172"/>
      <c r="B168" s="169"/>
      <c r="C168" s="169"/>
      <c r="D168" s="169"/>
      <c r="E168" s="169"/>
      <c r="F168" s="169"/>
      <c r="G168" s="169"/>
      <c r="H168" s="169"/>
      <c r="I168" s="169"/>
      <c r="J168" s="169"/>
      <c r="K168" s="169"/>
      <c r="L168" s="169"/>
      <c r="M168" s="548"/>
      <c r="N168" s="548"/>
      <c r="O168" s="548"/>
      <c r="P168" s="169"/>
      <c r="Q168" s="169"/>
      <c r="R168" s="169"/>
      <c r="S168" s="169"/>
      <c r="T168" s="169"/>
      <c r="U168" s="169"/>
      <c r="V168" s="169"/>
      <c r="W168" s="169"/>
      <c r="X168" s="169"/>
      <c r="Y168" s="169"/>
      <c r="Z168" s="169"/>
      <c r="AA168" s="169"/>
      <c r="AB168" s="169"/>
      <c r="AC168" s="169"/>
      <c r="AD168" s="169"/>
      <c r="AE168" s="169"/>
      <c r="AF168" s="169"/>
      <c r="AG168" s="169"/>
      <c r="AH168" s="170"/>
    </row>
    <row r="169" spans="1:36" s="293" customFormat="1">
      <c r="A169" s="515" t="s">
        <v>678</v>
      </c>
      <c r="B169" s="516"/>
      <c r="C169" s="516"/>
      <c r="D169" s="516"/>
      <c r="E169" s="516"/>
      <c r="F169" s="516"/>
      <c r="G169" s="516"/>
      <c r="H169" s="516"/>
      <c r="I169" s="516"/>
      <c r="J169" s="516"/>
      <c r="K169" s="516"/>
      <c r="L169" s="516"/>
      <c r="M169" s="516"/>
      <c r="N169" s="516"/>
      <c r="O169" s="516"/>
      <c r="P169" s="516"/>
      <c r="Q169" s="516"/>
      <c r="R169" s="516"/>
      <c r="S169" s="516"/>
      <c r="T169" s="516"/>
      <c r="U169" s="516"/>
      <c r="V169" s="516"/>
      <c r="W169" s="516"/>
      <c r="X169" s="516"/>
      <c r="Y169" s="516"/>
      <c r="Z169" s="516"/>
      <c r="AA169" s="516"/>
      <c r="AB169" s="516"/>
      <c r="AC169" s="516"/>
      <c r="AD169" s="516"/>
      <c r="AE169" s="516"/>
      <c r="AF169" s="516"/>
      <c r="AG169" s="516"/>
      <c r="AH169" s="517"/>
    </row>
    <row r="170" spans="1:36">
      <c r="A170" s="154"/>
      <c r="D170" s="129"/>
      <c r="M170" s="544"/>
      <c r="N170" s="544"/>
      <c r="O170" s="544"/>
      <c r="AH170" s="156"/>
    </row>
    <row r="171" spans="1:36" s="293" customFormat="1">
      <c r="A171" s="154"/>
      <c r="B171" s="293" t="s">
        <v>1330</v>
      </c>
      <c r="AH171" s="156"/>
    </row>
    <row r="172" spans="1:36">
      <c r="A172" s="154"/>
      <c r="B172" s="157" t="s">
        <v>577</v>
      </c>
      <c r="C172" s="158" t="s">
        <v>844</v>
      </c>
      <c r="D172" s="158"/>
      <c r="E172" s="157" t="s">
        <v>845</v>
      </c>
      <c r="F172" s="158" t="s">
        <v>846</v>
      </c>
      <c r="G172" s="158"/>
      <c r="H172" s="158"/>
      <c r="I172" s="158"/>
      <c r="J172" s="158"/>
      <c r="K172" s="158"/>
      <c r="L172" s="158"/>
      <c r="M172" s="546"/>
      <c r="N172" s="546"/>
      <c r="O172" s="546"/>
      <c r="P172" s="158"/>
      <c r="Q172" s="158"/>
      <c r="R172" s="158"/>
      <c r="S172" s="158"/>
      <c r="T172" s="158"/>
      <c r="U172" s="158"/>
      <c r="V172" s="158"/>
      <c r="W172" s="158"/>
      <c r="X172" s="158"/>
      <c r="Y172" s="158"/>
      <c r="Z172" s="158"/>
      <c r="AA172" s="158"/>
      <c r="AB172" s="158"/>
      <c r="AC172" s="158"/>
      <c r="AD172" s="160"/>
      <c r="AH172" s="156"/>
    </row>
    <row r="173" spans="1:36">
      <c r="A173" s="154"/>
      <c r="B173" s="161" t="s">
        <v>761</v>
      </c>
      <c r="C173" s="162" t="s">
        <v>714</v>
      </c>
      <c r="D173" s="162"/>
      <c r="E173" s="163" t="s">
        <v>847</v>
      </c>
      <c r="F173" s="164" t="s">
        <v>847</v>
      </c>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64"/>
      <c r="AD173" s="165"/>
      <c r="AH173" s="156"/>
      <c r="AI173" s="129"/>
      <c r="AJ173" s="125" t="s">
        <v>848</v>
      </c>
    </row>
    <row r="174" spans="1:36">
      <c r="A174" s="154"/>
      <c r="B174" s="161" t="s">
        <v>849</v>
      </c>
      <c r="C174" s="162" t="s">
        <v>714</v>
      </c>
      <c r="D174" s="162"/>
      <c r="E174" s="161" t="s">
        <v>850</v>
      </c>
      <c r="F174" s="162" t="s">
        <v>851</v>
      </c>
      <c r="G174" s="162"/>
      <c r="H174" s="162"/>
      <c r="I174" s="162"/>
      <c r="J174" s="162"/>
      <c r="K174" s="162"/>
      <c r="L174" s="162" t="s">
        <v>852</v>
      </c>
      <c r="M174" s="162" t="s">
        <v>853</v>
      </c>
      <c r="N174" s="162"/>
      <c r="O174" s="162"/>
      <c r="P174" s="162"/>
      <c r="Q174" s="162"/>
      <c r="R174" s="162"/>
      <c r="S174" s="162"/>
      <c r="T174" s="162"/>
      <c r="U174" s="162"/>
      <c r="V174" s="162"/>
      <c r="W174" s="162"/>
      <c r="X174" s="162"/>
      <c r="Y174" s="162"/>
      <c r="Z174" s="162"/>
      <c r="AA174" s="162"/>
      <c r="AB174" s="162"/>
      <c r="AC174" s="162"/>
      <c r="AD174" s="166"/>
      <c r="AH174" s="156"/>
      <c r="AI174" s="129"/>
      <c r="AJ174" s="125" t="s">
        <v>1094</v>
      </c>
    </row>
    <row r="175" spans="1:36">
      <c r="A175" s="154"/>
      <c r="B175" s="161" t="s">
        <v>854</v>
      </c>
      <c r="C175" s="162" t="s">
        <v>714</v>
      </c>
      <c r="D175" s="162"/>
      <c r="E175" s="161" t="s">
        <v>850</v>
      </c>
      <c r="F175" s="162" t="s">
        <v>64</v>
      </c>
      <c r="G175" s="162"/>
      <c r="H175" s="162"/>
      <c r="I175" s="162"/>
      <c r="J175" s="162"/>
      <c r="K175" s="162"/>
      <c r="L175" s="162" t="s">
        <v>855</v>
      </c>
      <c r="M175" s="162" t="s">
        <v>856</v>
      </c>
      <c r="N175" s="162"/>
      <c r="O175" s="162"/>
      <c r="P175" s="162"/>
      <c r="Q175" s="162"/>
      <c r="R175" s="162"/>
      <c r="S175" s="162"/>
      <c r="T175" s="162"/>
      <c r="U175" s="162"/>
      <c r="V175" s="162"/>
      <c r="W175" s="162"/>
      <c r="X175" s="162"/>
      <c r="Y175" s="162"/>
      <c r="Z175" s="162"/>
      <c r="AA175" s="162"/>
      <c r="AB175" s="162"/>
      <c r="AC175" s="162"/>
      <c r="AD175" s="166"/>
      <c r="AH175" s="156"/>
      <c r="AI175" s="129"/>
    </row>
    <row r="176" spans="1:36">
      <c r="A176" s="154"/>
      <c r="B176" s="161" t="s">
        <v>586</v>
      </c>
      <c r="C176" s="162" t="s">
        <v>714</v>
      </c>
      <c r="D176" s="162"/>
      <c r="E176" s="161" t="s">
        <v>857</v>
      </c>
      <c r="F176" s="162" t="s">
        <v>67</v>
      </c>
      <c r="G176" s="162"/>
      <c r="H176" s="162"/>
      <c r="I176" s="162"/>
      <c r="J176" s="162"/>
      <c r="K176" s="162"/>
      <c r="L176" s="162" t="s">
        <v>855</v>
      </c>
      <c r="M176" s="162" t="s">
        <v>75</v>
      </c>
      <c r="N176" s="162"/>
      <c r="O176" s="162"/>
      <c r="P176" s="162"/>
      <c r="Q176" s="162"/>
      <c r="R176" s="162"/>
      <c r="S176" s="162"/>
      <c r="T176" s="162"/>
      <c r="U176" s="162"/>
      <c r="V176" s="162"/>
      <c r="W176" s="162"/>
      <c r="X176" s="162"/>
      <c r="Y176" s="162"/>
      <c r="Z176" s="162"/>
      <c r="AA176" s="162"/>
      <c r="AB176" s="162"/>
      <c r="AC176" s="162"/>
      <c r="AD176" s="166"/>
      <c r="AH176" s="156"/>
      <c r="AI176" s="129"/>
      <c r="AJ176" s="125" t="s">
        <v>1311</v>
      </c>
    </row>
    <row r="177" spans="1:38" s="178" customFormat="1">
      <c r="A177" s="154"/>
      <c r="B177" s="161" t="s">
        <v>1003</v>
      </c>
      <c r="C177" s="162" t="s">
        <v>714</v>
      </c>
      <c r="D177" s="162"/>
      <c r="E177" s="161" t="s">
        <v>857</v>
      </c>
      <c r="F177" s="162" t="s">
        <v>1004</v>
      </c>
      <c r="G177" s="162"/>
      <c r="H177" s="162"/>
      <c r="I177" s="162"/>
      <c r="J177" s="162"/>
      <c r="K177" s="162"/>
      <c r="L177" s="162" t="s">
        <v>855</v>
      </c>
      <c r="M177" s="162" t="s">
        <v>1005</v>
      </c>
      <c r="N177" s="162"/>
      <c r="O177" s="162"/>
      <c r="P177" s="162"/>
      <c r="Q177" s="162"/>
      <c r="R177" s="162"/>
      <c r="S177" s="162"/>
      <c r="T177" s="162"/>
      <c r="U177" s="162"/>
      <c r="V177" s="162"/>
      <c r="W177" s="162"/>
      <c r="X177" s="162"/>
      <c r="Y177" s="162"/>
      <c r="Z177" s="162"/>
      <c r="AA177" s="162"/>
      <c r="AB177" s="162"/>
      <c r="AC177" s="162"/>
      <c r="AD177" s="166"/>
      <c r="AH177" s="156"/>
      <c r="AI177" s="180"/>
      <c r="AJ177" s="178" t="s">
        <v>1093</v>
      </c>
    </row>
    <row r="178" spans="1:38">
      <c r="A178" s="154"/>
      <c r="B178" s="161" t="s">
        <v>858</v>
      </c>
      <c r="C178" s="162" t="s">
        <v>823</v>
      </c>
      <c r="D178" s="162"/>
      <c r="E178" s="161" t="s">
        <v>857</v>
      </c>
      <c r="F178" s="162" t="s">
        <v>859</v>
      </c>
      <c r="G178" s="162"/>
      <c r="H178" s="162"/>
      <c r="I178" s="162"/>
      <c r="J178" s="162"/>
      <c r="K178" s="162"/>
      <c r="L178" s="162" t="s">
        <v>855</v>
      </c>
      <c r="M178" s="162" t="s">
        <v>860</v>
      </c>
      <c r="N178" s="162"/>
      <c r="O178" s="162"/>
      <c r="P178" s="162"/>
      <c r="Q178" s="162"/>
      <c r="R178" s="162"/>
      <c r="S178" s="162"/>
      <c r="T178" s="162"/>
      <c r="U178" s="162"/>
      <c r="V178" s="162"/>
      <c r="W178" s="162"/>
      <c r="X178" s="162"/>
      <c r="Y178" s="162"/>
      <c r="Z178" s="162"/>
      <c r="AA178" s="162"/>
      <c r="AB178" s="162"/>
      <c r="AC178" s="162"/>
      <c r="AD178" s="166"/>
      <c r="AH178" s="156"/>
      <c r="AI178" s="129"/>
      <c r="AJ178" s="125" t="s">
        <v>861</v>
      </c>
    </row>
    <row r="179" spans="1:38">
      <c r="A179" s="154"/>
      <c r="B179" s="161" t="s">
        <v>862</v>
      </c>
      <c r="C179" s="162" t="s">
        <v>714</v>
      </c>
      <c r="D179" s="162"/>
      <c r="E179" s="161" t="s">
        <v>857</v>
      </c>
      <c r="F179" s="162" t="s">
        <v>755</v>
      </c>
      <c r="G179" s="162"/>
      <c r="H179" s="162"/>
      <c r="I179" s="162"/>
      <c r="J179" s="162"/>
      <c r="K179" s="162"/>
      <c r="L179" s="162" t="s">
        <v>855</v>
      </c>
      <c r="M179" s="162" t="s">
        <v>863</v>
      </c>
      <c r="N179" s="162"/>
      <c r="O179" s="162"/>
      <c r="P179" s="162"/>
      <c r="Q179" s="162"/>
      <c r="R179" s="162"/>
      <c r="S179" s="162"/>
      <c r="T179" s="162"/>
      <c r="U179" s="162"/>
      <c r="V179" s="162"/>
      <c r="W179" s="162"/>
      <c r="X179" s="162"/>
      <c r="Y179" s="162"/>
      <c r="Z179" s="162"/>
      <c r="AA179" s="162"/>
      <c r="AB179" s="162"/>
      <c r="AC179" s="162"/>
      <c r="AD179" s="166"/>
      <c r="AH179" s="156"/>
      <c r="AI179" s="129"/>
      <c r="AJ179" s="125" t="s">
        <v>864</v>
      </c>
    </row>
    <row r="180" spans="1:38">
      <c r="A180" s="154"/>
      <c r="B180" s="161" t="s">
        <v>865</v>
      </c>
      <c r="C180" s="162" t="s">
        <v>714</v>
      </c>
      <c r="D180" s="162"/>
      <c r="E180" s="161" t="s">
        <v>857</v>
      </c>
      <c r="F180" s="162" t="s">
        <v>866</v>
      </c>
      <c r="G180" s="162"/>
      <c r="H180" s="162"/>
      <c r="I180" s="162"/>
      <c r="J180" s="162"/>
      <c r="K180" s="162"/>
      <c r="L180" s="162" t="s">
        <v>855</v>
      </c>
      <c r="M180" s="162" t="s">
        <v>867</v>
      </c>
      <c r="N180" s="162"/>
      <c r="O180" s="162"/>
      <c r="P180" s="162"/>
      <c r="Q180" s="162"/>
      <c r="R180" s="162"/>
      <c r="S180" s="162"/>
      <c r="T180" s="162"/>
      <c r="U180" s="162"/>
      <c r="V180" s="162"/>
      <c r="W180" s="162"/>
      <c r="X180" s="162"/>
      <c r="Y180" s="162"/>
      <c r="Z180" s="162"/>
      <c r="AA180" s="162"/>
      <c r="AB180" s="162"/>
      <c r="AC180" s="162"/>
      <c r="AD180" s="166"/>
      <c r="AH180" s="156"/>
      <c r="AI180" s="129"/>
      <c r="AJ180" s="125" t="s">
        <v>1298</v>
      </c>
    </row>
    <row r="181" spans="1:38">
      <c r="A181" s="154"/>
      <c r="B181" s="161" t="s">
        <v>868</v>
      </c>
      <c r="C181" s="162" t="s">
        <v>807</v>
      </c>
      <c r="D181" s="162"/>
      <c r="E181" s="161" t="s">
        <v>857</v>
      </c>
      <c r="F181" s="162" t="s">
        <v>869</v>
      </c>
      <c r="G181" s="162"/>
      <c r="H181" s="162"/>
      <c r="I181" s="162"/>
      <c r="J181" s="162"/>
      <c r="K181" s="162"/>
      <c r="L181" s="162" t="s">
        <v>855</v>
      </c>
      <c r="M181" s="162" t="s">
        <v>870</v>
      </c>
      <c r="N181" s="162"/>
      <c r="O181" s="162"/>
      <c r="P181" s="162"/>
      <c r="Q181" s="162"/>
      <c r="R181" s="162"/>
      <c r="S181" s="162"/>
      <c r="T181" s="162"/>
      <c r="U181" s="162"/>
      <c r="V181" s="162"/>
      <c r="W181" s="162"/>
      <c r="X181" s="162"/>
      <c r="Y181" s="162"/>
      <c r="Z181" s="162"/>
      <c r="AA181" s="162"/>
      <c r="AB181" s="162"/>
      <c r="AC181" s="162"/>
      <c r="AD181" s="166"/>
      <c r="AH181" s="156"/>
      <c r="AI181" s="129"/>
      <c r="AJ181" s="125" t="s">
        <v>871</v>
      </c>
    </row>
    <row r="182" spans="1:38">
      <c r="A182" s="154"/>
      <c r="B182" s="161" t="s">
        <v>858</v>
      </c>
      <c r="C182" s="162" t="s">
        <v>808</v>
      </c>
      <c r="D182" s="162"/>
      <c r="E182" s="161" t="s">
        <v>857</v>
      </c>
      <c r="F182" s="162" t="s">
        <v>872</v>
      </c>
      <c r="G182" s="162"/>
      <c r="H182" s="162"/>
      <c r="I182" s="162"/>
      <c r="J182" s="162"/>
      <c r="K182" s="162"/>
      <c r="L182" s="162" t="s">
        <v>855</v>
      </c>
      <c r="M182" s="162" t="s">
        <v>873</v>
      </c>
      <c r="N182" s="162"/>
      <c r="O182" s="162"/>
      <c r="P182" s="162"/>
      <c r="Q182" s="162"/>
      <c r="R182" s="162"/>
      <c r="S182" s="162"/>
      <c r="T182" s="162"/>
      <c r="U182" s="162"/>
      <c r="V182" s="162"/>
      <c r="W182" s="162"/>
      <c r="X182" s="162"/>
      <c r="Y182" s="162"/>
      <c r="Z182" s="162"/>
      <c r="AA182" s="162"/>
      <c r="AB182" s="162"/>
      <c r="AC182" s="162"/>
      <c r="AD182" s="166"/>
      <c r="AH182" s="156"/>
      <c r="AI182" s="129"/>
      <c r="AJ182" s="125" t="s">
        <v>861</v>
      </c>
    </row>
    <row r="183" spans="1:38">
      <c r="A183" s="154"/>
      <c r="B183" s="167" t="s">
        <v>874</v>
      </c>
      <c r="C183" s="151" t="s">
        <v>714</v>
      </c>
      <c r="D183" s="151"/>
      <c r="E183" s="167" t="s">
        <v>857</v>
      </c>
      <c r="F183" s="151" t="s">
        <v>67</v>
      </c>
      <c r="G183" s="151"/>
      <c r="H183" s="151"/>
      <c r="I183" s="151"/>
      <c r="J183" s="151"/>
      <c r="K183" s="151"/>
      <c r="L183" s="151" t="s">
        <v>855</v>
      </c>
      <c r="M183" s="151" t="s">
        <v>875</v>
      </c>
      <c r="N183" s="151"/>
      <c r="O183" s="151"/>
      <c r="P183" s="151"/>
      <c r="Q183" s="151"/>
      <c r="R183" s="151"/>
      <c r="S183" s="151"/>
      <c r="T183" s="151"/>
      <c r="U183" s="151"/>
      <c r="V183" s="151"/>
      <c r="W183" s="151"/>
      <c r="X183" s="151"/>
      <c r="Y183" s="151"/>
      <c r="Z183" s="151"/>
      <c r="AA183" s="151"/>
      <c r="AB183" s="151"/>
      <c r="AC183" s="151"/>
      <c r="AD183" s="153"/>
      <c r="AH183" s="156"/>
      <c r="AI183" s="129"/>
      <c r="AJ183" s="125" t="s">
        <v>1310</v>
      </c>
      <c r="AL183" s="125" t="s">
        <v>876</v>
      </c>
    </row>
    <row r="184" spans="1:38">
      <c r="A184" s="154"/>
      <c r="B184" s="161" t="s">
        <v>877</v>
      </c>
      <c r="C184" s="162" t="s">
        <v>878</v>
      </c>
      <c r="D184" s="162"/>
      <c r="E184" s="161" t="s">
        <v>857</v>
      </c>
      <c r="F184" s="162" t="s">
        <v>879</v>
      </c>
      <c r="G184" s="162"/>
      <c r="H184" s="162"/>
      <c r="I184" s="162"/>
      <c r="J184" s="162"/>
      <c r="K184" s="162"/>
      <c r="L184" s="162" t="s">
        <v>855</v>
      </c>
      <c r="M184" s="162" t="s">
        <v>880</v>
      </c>
      <c r="N184" s="162"/>
      <c r="O184" s="162"/>
      <c r="P184" s="162"/>
      <c r="Q184" s="162"/>
      <c r="R184" s="162"/>
      <c r="S184" s="162"/>
      <c r="T184" s="162"/>
      <c r="U184" s="162"/>
      <c r="V184" s="162"/>
      <c r="W184" s="162"/>
      <c r="X184" s="162"/>
      <c r="Y184" s="162"/>
      <c r="Z184" s="162"/>
      <c r="AA184" s="162"/>
      <c r="AB184" s="162"/>
      <c r="AC184" s="162"/>
      <c r="AD184" s="166"/>
      <c r="AH184" s="156"/>
      <c r="AI184" s="129"/>
      <c r="AJ184" s="125" t="s">
        <v>881</v>
      </c>
    </row>
    <row r="185" spans="1:38">
      <c r="A185" s="154"/>
      <c r="B185" s="161" t="s">
        <v>882</v>
      </c>
      <c r="C185" s="162" t="s">
        <v>883</v>
      </c>
      <c r="D185" s="162"/>
      <c r="E185" s="161" t="s">
        <v>857</v>
      </c>
      <c r="F185" s="162" t="s">
        <v>884</v>
      </c>
      <c r="G185" s="162"/>
      <c r="H185" s="162"/>
      <c r="I185" s="162"/>
      <c r="J185" s="162"/>
      <c r="K185" s="162"/>
      <c r="L185" s="162" t="s">
        <v>855</v>
      </c>
      <c r="M185" s="162" t="s">
        <v>885</v>
      </c>
      <c r="N185" s="162"/>
      <c r="O185" s="162"/>
      <c r="P185" s="162"/>
      <c r="Q185" s="162"/>
      <c r="R185" s="162"/>
      <c r="S185" s="162"/>
      <c r="T185" s="162"/>
      <c r="U185" s="162"/>
      <c r="V185" s="162"/>
      <c r="W185" s="162"/>
      <c r="X185" s="162"/>
      <c r="Y185" s="162"/>
      <c r="Z185" s="162"/>
      <c r="AA185" s="162"/>
      <c r="AB185" s="162"/>
      <c r="AC185" s="162"/>
      <c r="AD185" s="166"/>
      <c r="AH185" s="156"/>
      <c r="AI185" s="129"/>
      <c r="AJ185" s="125" t="s">
        <v>886</v>
      </c>
    </row>
    <row r="186" spans="1:38" s="182" customFormat="1">
      <c r="A186" s="154"/>
      <c r="B186" s="161" t="s">
        <v>1089</v>
      </c>
      <c r="C186" s="162" t="s">
        <v>714</v>
      </c>
      <c r="D186" s="162"/>
      <c r="E186" s="161" t="s">
        <v>857</v>
      </c>
      <c r="F186" s="162" t="s">
        <v>1092</v>
      </c>
      <c r="G186" s="162"/>
      <c r="H186" s="162"/>
      <c r="I186" s="162"/>
      <c r="J186" s="162"/>
      <c r="K186" s="162"/>
      <c r="L186" s="162" t="s">
        <v>855</v>
      </c>
      <c r="M186" s="162" t="s">
        <v>1091</v>
      </c>
      <c r="N186" s="162"/>
      <c r="O186" s="162"/>
      <c r="P186" s="162"/>
      <c r="Q186" s="162"/>
      <c r="R186" s="162"/>
      <c r="S186" s="162"/>
      <c r="T186" s="162"/>
      <c r="U186" s="162"/>
      <c r="V186" s="162"/>
      <c r="W186" s="162"/>
      <c r="X186" s="162"/>
      <c r="Y186" s="162"/>
      <c r="Z186" s="162"/>
      <c r="AA186" s="162"/>
      <c r="AB186" s="162"/>
      <c r="AC186" s="162"/>
      <c r="AD186" s="166"/>
      <c r="AH186" s="156"/>
      <c r="AI186" s="181"/>
      <c r="AJ186" s="182" t="s">
        <v>1090</v>
      </c>
      <c r="AL186" s="182" t="s">
        <v>1095</v>
      </c>
    </row>
    <row r="187" spans="1:38">
      <c r="A187" s="154"/>
      <c r="B187" s="167" t="s">
        <v>887</v>
      </c>
      <c r="C187" s="151" t="s">
        <v>888</v>
      </c>
      <c r="D187" s="151"/>
      <c r="E187" s="167" t="s">
        <v>857</v>
      </c>
      <c r="F187" s="151" t="s">
        <v>889</v>
      </c>
      <c r="G187" s="151"/>
      <c r="H187" s="151"/>
      <c r="I187" s="151"/>
      <c r="J187" s="151"/>
      <c r="K187" s="151"/>
      <c r="L187" s="151" t="s">
        <v>855</v>
      </c>
      <c r="M187" s="151" t="str">
        <f>AI187</f>
        <v>CK214</v>
      </c>
      <c r="N187" s="151"/>
      <c r="O187" s="151"/>
      <c r="P187" s="151" t="str">
        <f>AJ187</f>
        <v>カード受注ステータス</v>
      </c>
      <c r="Q187" s="151"/>
      <c r="R187" s="151"/>
      <c r="S187" s="151"/>
      <c r="T187" s="151"/>
      <c r="U187" s="151"/>
      <c r="V187" s="151"/>
      <c r="W187" s="151"/>
      <c r="X187" s="151"/>
      <c r="Y187" s="151"/>
      <c r="Z187" s="151"/>
      <c r="AA187" s="151"/>
      <c r="AB187" s="151"/>
      <c r="AC187" s="151" t="s">
        <v>890</v>
      </c>
      <c r="AD187" s="153"/>
      <c r="AH187" s="156"/>
      <c r="AI187" s="129" t="s">
        <v>891</v>
      </c>
      <c r="AJ187" s="125" t="s">
        <v>892</v>
      </c>
    </row>
    <row r="188" spans="1:38">
      <c r="A188" s="154"/>
      <c r="B188" s="168"/>
      <c r="C188" s="169"/>
      <c r="D188" s="169"/>
      <c r="E188" s="168"/>
      <c r="F188" s="169" t="s">
        <v>893</v>
      </c>
      <c r="G188" s="169"/>
      <c r="H188" s="169"/>
      <c r="I188" s="169"/>
      <c r="J188" s="169"/>
      <c r="K188" s="169"/>
      <c r="L188" s="169" t="s">
        <v>855</v>
      </c>
      <c r="M188" s="169" t="s">
        <v>894</v>
      </c>
      <c r="N188" s="169"/>
      <c r="O188" s="169"/>
      <c r="P188" s="169"/>
      <c r="Q188" s="169"/>
      <c r="R188" s="169"/>
      <c r="S188" s="169"/>
      <c r="T188" s="169"/>
      <c r="U188" s="169"/>
      <c r="V188" s="169"/>
      <c r="W188" s="169"/>
      <c r="X188" s="169"/>
      <c r="Y188" s="169"/>
      <c r="Z188" s="169"/>
      <c r="AA188" s="169"/>
      <c r="AB188" s="169"/>
      <c r="AC188" s="169"/>
      <c r="AD188" s="170"/>
      <c r="AH188" s="156"/>
      <c r="AI188" s="129"/>
    </row>
    <row r="189" spans="1:38">
      <c r="A189" s="154"/>
      <c r="B189" s="167" t="s">
        <v>887</v>
      </c>
      <c r="C189" s="151" t="s">
        <v>895</v>
      </c>
      <c r="D189" s="151"/>
      <c r="E189" s="167" t="s">
        <v>857</v>
      </c>
      <c r="F189" s="151" t="s">
        <v>889</v>
      </c>
      <c r="G189" s="151"/>
      <c r="H189" s="151"/>
      <c r="I189" s="151"/>
      <c r="J189" s="151"/>
      <c r="K189" s="151"/>
      <c r="L189" s="151" t="s">
        <v>855</v>
      </c>
      <c r="M189" s="151" t="str">
        <f>AI189</f>
        <v>CK231</v>
      </c>
      <c r="N189" s="151"/>
      <c r="O189" s="151"/>
      <c r="P189" s="151" t="str">
        <f>AJ189</f>
        <v>受注受付ステータス</v>
      </c>
      <c r="Q189" s="151"/>
      <c r="R189" s="151"/>
      <c r="S189" s="151"/>
      <c r="T189" s="151"/>
      <c r="U189" s="151"/>
      <c r="V189" s="151"/>
      <c r="W189" s="151"/>
      <c r="X189" s="151"/>
      <c r="Y189" s="151"/>
      <c r="Z189" s="151"/>
      <c r="AA189" s="151"/>
      <c r="AB189" s="151"/>
      <c r="AC189" s="151" t="s">
        <v>896</v>
      </c>
      <c r="AD189" s="153"/>
      <c r="AH189" s="156"/>
      <c r="AI189" s="129" t="s">
        <v>897</v>
      </c>
      <c r="AJ189" s="125" t="s">
        <v>898</v>
      </c>
    </row>
    <row r="190" spans="1:38">
      <c r="A190" s="154"/>
      <c r="B190" s="168"/>
      <c r="C190" s="169"/>
      <c r="D190" s="169"/>
      <c r="E190" s="168"/>
      <c r="F190" s="169" t="s">
        <v>893</v>
      </c>
      <c r="G190" s="169"/>
      <c r="H190" s="169"/>
      <c r="I190" s="169"/>
      <c r="J190" s="169"/>
      <c r="K190" s="169"/>
      <c r="L190" s="169" t="s">
        <v>855</v>
      </c>
      <c r="M190" s="169" t="s">
        <v>899</v>
      </c>
      <c r="N190" s="169"/>
      <c r="O190" s="169"/>
      <c r="P190" s="169"/>
      <c r="Q190" s="169"/>
      <c r="R190" s="169"/>
      <c r="S190" s="169"/>
      <c r="T190" s="169"/>
      <c r="U190" s="169"/>
      <c r="V190" s="169"/>
      <c r="W190" s="169"/>
      <c r="X190" s="169"/>
      <c r="Y190" s="169"/>
      <c r="Z190" s="169"/>
      <c r="AA190" s="169"/>
      <c r="AB190" s="169"/>
      <c r="AC190" s="169"/>
      <c r="AD190" s="170"/>
      <c r="AH190" s="156"/>
      <c r="AI190" s="129"/>
    </row>
    <row r="191" spans="1:38">
      <c r="A191" s="154"/>
      <c r="B191" s="167" t="s">
        <v>887</v>
      </c>
      <c r="C191" s="151" t="s">
        <v>900</v>
      </c>
      <c r="D191" s="151"/>
      <c r="E191" s="167" t="s">
        <v>857</v>
      </c>
      <c r="F191" s="151" t="s">
        <v>889</v>
      </c>
      <c r="G191" s="151"/>
      <c r="H191" s="151"/>
      <c r="I191" s="151"/>
      <c r="J191" s="151"/>
      <c r="K191" s="151"/>
      <c r="L191" s="151" t="s">
        <v>855</v>
      </c>
      <c r="M191" s="151" t="str">
        <f>AI191</f>
        <v>CK056</v>
      </c>
      <c r="N191" s="151"/>
      <c r="O191" s="151"/>
      <c r="P191" s="151" t="str">
        <f>AJ191</f>
        <v>カード会員番号取得依頼状況</v>
      </c>
      <c r="Q191" s="151"/>
      <c r="R191" s="151"/>
      <c r="S191" s="151"/>
      <c r="T191" s="151"/>
      <c r="U191" s="151"/>
      <c r="V191" s="151"/>
      <c r="W191" s="151"/>
      <c r="X191" s="151"/>
      <c r="Y191" s="151"/>
      <c r="Z191" s="151"/>
      <c r="AA191" s="151"/>
      <c r="AB191" s="151"/>
      <c r="AC191" s="151" t="s">
        <v>896</v>
      </c>
      <c r="AD191" s="153"/>
      <c r="AH191" s="156"/>
      <c r="AI191" s="129" t="s">
        <v>901</v>
      </c>
      <c r="AJ191" s="125" t="s">
        <v>902</v>
      </c>
    </row>
    <row r="192" spans="1:38">
      <c r="A192" s="154"/>
      <c r="B192" s="168"/>
      <c r="C192" s="169"/>
      <c r="D192" s="169"/>
      <c r="E192" s="168"/>
      <c r="F192" s="169" t="s">
        <v>893</v>
      </c>
      <c r="G192" s="169"/>
      <c r="H192" s="169"/>
      <c r="I192" s="169"/>
      <c r="J192" s="169"/>
      <c r="K192" s="169"/>
      <c r="L192" s="169" t="s">
        <v>855</v>
      </c>
      <c r="M192" s="169" t="s">
        <v>903</v>
      </c>
      <c r="N192" s="169"/>
      <c r="O192" s="169"/>
      <c r="P192" s="169"/>
      <c r="Q192" s="169"/>
      <c r="R192" s="169"/>
      <c r="S192" s="169"/>
      <c r="T192" s="169"/>
      <c r="U192" s="169"/>
      <c r="V192" s="169"/>
      <c r="W192" s="169"/>
      <c r="X192" s="169"/>
      <c r="Y192" s="169"/>
      <c r="Z192" s="169"/>
      <c r="AA192" s="169"/>
      <c r="AB192" s="169"/>
      <c r="AC192" s="169"/>
      <c r="AD192" s="170"/>
      <c r="AH192" s="156"/>
      <c r="AI192" s="129"/>
    </row>
    <row r="193" spans="1:36">
      <c r="A193" s="154"/>
      <c r="B193" s="167" t="s">
        <v>887</v>
      </c>
      <c r="C193" s="151" t="s">
        <v>904</v>
      </c>
      <c r="D193" s="151"/>
      <c r="E193" s="167" t="s">
        <v>857</v>
      </c>
      <c r="F193" s="151" t="s">
        <v>889</v>
      </c>
      <c r="G193" s="151"/>
      <c r="H193" s="151"/>
      <c r="I193" s="151"/>
      <c r="J193" s="151"/>
      <c r="K193" s="151"/>
      <c r="L193" s="151" t="s">
        <v>855</v>
      </c>
      <c r="M193" s="151" t="str">
        <f>AI193</f>
        <v>CK057</v>
      </c>
      <c r="N193" s="151"/>
      <c r="O193" s="151"/>
      <c r="P193" s="151" t="str">
        <f>AJ193</f>
        <v>カード会員番号取得回答状況</v>
      </c>
      <c r="Q193" s="151"/>
      <c r="R193" s="151"/>
      <c r="S193" s="151"/>
      <c r="T193" s="151"/>
      <c r="U193" s="151"/>
      <c r="V193" s="151"/>
      <c r="W193" s="151"/>
      <c r="X193" s="151"/>
      <c r="Y193" s="151"/>
      <c r="Z193" s="151"/>
      <c r="AA193" s="151"/>
      <c r="AB193" s="151"/>
      <c r="AC193" s="151" t="s">
        <v>896</v>
      </c>
      <c r="AD193" s="153"/>
      <c r="AH193" s="156"/>
      <c r="AI193" s="129" t="s">
        <v>905</v>
      </c>
      <c r="AJ193" s="125" t="s">
        <v>906</v>
      </c>
    </row>
    <row r="194" spans="1:36">
      <c r="A194" s="154"/>
      <c r="B194" s="168"/>
      <c r="C194" s="169"/>
      <c r="D194" s="169"/>
      <c r="E194" s="168"/>
      <c r="F194" s="169" t="s">
        <v>893</v>
      </c>
      <c r="G194" s="169"/>
      <c r="H194" s="169"/>
      <c r="I194" s="169"/>
      <c r="J194" s="169"/>
      <c r="K194" s="169"/>
      <c r="L194" s="169" t="s">
        <v>855</v>
      </c>
      <c r="M194" s="169" t="s">
        <v>907</v>
      </c>
      <c r="N194" s="169"/>
      <c r="O194" s="169"/>
      <c r="P194" s="169"/>
      <c r="Q194" s="169"/>
      <c r="R194" s="169"/>
      <c r="S194" s="169"/>
      <c r="T194" s="169"/>
      <c r="U194" s="169"/>
      <c r="V194" s="169"/>
      <c r="W194" s="169"/>
      <c r="X194" s="169"/>
      <c r="Y194" s="169"/>
      <c r="Z194" s="169"/>
      <c r="AA194" s="169"/>
      <c r="AB194" s="169"/>
      <c r="AC194" s="169"/>
      <c r="AD194" s="170"/>
      <c r="AH194" s="156"/>
      <c r="AI194" s="129"/>
    </row>
    <row r="195" spans="1:36">
      <c r="A195" s="154"/>
      <c r="B195" s="167" t="s">
        <v>887</v>
      </c>
      <c r="C195" s="151" t="s">
        <v>908</v>
      </c>
      <c r="D195" s="151"/>
      <c r="E195" s="167" t="s">
        <v>857</v>
      </c>
      <c r="F195" s="151" t="s">
        <v>889</v>
      </c>
      <c r="G195" s="151"/>
      <c r="H195" s="151"/>
      <c r="I195" s="151"/>
      <c r="J195" s="151"/>
      <c r="K195" s="151"/>
      <c r="L195" s="151" t="s">
        <v>855</v>
      </c>
      <c r="M195" s="151" t="str">
        <f>AI195</f>
        <v>CK237</v>
      </c>
      <c r="N195" s="151"/>
      <c r="O195" s="151"/>
      <c r="P195" s="151" t="str">
        <f>AJ195</f>
        <v>色校正区分</v>
      </c>
      <c r="Q195" s="151"/>
      <c r="R195" s="151"/>
      <c r="S195" s="151"/>
      <c r="T195" s="151"/>
      <c r="U195" s="151"/>
      <c r="V195" s="151"/>
      <c r="W195" s="151"/>
      <c r="X195" s="151"/>
      <c r="Y195" s="151"/>
      <c r="Z195" s="151"/>
      <c r="AA195" s="151"/>
      <c r="AB195" s="151"/>
      <c r="AC195" s="151" t="s">
        <v>896</v>
      </c>
      <c r="AD195" s="153"/>
      <c r="AH195" s="156"/>
      <c r="AI195" s="129" t="s">
        <v>909</v>
      </c>
      <c r="AJ195" s="125" t="s">
        <v>910</v>
      </c>
    </row>
    <row r="196" spans="1:36">
      <c r="A196" s="154"/>
      <c r="B196" s="168"/>
      <c r="C196" s="169"/>
      <c r="D196" s="169"/>
      <c r="E196" s="168"/>
      <c r="F196" s="169" t="s">
        <v>893</v>
      </c>
      <c r="G196" s="169"/>
      <c r="H196" s="169"/>
      <c r="I196" s="169"/>
      <c r="J196" s="169"/>
      <c r="K196" s="169"/>
      <c r="L196" s="169" t="s">
        <v>855</v>
      </c>
      <c r="M196" s="169" t="s">
        <v>911</v>
      </c>
      <c r="N196" s="169"/>
      <c r="O196" s="169"/>
      <c r="P196" s="169"/>
      <c r="Q196" s="169"/>
      <c r="R196" s="169"/>
      <c r="S196" s="169"/>
      <c r="T196" s="169"/>
      <c r="U196" s="169"/>
      <c r="V196" s="169"/>
      <c r="W196" s="169"/>
      <c r="X196" s="169"/>
      <c r="Y196" s="169"/>
      <c r="Z196" s="169"/>
      <c r="AA196" s="169"/>
      <c r="AB196" s="169"/>
      <c r="AC196" s="169"/>
      <c r="AD196" s="170"/>
      <c r="AH196" s="156"/>
      <c r="AI196" s="129"/>
    </row>
    <row r="197" spans="1:36">
      <c r="A197" s="154"/>
      <c r="B197" s="167" t="s">
        <v>887</v>
      </c>
      <c r="C197" s="151" t="s">
        <v>912</v>
      </c>
      <c r="D197" s="151"/>
      <c r="E197" s="167" t="s">
        <v>857</v>
      </c>
      <c r="F197" s="151" t="s">
        <v>889</v>
      </c>
      <c r="G197" s="151"/>
      <c r="H197" s="151"/>
      <c r="I197" s="151"/>
      <c r="J197" s="151"/>
      <c r="K197" s="151"/>
      <c r="L197" s="151" t="s">
        <v>855</v>
      </c>
      <c r="M197" s="151" t="str">
        <f>AI197</f>
        <v>CK043</v>
      </c>
      <c r="N197" s="151"/>
      <c r="O197" s="151"/>
      <c r="P197" s="151" t="str">
        <f>AJ197</f>
        <v>注文区分</v>
      </c>
      <c r="Q197" s="151"/>
      <c r="R197" s="151"/>
      <c r="S197" s="151"/>
      <c r="T197" s="151"/>
      <c r="U197" s="151"/>
      <c r="V197" s="151"/>
      <c r="W197" s="151"/>
      <c r="X197" s="151"/>
      <c r="Y197" s="151"/>
      <c r="Z197" s="151"/>
      <c r="AA197" s="151"/>
      <c r="AB197" s="151"/>
      <c r="AC197" s="151" t="s">
        <v>896</v>
      </c>
      <c r="AD197" s="153"/>
      <c r="AH197" s="156"/>
      <c r="AI197" s="129" t="s">
        <v>913</v>
      </c>
      <c r="AJ197" s="125" t="s">
        <v>914</v>
      </c>
    </row>
    <row r="198" spans="1:36">
      <c r="A198" s="154"/>
      <c r="B198" s="168"/>
      <c r="C198" s="169"/>
      <c r="D198" s="169"/>
      <c r="E198" s="168"/>
      <c r="F198" s="169" t="s">
        <v>893</v>
      </c>
      <c r="G198" s="169"/>
      <c r="H198" s="169"/>
      <c r="I198" s="169"/>
      <c r="J198" s="169"/>
      <c r="K198" s="169"/>
      <c r="L198" s="169" t="s">
        <v>855</v>
      </c>
      <c r="M198" s="169" t="s">
        <v>915</v>
      </c>
      <c r="N198" s="169"/>
      <c r="O198" s="169"/>
      <c r="P198" s="169"/>
      <c r="Q198" s="169"/>
      <c r="R198" s="169"/>
      <c r="S198" s="169"/>
      <c r="T198" s="169"/>
      <c r="U198" s="169"/>
      <c r="V198" s="169"/>
      <c r="W198" s="169"/>
      <c r="X198" s="169"/>
      <c r="Y198" s="169"/>
      <c r="Z198" s="169"/>
      <c r="AA198" s="169"/>
      <c r="AB198" s="169"/>
      <c r="AC198" s="169"/>
      <c r="AD198" s="170"/>
      <c r="AH198" s="156"/>
      <c r="AI198" s="129"/>
    </row>
    <row r="199" spans="1:36">
      <c r="A199" s="154"/>
      <c r="B199" s="167" t="s">
        <v>887</v>
      </c>
      <c r="C199" s="151" t="s">
        <v>916</v>
      </c>
      <c r="D199" s="151"/>
      <c r="E199" s="167" t="s">
        <v>857</v>
      </c>
      <c r="F199" s="151" t="s">
        <v>889</v>
      </c>
      <c r="G199" s="151"/>
      <c r="H199" s="151"/>
      <c r="I199" s="151"/>
      <c r="J199" s="151"/>
      <c r="K199" s="151"/>
      <c r="L199" s="151" t="s">
        <v>855</v>
      </c>
      <c r="M199" s="151" t="str">
        <f>AI199</f>
        <v>CK051</v>
      </c>
      <c r="N199" s="151"/>
      <c r="O199" s="151"/>
      <c r="P199" s="151" t="str">
        <f>AJ199</f>
        <v>カード一般/会員区分</v>
      </c>
      <c r="Q199" s="151"/>
      <c r="R199" s="151"/>
      <c r="S199" s="151"/>
      <c r="T199" s="151"/>
      <c r="U199" s="151"/>
      <c r="V199" s="151"/>
      <c r="W199" s="151"/>
      <c r="X199" s="151"/>
      <c r="Y199" s="151"/>
      <c r="Z199" s="151"/>
      <c r="AA199" s="151"/>
      <c r="AB199" s="151"/>
      <c r="AC199" s="151" t="s">
        <v>896</v>
      </c>
      <c r="AD199" s="153"/>
      <c r="AH199" s="156"/>
      <c r="AI199" s="129" t="s">
        <v>917</v>
      </c>
      <c r="AJ199" s="125" t="s">
        <v>918</v>
      </c>
    </row>
    <row r="200" spans="1:36">
      <c r="A200" s="154"/>
      <c r="B200" s="168"/>
      <c r="C200" s="169"/>
      <c r="D200" s="169"/>
      <c r="E200" s="168"/>
      <c r="F200" s="169" t="s">
        <v>893</v>
      </c>
      <c r="G200" s="169"/>
      <c r="H200" s="169"/>
      <c r="I200" s="169"/>
      <c r="J200" s="169"/>
      <c r="K200" s="169"/>
      <c r="L200" s="169" t="s">
        <v>855</v>
      </c>
      <c r="M200" s="169" t="s">
        <v>919</v>
      </c>
      <c r="N200" s="169"/>
      <c r="O200" s="169"/>
      <c r="P200" s="169"/>
      <c r="Q200" s="169"/>
      <c r="R200" s="169"/>
      <c r="S200" s="169"/>
      <c r="T200" s="169"/>
      <c r="U200" s="169"/>
      <c r="V200" s="169"/>
      <c r="W200" s="169"/>
      <c r="X200" s="169"/>
      <c r="Y200" s="169"/>
      <c r="Z200" s="169"/>
      <c r="AA200" s="169"/>
      <c r="AB200" s="169"/>
      <c r="AC200" s="169"/>
      <c r="AD200" s="170"/>
      <c r="AH200" s="156"/>
      <c r="AI200" s="129"/>
    </row>
    <row r="201" spans="1:36">
      <c r="A201" s="154"/>
      <c r="B201" s="167" t="s">
        <v>887</v>
      </c>
      <c r="C201" s="151" t="s">
        <v>920</v>
      </c>
      <c r="D201" s="151"/>
      <c r="E201" s="167" t="s">
        <v>857</v>
      </c>
      <c r="F201" s="151" t="s">
        <v>889</v>
      </c>
      <c r="G201" s="151"/>
      <c r="H201" s="151"/>
      <c r="I201" s="151"/>
      <c r="J201" s="151"/>
      <c r="K201" s="151"/>
      <c r="L201" s="151" t="s">
        <v>855</v>
      </c>
      <c r="M201" s="151" t="str">
        <f>AI201</f>
        <v>CK154</v>
      </c>
      <c r="N201" s="151"/>
      <c r="O201" s="151"/>
      <c r="P201" s="151" t="str">
        <f>AJ201</f>
        <v>導入システム区分</v>
      </c>
      <c r="Q201" s="151"/>
      <c r="R201" s="151"/>
      <c r="S201" s="151"/>
      <c r="T201" s="151"/>
      <c r="U201" s="151"/>
      <c r="V201" s="151"/>
      <c r="W201" s="151"/>
      <c r="X201" s="151"/>
      <c r="Y201" s="151"/>
      <c r="Z201" s="151"/>
      <c r="AA201" s="151"/>
      <c r="AB201" s="151"/>
      <c r="AC201" s="151" t="s">
        <v>896</v>
      </c>
      <c r="AD201" s="153"/>
      <c r="AH201" s="156"/>
      <c r="AI201" s="129" t="s">
        <v>921</v>
      </c>
      <c r="AJ201" s="125" t="s">
        <v>922</v>
      </c>
    </row>
    <row r="202" spans="1:36">
      <c r="A202" s="154"/>
      <c r="B202" s="168"/>
      <c r="C202" s="169"/>
      <c r="D202" s="169"/>
      <c r="E202" s="168"/>
      <c r="F202" s="169" t="s">
        <v>893</v>
      </c>
      <c r="G202" s="169"/>
      <c r="H202" s="169"/>
      <c r="I202" s="169"/>
      <c r="J202" s="169"/>
      <c r="K202" s="169"/>
      <c r="L202" s="169" t="s">
        <v>855</v>
      </c>
      <c r="M202" s="169" t="s">
        <v>923</v>
      </c>
      <c r="N202" s="169"/>
      <c r="O202" s="169"/>
      <c r="P202" s="169"/>
      <c r="Q202" s="169"/>
      <c r="R202" s="169"/>
      <c r="S202" s="169"/>
      <c r="T202" s="169"/>
      <c r="U202" s="169"/>
      <c r="V202" s="169"/>
      <c r="W202" s="169"/>
      <c r="X202" s="169"/>
      <c r="Y202" s="169"/>
      <c r="Z202" s="169"/>
      <c r="AA202" s="169"/>
      <c r="AB202" s="169"/>
      <c r="AC202" s="169"/>
      <c r="AD202" s="170"/>
      <c r="AH202" s="156"/>
      <c r="AI202" s="129"/>
    </row>
    <row r="203" spans="1:36">
      <c r="A203" s="154"/>
      <c r="B203" s="167" t="s">
        <v>887</v>
      </c>
      <c r="C203" s="151" t="s">
        <v>924</v>
      </c>
      <c r="D203" s="151"/>
      <c r="E203" s="167" t="s">
        <v>857</v>
      </c>
      <c r="F203" s="151" t="s">
        <v>889</v>
      </c>
      <c r="G203" s="151"/>
      <c r="H203" s="151"/>
      <c r="I203" s="151"/>
      <c r="J203" s="151"/>
      <c r="K203" s="151"/>
      <c r="L203" s="151" t="s">
        <v>855</v>
      </c>
      <c r="M203" s="183" t="str">
        <f>AI203</f>
        <v>CK127</v>
      </c>
      <c r="N203" s="183"/>
      <c r="O203" s="183"/>
      <c r="P203" s="183" t="str">
        <f>AJ203</f>
        <v>カード種別CD</v>
      </c>
      <c r="Q203" s="183"/>
      <c r="R203" s="183"/>
      <c r="S203" s="183"/>
      <c r="T203" s="183"/>
      <c r="U203" s="183"/>
      <c r="V203" s="183"/>
      <c r="W203" s="183"/>
      <c r="X203" s="151"/>
      <c r="Y203" s="151"/>
      <c r="Z203" s="151"/>
      <c r="AA203" s="151"/>
      <c r="AB203" s="151"/>
      <c r="AC203" s="151" t="s">
        <v>896</v>
      </c>
      <c r="AD203" s="153"/>
      <c r="AH203" s="156"/>
      <c r="AI203" s="129" t="s">
        <v>1006</v>
      </c>
      <c r="AJ203" s="125" t="s">
        <v>1007</v>
      </c>
    </row>
    <row r="204" spans="1:36">
      <c r="A204" s="154"/>
      <c r="B204" s="168"/>
      <c r="C204" s="169"/>
      <c r="D204" s="169"/>
      <c r="E204" s="168"/>
      <c r="F204" s="169" t="s">
        <v>893</v>
      </c>
      <c r="G204" s="169"/>
      <c r="H204" s="169"/>
      <c r="I204" s="169"/>
      <c r="J204" s="169"/>
      <c r="K204" s="169"/>
      <c r="L204" s="169" t="s">
        <v>855</v>
      </c>
      <c r="M204" s="169" t="s">
        <v>925</v>
      </c>
      <c r="N204" s="169"/>
      <c r="O204" s="169"/>
      <c r="P204" s="169"/>
      <c r="Q204" s="169"/>
      <c r="R204" s="169"/>
      <c r="S204" s="169"/>
      <c r="T204" s="169"/>
      <c r="U204" s="169"/>
      <c r="V204" s="169"/>
      <c r="W204" s="169"/>
      <c r="X204" s="169"/>
      <c r="Y204" s="169"/>
      <c r="Z204" s="169"/>
      <c r="AA204" s="169"/>
      <c r="AB204" s="169"/>
      <c r="AC204" s="169"/>
      <c r="AD204" s="170"/>
      <c r="AH204" s="156"/>
      <c r="AI204" s="129"/>
    </row>
    <row r="205" spans="1:36">
      <c r="A205" s="154"/>
      <c r="B205" s="167" t="s">
        <v>887</v>
      </c>
      <c r="C205" s="151" t="s">
        <v>926</v>
      </c>
      <c r="D205" s="151"/>
      <c r="E205" s="167" t="s">
        <v>857</v>
      </c>
      <c r="F205" s="151" t="s">
        <v>889</v>
      </c>
      <c r="G205" s="151"/>
      <c r="H205" s="151"/>
      <c r="I205" s="151"/>
      <c r="J205" s="151"/>
      <c r="K205" s="151"/>
      <c r="L205" s="151" t="s">
        <v>855</v>
      </c>
      <c r="M205" s="151" t="str">
        <f>AI205</f>
        <v>CK191</v>
      </c>
      <c r="N205" s="151"/>
      <c r="O205" s="151"/>
      <c r="P205" s="151" t="str">
        <f>AJ205</f>
        <v>タイプ(ヒューテックTYPE A)</v>
      </c>
      <c r="Q205" s="151"/>
      <c r="R205" s="151"/>
      <c r="S205" s="151"/>
      <c r="T205" s="151"/>
      <c r="U205" s="151"/>
      <c r="V205" s="151"/>
      <c r="W205" s="151"/>
      <c r="X205" s="151"/>
      <c r="Y205" s="151"/>
      <c r="Z205" s="151"/>
      <c r="AA205" s="151"/>
      <c r="AB205" s="151"/>
      <c r="AC205" s="151" t="s">
        <v>896</v>
      </c>
      <c r="AD205" s="153"/>
      <c r="AH205" s="156"/>
      <c r="AI205" s="129" t="s">
        <v>927</v>
      </c>
      <c r="AJ205" s="125" t="s">
        <v>928</v>
      </c>
    </row>
    <row r="206" spans="1:36">
      <c r="A206" s="154"/>
      <c r="B206" s="168"/>
      <c r="C206" s="169"/>
      <c r="D206" s="169"/>
      <c r="E206" s="168"/>
      <c r="F206" s="169" t="s">
        <v>893</v>
      </c>
      <c r="G206" s="169"/>
      <c r="H206" s="169"/>
      <c r="I206" s="169"/>
      <c r="J206" s="169"/>
      <c r="K206" s="169"/>
      <c r="L206" s="169" t="s">
        <v>855</v>
      </c>
      <c r="M206" s="169" t="s">
        <v>929</v>
      </c>
      <c r="N206" s="169"/>
      <c r="O206" s="169"/>
      <c r="P206" s="169"/>
      <c r="Q206" s="169"/>
      <c r="R206" s="169"/>
      <c r="S206" s="169"/>
      <c r="T206" s="169"/>
      <c r="U206" s="169"/>
      <c r="V206" s="169"/>
      <c r="W206" s="169"/>
      <c r="X206" s="169"/>
      <c r="Y206" s="169"/>
      <c r="Z206" s="169"/>
      <c r="AA206" s="169"/>
      <c r="AB206" s="169"/>
      <c r="AC206" s="169"/>
      <c r="AD206" s="170"/>
      <c r="AH206" s="156"/>
      <c r="AI206" s="129"/>
    </row>
    <row r="207" spans="1:36">
      <c r="A207" s="154"/>
      <c r="B207" s="167" t="s">
        <v>887</v>
      </c>
      <c r="C207" s="151" t="s">
        <v>930</v>
      </c>
      <c r="D207" s="151"/>
      <c r="E207" s="167" t="s">
        <v>857</v>
      </c>
      <c r="F207" s="151" t="s">
        <v>889</v>
      </c>
      <c r="G207" s="151"/>
      <c r="H207" s="151"/>
      <c r="I207" s="151"/>
      <c r="J207" s="151"/>
      <c r="K207" s="151"/>
      <c r="L207" s="151" t="s">
        <v>855</v>
      </c>
      <c r="M207" s="151" t="str">
        <f>AI207</f>
        <v>CK198</v>
      </c>
      <c r="N207" s="151"/>
      <c r="O207" s="151"/>
      <c r="P207" s="151" t="str">
        <f>AJ207</f>
        <v>タイプ(ヒューテックTYPE S)</v>
      </c>
      <c r="Q207" s="151"/>
      <c r="R207" s="151"/>
      <c r="S207" s="151"/>
      <c r="T207" s="151"/>
      <c r="U207" s="151"/>
      <c r="V207" s="151"/>
      <c r="W207" s="151"/>
      <c r="X207" s="151"/>
      <c r="Y207" s="151"/>
      <c r="Z207" s="151"/>
      <c r="AA207" s="151"/>
      <c r="AB207" s="151"/>
      <c r="AC207" s="151" t="s">
        <v>896</v>
      </c>
      <c r="AD207" s="153"/>
      <c r="AH207" s="156"/>
      <c r="AI207" s="129" t="s">
        <v>931</v>
      </c>
      <c r="AJ207" s="125" t="s">
        <v>932</v>
      </c>
    </row>
    <row r="208" spans="1:36">
      <c r="A208" s="154"/>
      <c r="B208" s="168"/>
      <c r="C208" s="169"/>
      <c r="D208" s="169"/>
      <c r="E208" s="168"/>
      <c r="F208" s="169" t="s">
        <v>893</v>
      </c>
      <c r="G208" s="169"/>
      <c r="H208" s="169"/>
      <c r="I208" s="169"/>
      <c r="J208" s="169"/>
      <c r="K208" s="169"/>
      <c r="L208" s="169" t="s">
        <v>855</v>
      </c>
      <c r="M208" s="169" t="s">
        <v>929</v>
      </c>
      <c r="N208" s="169"/>
      <c r="O208" s="169"/>
      <c r="P208" s="169"/>
      <c r="Q208" s="169"/>
      <c r="R208" s="169"/>
      <c r="S208" s="169"/>
      <c r="T208" s="169"/>
      <c r="U208" s="169"/>
      <c r="V208" s="169"/>
      <c r="W208" s="169"/>
      <c r="X208" s="169"/>
      <c r="Y208" s="169"/>
      <c r="Z208" s="169"/>
      <c r="AA208" s="169"/>
      <c r="AB208" s="169"/>
      <c r="AC208" s="169"/>
      <c r="AD208" s="170"/>
      <c r="AH208" s="156"/>
      <c r="AI208" s="129"/>
    </row>
    <row r="209" spans="1:36">
      <c r="A209" s="154"/>
      <c r="B209" s="167" t="s">
        <v>887</v>
      </c>
      <c r="C209" s="151" t="s">
        <v>933</v>
      </c>
      <c r="D209" s="151"/>
      <c r="E209" s="167" t="s">
        <v>857</v>
      </c>
      <c r="F209" s="151" t="s">
        <v>889</v>
      </c>
      <c r="G209" s="151"/>
      <c r="H209" s="151"/>
      <c r="I209" s="151"/>
      <c r="J209" s="151"/>
      <c r="K209" s="151"/>
      <c r="L209" s="151" t="s">
        <v>855</v>
      </c>
      <c r="M209" s="151" t="str">
        <f>AI209</f>
        <v>CK062</v>
      </c>
      <c r="N209" s="151"/>
      <c r="O209" s="151"/>
      <c r="P209" s="151" t="str">
        <f>AJ209</f>
        <v>タイプ(大都)</v>
      </c>
      <c r="Q209" s="151"/>
      <c r="R209" s="151"/>
      <c r="S209" s="151"/>
      <c r="T209" s="151"/>
      <c r="U209" s="151"/>
      <c r="V209" s="151"/>
      <c r="W209" s="151"/>
      <c r="X209" s="151"/>
      <c r="Y209" s="151"/>
      <c r="Z209" s="151"/>
      <c r="AA209" s="151"/>
      <c r="AB209" s="151"/>
      <c r="AC209" s="151" t="s">
        <v>896</v>
      </c>
      <c r="AD209" s="153"/>
      <c r="AH209" s="156"/>
      <c r="AI209" s="129" t="s">
        <v>934</v>
      </c>
      <c r="AJ209" s="125" t="s">
        <v>935</v>
      </c>
    </row>
    <row r="210" spans="1:36">
      <c r="A210" s="154"/>
      <c r="B210" s="168"/>
      <c r="C210" s="169"/>
      <c r="D210" s="169"/>
      <c r="E210" s="168"/>
      <c r="F210" s="169" t="s">
        <v>893</v>
      </c>
      <c r="G210" s="169"/>
      <c r="H210" s="169"/>
      <c r="I210" s="169"/>
      <c r="J210" s="169"/>
      <c r="K210" s="169"/>
      <c r="L210" s="169" t="s">
        <v>855</v>
      </c>
      <c r="M210" s="169" t="s">
        <v>929</v>
      </c>
      <c r="N210" s="169"/>
      <c r="O210" s="169"/>
      <c r="P210" s="169"/>
      <c r="Q210" s="169"/>
      <c r="R210" s="169"/>
      <c r="S210" s="169"/>
      <c r="T210" s="169"/>
      <c r="U210" s="169"/>
      <c r="V210" s="169"/>
      <c r="W210" s="169"/>
      <c r="X210" s="169"/>
      <c r="Y210" s="169"/>
      <c r="Z210" s="169"/>
      <c r="AA210" s="169"/>
      <c r="AB210" s="169"/>
      <c r="AC210" s="169"/>
      <c r="AD210" s="170"/>
      <c r="AH210" s="156"/>
      <c r="AI210" s="129"/>
    </row>
    <row r="211" spans="1:36">
      <c r="A211" s="154"/>
      <c r="B211" s="167" t="s">
        <v>887</v>
      </c>
      <c r="C211" s="151" t="s">
        <v>936</v>
      </c>
      <c r="D211" s="151"/>
      <c r="E211" s="167" t="s">
        <v>857</v>
      </c>
      <c r="F211" s="151" t="s">
        <v>889</v>
      </c>
      <c r="G211" s="151"/>
      <c r="H211" s="151"/>
      <c r="I211" s="151"/>
      <c r="J211" s="151"/>
      <c r="K211" s="151"/>
      <c r="L211" s="151" t="s">
        <v>855</v>
      </c>
      <c r="M211" s="151" t="str">
        <f>AI211</f>
        <v>CK063</v>
      </c>
      <c r="N211" s="151"/>
      <c r="O211" s="151"/>
      <c r="P211" s="151" t="str">
        <f>AJ211</f>
        <v>タイプ(アイ電子)</v>
      </c>
      <c r="Q211" s="151"/>
      <c r="R211" s="151"/>
      <c r="S211" s="151"/>
      <c r="T211" s="151"/>
      <c r="U211" s="151"/>
      <c r="V211" s="151"/>
      <c r="W211" s="151"/>
      <c r="X211" s="151"/>
      <c r="Y211" s="151"/>
      <c r="Z211" s="151"/>
      <c r="AA211" s="151"/>
      <c r="AB211" s="151"/>
      <c r="AC211" s="151" t="s">
        <v>896</v>
      </c>
      <c r="AD211" s="153"/>
      <c r="AH211" s="156"/>
      <c r="AI211" s="129" t="s">
        <v>937</v>
      </c>
      <c r="AJ211" s="125" t="s">
        <v>938</v>
      </c>
    </row>
    <row r="212" spans="1:36">
      <c r="A212" s="154"/>
      <c r="B212" s="168"/>
      <c r="C212" s="169"/>
      <c r="D212" s="169"/>
      <c r="E212" s="168"/>
      <c r="F212" s="169" t="s">
        <v>893</v>
      </c>
      <c r="G212" s="169"/>
      <c r="H212" s="169"/>
      <c r="I212" s="169"/>
      <c r="J212" s="169"/>
      <c r="K212" s="169"/>
      <c r="L212" s="169" t="s">
        <v>855</v>
      </c>
      <c r="M212" s="169" t="s">
        <v>929</v>
      </c>
      <c r="N212" s="169"/>
      <c r="O212" s="169"/>
      <c r="P212" s="169"/>
      <c r="Q212" s="169"/>
      <c r="R212" s="169"/>
      <c r="S212" s="169"/>
      <c r="T212" s="169"/>
      <c r="U212" s="169"/>
      <c r="V212" s="169"/>
      <c r="W212" s="169"/>
      <c r="X212" s="169"/>
      <c r="Y212" s="169"/>
      <c r="Z212" s="169"/>
      <c r="AA212" s="169"/>
      <c r="AB212" s="169"/>
      <c r="AC212" s="169"/>
      <c r="AD212" s="170"/>
      <c r="AH212" s="156"/>
      <c r="AI212" s="129"/>
    </row>
    <row r="213" spans="1:36">
      <c r="A213" s="154"/>
      <c r="B213" s="167" t="s">
        <v>887</v>
      </c>
      <c r="C213" s="151" t="s">
        <v>939</v>
      </c>
      <c r="D213" s="151"/>
      <c r="E213" s="167" t="s">
        <v>857</v>
      </c>
      <c r="F213" s="151" t="s">
        <v>889</v>
      </c>
      <c r="G213" s="151"/>
      <c r="H213" s="151"/>
      <c r="I213" s="151"/>
      <c r="J213" s="151"/>
      <c r="K213" s="151"/>
      <c r="L213" s="183" t="s">
        <v>855</v>
      </c>
      <c r="M213" s="183" t="str">
        <f>AI213</f>
        <v>CK117</v>
      </c>
      <c r="N213" s="183"/>
      <c r="O213" s="183"/>
      <c r="P213" s="183" t="str">
        <f>AJ213</f>
        <v>有無区分</v>
      </c>
      <c r="Q213" s="183"/>
      <c r="R213" s="183"/>
      <c r="S213" s="183"/>
      <c r="T213" s="183"/>
      <c r="U213" s="183"/>
      <c r="V213" s="183"/>
      <c r="W213" s="183"/>
      <c r="X213" s="183"/>
      <c r="Y213" s="183"/>
      <c r="Z213" s="183"/>
      <c r="AA213" s="151"/>
      <c r="AB213" s="151"/>
      <c r="AC213" s="151" t="s">
        <v>896</v>
      </c>
      <c r="AD213" s="153"/>
      <c r="AH213" s="156"/>
      <c r="AI213" s="129" t="s">
        <v>1009</v>
      </c>
      <c r="AJ213" s="125" t="s">
        <v>1010</v>
      </c>
    </row>
    <row r="214" spans="1:36">
      <c r="A214" s="154"/>
      <c r="B214" s="168"/>
      <c r="C214" s="169"/>
      <c r="D214" s="169"/>
      <c r="E214" s="168"/>
      <c r="F214" s="169" t="s">
        <v>893</v>
      </c>
      <c r="G214" s="169"/>
      <c r="H214" s="169"/>
      <c r="I214" s="169"/>
      <c r="J214" s="169"/>
      <c r="K214" s="169"/>
      <c r="L214" s="197" t="s">
        <v>855</v>
      </c>
      <c r="M214" s="197" t="s">
        <v>940</v>
      </c>
      <c r="N214" s="197"/>
      <c r="O214" s="197"/>
      <c r="P214" s="197"/>
      <c r="Q214" s="197"/>
      <c r="R214" s="197"/>
      <c r="S214" s="197"/>
      <c r="T214" s="197"/>
      <c r="U214" s="197"/>
      <c r="V214" s="197"/>
      <c r="W214" s="197"/>
      <c r="X214" s="197"/>
      <c r="Y214" s="197"/>
      <c r="Z214" s="197"/>
      <c r="AA214" s="169"/>
      <c r="AB214" s="169"/>
      <c r="AC214" s="169"/>
      <c r="AD214" s="170"/>
      <c r="AH214" s="156"/>
      <c r="AI214" s="129"/>
    </row>
    <row r="215" spans="1:36">
      <c r="A215" s="154"/>
      <c r="D215" s="129"/>
      <c r="M215" s="544"/>
      <c r="N215" s="544"/>
      <c r="O215" s="544"/>
      <c r="AH215" s="156"/>
    </row>
    <row r="216" spans="1:36">
      <c r="A216" s="154"/>
      <c r="D216" s="129"/>
      <c r="AH216" s="156"/>
    </row>
    <row r="217" spans="1:36">
      <c r="A217" s="154"/>
      <c r="B217" s="312" t="s">
        <v>778</v>
      </c>
      <c r="C217" s="313"/>
      <c r="D217" s="314"/>
      <c r="E217" s="313"/>
      <c r="F217" s="313"/>
      <c r="G217" s="313"/>
      <c r="H217" s="313"/>
      <c r="I217" s="313"/>
      <c r="J217" s="313"/>
      <c r="K217" s="313"/>
      <c r="L217" s="313"/>
      <c r="M217" s="547"/>
      <c r="N217" s="547"/>
      <c r="O217" s="547"/>
      <c r="P217" s="313"/>
      <c r="Q217" s="313"/>
      <c r="R217" s="313"/>
      <c r="S217" s="313"/>
      <c r="T217" s="313"/>
      <c r="U217" s="313"/>
      <c r="V217" s="313"/>
      <c r="W217" s="313"/>
      <c r="X217" s="313"/>
      <c r="Y217" s="313"/>
      <c r="Z217" s="313"/>
      <c r="AA217" s="313"/>
      <c r="AB217" s="313"/>
      <c r="AC217" s="313"/>
      <c r="AD217" s="313"/>
      <c r="AE217" s="313"/>
      <c r="AF217" s="313"/>
      <c r="AG217" s="313"/>
      <c r="AH217" s="156"/>
    </row>
    <row r="218" spans="1:36">
      <c r="A218" s="154"/>
      <c r="B218" s="125" t="s">
        <v>1362</v>
      </c>
      <c r="D218" s="129"/>
      <c r="AH218" s="156"/>
    </row>
    <row r="219" spans="1:36" s="294" customFormat="1">
      <c r="A219" s="154"/>
      <c r="D219" s="295"/>
      <c r="AH219" s="156"/>
    </row>
    <row r="220" spans="1:36" s="294" customFormat="1">
      <c r="A220" s="154"/>
      <c r="B220" s="316" t="s">
        <v>1367</v>
      </c>
      <c r="D220" s="295"/>
      <c r="AH220" s="156"/>
    </row>
    <row r="221" spans="1:36" s="294" customFormat="1">
      <c r="A221" s="154"/>
      <c r="C221" s="294" t="s">
        <v>948</v>
      </c>
      <c r="D221" s="295"/>
      <c r="AH221" s="156"/>
      <c r="AJ221" s="294" t="s">
        <v>949</v>
      </c>
    </row>
    <row r="222" spans="1:36" s="294" customFormat="1">
      <c r="A222" s="154"/>
      <c r="D222" s="295"/>
      <c r="AH222" s="156"/>
    </row>
    <row r="223" spans="1:36" s="294" customFormat="1">
      <c r="A223" s="154"/>
      <c r="B223" s="316" t="s">
        <v>1361</v>
      </c>
      <c r="D223" s="295"/>
      <c r="AH223" s="156"/>
    </row>
    <row r="224" spans="1:36" s="294" customFormat="1">
      <c r="A224" s="154"/>
      <c r="B224" s="316"/>
      <c r="C224" s="294" t="s">
        <v>219</v>
      </c>
      <c r="D224" s="295"/>
      <c r="AH224" s="156"/>
    </row>
    <row r="225" spans="1:34" s="294" customFormat="1">
      <c r="A225" s="154"/>
      <c r="C225" s="294" t="s">
        <v>1360</v>
      </c>
      <c r="D225" s="295"/>
      <c r="L225" s="294" t="s">
        <v>942</v>
      </c>
      <c r="M225" s="294" t="s">
        <v>943</v>
      </c>
      <c r="AH225" s="156"/>
    </row>
    <row r="226" spans="1:34" s="294" customFormat="1">
      <c r="A226" s="154"/>
      <c r="C226" s="294" t="s">
        <v>1366</v>
      </c>
      <c r="D226" s="295"/>
      <c r="L226" s="294" t="s">
        <v>942</v>
      </c>
      <c r="M226" s="294" t="s">
        <v>947</v>
      </c>
      <c r="AH226" s="156"/>
    </row>
    <row r="227" spans="1:34" s="294" customFormat="1">
      <c r="A227" s="154"/>
      <c r="D227" s="294" t="s">
        <v>1363</v>
      </c>
      <c r="J227" s="294" t="s">
        <v>944</v>
      </c>
      <c r="AH227" s="156"/>
    </row>
    <row r="228" spans="1:34" s="294" customFormat="1">
      <c r="A228" s="154"/>
      <c r="D228" s="294" t="s">
        <v>1364</v>
      </c>
      <c r="J228" s="294" t="s">
        <v>945</v>
      </c>
      <c r="AH228" s="156"/>
    </row>
    <row r="229" spans="1:34" s="294" customFormat="1">
      <c r="A229" s="154"/>
      <c r="D229" s="294" t="s">
        <v>1365</v>
      </c>
      <c r="J229" s="294" t="s">
        <v>946</v>
      </c>
      <c r="AH229" s="156"/>
    </row>
    <row r="230" spans="1:34" s="294" customFormat="1">
      <c r="A230" s="154"/>
      <c r="D230" s="295"/>
      <c r="AH230" s="156"/>
    </row>
    <row r="231" spans="1:34" s="294" customFormat="1">
      <c r="A231" s="154"/>
      <c r="B231" s="316" t="s">
        <v>1368</v>
      </c>
      <c r="C231" s="294" t="s">
        <v>219</v>
      </c>
      <c r="D231" s="295"/>
      <c r="AH231" s="156"/>
    </row>
    <row r="232" spans="1:34">
      <c r="A232" s="154"/>
      <c r="D232" s="129"/>
      <c r="AH232" s="156"/>
    </row>
    <row r="233" spans="1:34">
      <c r="A233" s="154"/>
      <c r="AH233" s="156"/>
    </row>
    <row r="234" spans="1:34">
      <c r="A234" s="154"/>
      <c r="AH234" s="156"/>
    </row>
    <row r="235" spans="1:34">
      <c r="A235" s="154"/>
      <c r="AH235" s="156"/>
    </row>
  </sheetData>
  <autoFilter ref="A9:AH235"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141">
    <mergeCell ref="AC1:AH1"/>
    <mergeCell ref="A4:B4"/>
    <mergeCell ref="M4:Q4"/>
    <mergeCell ref="R4:W4"/>
    <mergeCell ref="X4:AB4"/>
    <mergeCell ref="AC4:AH4"/>
    <mergeCell ref="A1:B1"/>
    <mergeCell ref="C1:D1"/>
    <mergeCell ref="E1:L4"/>
    <mergeCell ref="M1:Q1"/>
    <mergeCell ref="R1:W1"/>
    <mergeCell ref="X1:AB1"/>
    <mergeCell ref="A6:B6"/>
    <mergeCell ref="C6:D6"/>
    <mergeCell ref="E6:F6"/>
    <mergeCell ref="G6:AH6"/>
    <mergeCell ref="A8:A9"/>
    <mergeCell ref="B8:C9"/>
    <mergeCell ref="D8:D9"/>
    <mergeCell ref="E8:E9"/>
    <mergeCell ref="F8:H8"/>
    <mergeCell ref="J8:J9"/>
    <mergeCell ref="M12:O12"/>
    <mergeCell ref="M13:O13"/>
    <mergeCell ref="M14:O14"/>
    <mergeCell ref="M15:O15"/>
    <mergeCell ref="M16:O16"/>
    <mergeCell ref="M17:O17"/>
    <mergeCell ref="K8:O8"/>
    <mergeCell ref="P8:AA9"/>
    <mergeCell ref="AB8:AH9"/>
    <mergeCell ref="M9:O9"/>
    <mergeCell ref="M10:O10"/>
    <mergeCell ref="M11:O11"/>
    <mergeCell ref="M24:O24"/>
    <mergeCell ref="M25:O25"/>
    <mergeCell ref="M26:O26"/>
    <mergeCell ref="M27:O27"/>
    <mergeCell ref="M28:O28"/>
    <mergeCell ref="M29:O29"/>
    <mergeCell ref="M18:O18"/>
    <mergeCell ref="M19:O19"/>
    <mergeCell ref="M20:O20"/>
    <mergeCell ref="M21:O21"/>
    <mergeCell ref="M22:O22"/>
    <mergeCell ref="M23:O23"/>
    <mergeCell ref="M36:O36"/>
    <mergeCell ref="M37:O37"/>
    <mergeCell ref="M38:O38"/>
    <mergeCell ref="M39:O39"/>
    <mergeCell ref="M40:O40"/>
    <mergeCell ref="M41:O41"/>
    <mergeCell ref="M30:O30"/>
    <mergeCell ref="M31:O31"/>
    <mergeCell ref="M32:O32"/>
    <mergeCell ref="M33:O33"/>
    <mergeCell ref="M34:O34"/>
    <mergeCell ref="M35:O35"/>
    <mergeCell ref="M48:O48"/>
    <mergeCell ref="M49:O49"/>
    <mergeCell ref="M50:O50"/>
    <mergeCell ref="M51:O51"/>
    <mergeCell ref="M52:O52"/>
    <mergeCell ref="M53:O53"/>
    <mergeCell ref="M42:O42"/>
    <mergeCell ref="M43:O43"/>
    <mergeCell ref="M44:O44"/>
    <mergeCell ref="M45:O45"/>
    <mergeCell ref="M46:O46"/>
    <mergeCell ref="M47:O47"/>
    <mergeCell ref="M60:O60"/>
    <mergeCell ref="M61:O61"/>
    <mergeCell ref="M62:O62"/>
    <mergeCell ref="M63:O63"/>
    <mergeCell ref="M64:O64"/>
    <mergeCell ref="M65:O65"/>
    <mergeCell ref="M54:O54"/>
    <mergeCell ref="M55:O55"/>
    <mergeCell ref="M56:O56"/>
    <mergeCell ref="M57:O57"/>
    <mergeCell ref="M58:O58"/>
    <mergeCell ref="M59:O59"/>
    <mergeCell ref="M72:O72"/>
    <mergeCell ref="M73:O73"/>
    <mergeCell ref="M74:O74"/>
    <mergeCell ref="M75:O75"/>
    <mergeCell ref="M76:O76"/>
    <mergeCell ref="M77:O77"/>
    <mergeCell ref="M66:O66"/>
    <mergeCell ref="M67:O67"/>
    <mergeCell ref="M68:O68"/>
    <mergeCell ref="M69:O69"/>
    <mergeCell ref="M70:O70"/>
    <mergeCell ref="M71:O71"/>
    <mergeCell ref="M84:O84"/>
    <mergeCell ref="M85:O85"/>
    <mergeCell ref="M86:O86"/>
    <mergeCell ref="M87:O87"/>
    <mergeCell ref="M88:O88"/>
    <mergeCell ref="M89:O89"/>
    <mergeCell ref="M78:O78"/>
    <mergeCell ref="M79:O79"/>
    <mergeCell ref="M80:O80"/>
    <mergeCell ref="M81:O81"/>
    <mergeCell ref="M82:O82"/>
    <mergeCell ref="M83:O83"/>
    <mergeCell ref="M96:O96"/>
    <mergeCell ref="M97:O97"/>
    <mergeCell ref="M170:O170"/>
    <mergeCell ref="M172:O172"/>
    <mergeCell ref="M215:O215"/>
    <mergeCell ref="A143:AH143"/>
    <mergeCell ref="M90:O90"/>
    <mergeCell ref="M91:O91"/>
    <mergeCell ref="M92:O92"/>
    <mergeCell ref="M93:O93"/>
    <mergeCell ref="M94:O94"/>
    <mergeCell ref="A95:AH95"/>
    <mergeCell ref="A169:AH169"/>
    <mergeCell ref="M151:O151"/>
    <mergeCell ref="M152:O152"/>
    <mergeCell ref="M153:O153"/>
    <mergeCell ref="M154:O154"/>
    <mergeCell ref="M155:O155"/>
    <mergeCell ref="M156:O156"/>
    <mergeCell ref="M144:O144"/>
    <mergeCell ref="M145:O145"/>
    <mergeCell ref="M146:O146"/>
    <mergeCell ref="M148:O148"/>
    <mergeCell ref="M149:O149"/>
    <mergeCell ref="M217:O217"/>
    <mergeCell ref="M150:O150"/>
    <mergeCell ref="A165:AH165"/>
    <mergeCell ref="M166:O166"/>
    <mergeCell ref="M168:O168"/>
    <mergeCell ref="M157:O157"/>
    <mergeCell ref="M158:O158"/>
    <mergeCell ref="M159:O159"/>
    <mergeCell ref="M160:O160"/>
    <mergeCell ref="M161:O161"/>
    <mergeCell ref="M162:O162"/>
  </mergeCells>
  <phoneticPr fontId="15"/>
  <dataValidations count="1">
    <dataValidation imeMode="on" allowBlank="1" showInputMessage="1" showErrorMessage="1" sqref="C10:C94 C138:C168 C96:C113 C170:C171 D128:D132 C117:C127 D137 C133:C136 C215:C235" xr:uid="{4FC11EB9-203E-40D2-A840-6287CCEDB856}"/>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6E22-55F6-4E74-9EEA-2CCE7176A015}">
  <sheetPr>
    <pageSetUpPr fitToPage="1"/>
  </sheetPr>
  <dimension ref="A1:AL100"/>
  <sheetViews>
    <sheetView showGridLines="0" view="pageBreakPreview" zoomScale="85" zoomScaleNormal="70" zoomScaleSheetLayoutView="85" workbookViewId="0">
      <pane ySplit="6" topLeftCell="A7" activePane="bottomLeft" state="frozen"/>
      <selection activeCell="P19" sqref="P19:AA32"/>
      <selection pane="bottomLeft" activeCell="P19" sqref="P19:AA32"/>
    </sheetView>
  </sheetViews>
  <sheetFormatPr defaultColWidth="9" defaultRowHeight="15.75"/>
  <cols>
    <col min="1" max="1" width="4.375" style="125" customWidth="1"/>
    <col min="2" max="2" width="29.75" style="125" bestFit="1" customWidth="1"/>
    <col min="3" max="3" width="19.375" style="125" customWidth="1"/>
    <col min="4" max="5" width="9" style="125" customWidth="1"/>
    <col min="6" max="6" width="5.875" style="125" customWidth="1"/>
    <col min="7" max="7" width="3.875" style="125" customWidth="1"/>
    <col min="8" max="8" width="9" style="125" customWidth="1"/>
    <col min="9" max="9" width="1.125" style="125" customWidth="1"/>
    <col min="10" max="10" width="9" style="125" customWidth="1"/>
    <col min="11" max="11" width="11.75" style="125" customWidth="1"/>
    <col min="12" max="12" width="9" style="125" customWidth="1"/>
    <col min="13" max="34" width="3.125" style="125" customWidth="1"/>
    <col min="35" max="35" width="9" style="125"/>
    <col min="36" max="36" width="14.75" style="125" customWidth="1"/>
    <col min="37" max="37" width="21.125" style="125" customWidth="1"/>
    <col min="38" max="38" width="32.125" style="125" customWidth="1"/>
    <col min="39" max="16384" width="9" style="125"/>
  </cols>
  <sheetData>
    <row r="1" spans="1:38" ht="15.75" customHeight="1">
      <c r="A1" s="520"/>
      <c r="B1" s="520"/>
      <c r="C1" s="522"/>
      <c r="D1" s="522"/>
      <c r="E1" s="523"/>
      <c r="F1" s="523"/>
      <c r="G1" s="523"/>
      <c r="H1" s="523"/>
      <c r="I1" s="523"/>
      <c r="J1" s="523"/>
      <c r="K1" s="523"/>
      <c r="L1" s="523"/>
      <c r="M1" s="520"/>
      <c r="N1" s="520"/>
      <c r="O1" s="520"/>
      <c r="P1" s="520"/>
      <c r="Q1" s="520"/>
      <c r="R1" s="524"/>
      <c r="S1" s="519"/>
      <c r="T1" s="519"/>
      <c r="U1" s="519"/>
      <c r="V1" s="519"/>
      <c r="W1" s="519"/>
      <c r="X1" s="520"/>
      <c r="Y1" s="520"/>
      <c r="Z1" s="520"/>
      <c r="AA1" s="520"/>
      <c r="AB1" s="520"/>
      <c r="AC1" s="519"/>
      <c r="AD1" s="519"/>
      <c r="AE1" s="519"/>
      <c r="AF1" s="519"/>
      <c r="AG1" s="519"/>
      <c r="AH1" s="519"/>
    </row>
    <row r="2" spans="1:38" ht="15.75" customHeight="1">
      <c r="A2" s="126"/>
      <c r="B2" s="126"/>
      <c r="C2" s="127"/>
      <c r="D2" s="127"/>
      <c r="E2" s="523"/>
      <c r="F2" s="523"/>
      <c r="G2" s="523"/>
      <c r="H2" s="523"/>
      <c r="I2" s="523"/>
      <c r="J2" s="523"/>
      <c r="K2" s="523"/>
      <c r="L2" s="523"/>
      <c r="M2" s="126"/>
      <c r="N2" s="126"/>
      <c r="O2" s="126"/>
      <c r="P2" s="126"/>
      <c r="Q2" s="126"/>
      <c r="R2" s="128"/>
      <c r="S2" s="129"/>
      <c r="T2" s="129"/>
      <c r="U2" s="129"/>
      <c r="V2" s="129"/>
      <c r="W2" s="129"/>
      <c r="X2" s="126"/>
      <c r="Y2" s="126"/>
      <c r="Z2" s="126"/>
      <c r="AA2" s="126"/>
      <c r="AB2" s="126"/>
      <c r="AC2" s="129"/>
      <c r="AD2" s="129"/>
      <c r="AE2" s="129"/>
      <c r="AF2" s="129"/>
      <c r="AG2" s="129"/>
      <c r="AH2" s="129"/>
    </row>
    <row r="3" spans="1:38" ht="15.75" customHeight="1">
      <c r="A3" s="126"/>
      <c r="B3" s="126"/>
      <c r="C3" s="127"/>
      <c r="D3" s="127"/>
      <c r="E3" s="523"/>
      <c r="F3" s="523"/>
      <c r="G3" s="523"/>
      <c r="H3" s="523"/>
      <c r="I3" s="523"/>
      <c r="J3" s="523"/>
      <c r="K3" s="523"/>
      <c r="L3" s="523"/>
      <c r="M3" s="126"/>
      <c r="N3" s="126"/>
      <c r="O3" s="126"/>
      <c r="P3" s="126"/>
      <c r="Q3" s="126"/>
      <c r="R3" s="128"/>
      <c r="S3" s="129"/>
      <c r="T3" s="129"/>
      <c r="U3" s="129"/>
      <c r="V3" s="129"/>
      <c r="W3" s="129"/>
      <c r="X3" s="126"/>
      <c r="Y3" s="126"/>
      <c r="Z3" s="126"/>
      <c r="AA3" s="126"/>
      <c r="AB3" s="126"/>
      <c r="AC3" s="129"/>
      <c r="AD3" s="129"/>
      <c r="AE3" s="129"/>
      <c r="AF3" s="129"/>
      <c r="AG3" s="129"/>
      <c r="AH3" s="129"/>
    </row>
    <row r="4" spans="1:38" ht="15.75" customHeight="1">
      <c r="A4" s="520"/>
      <c r="B4" s="520"/>
      <c r="C4" s="129"/>
      <c r="E4" s="523"/>
      <c r="F4" s="523"/>
      <c r="G4" s="523"/>
      <c r="H4" s="523"/>
      <c r="I4" s="523"/>
      <c r="J4" s="523"/>
      <c r="K4" s="523"/>
      <c r="L4" s="523"/>
      <c r="M4" s="520"/>
      <c r="N4" s="520"/>
      <c r="O4" s="520"/>
      <c r="P4" s="520"/>
      <c r="Q4" s="520"/>
      <c r="R4" s="521"/>
      <c r="S4" s="519"/>
      <c r="T4" s="519"/>
      <c r="U4" s="519"/>
      <c r="V4" s="519"/>
      <c r="W4" s="519"/>
      <c r="X4" s="520"/>
      <c r="Y4" s="520"/>
      <c r="Z4" s="520"/>
      <c r="AA4" s="520"/>
      <c r="AB4" s="520"/>
      <c r="AC4" s="519"/>
      <c r="AD4" s="519"/>
      <c r="AE4" s="519"/>
      <c r="AF4" s="519"/>
      <c r="AG4" s="519"/>
      <c r="AH4" s="519"/>
    </row>
    <row r="5" spans="1:38" ht="5.25" customHeight="1"/>
    <row r="6" spans="1:38">
      <c r="A6" s="525" t="s">
        <v>20</v>
      </c>
      <c r="B6" s="526"/>
      <c r="C6" s="527" t="s">
        <v>725</v>
      </c>
      <c r="D6" s="528"/>
      <c r="E6" s="529" t="s">
        <v>21</v>
      </c>
      <c r="F6" s="529"/>
      <c r="G6" s="530" t="s">
        <v>1297</v>
      </c>
      <c r="H6" s="531"/>
      <c r="I6" s="531"/>
      <c r="J6" s="531"/>
      <c r="K6" s="531"/>
      <c r="L6" s="531"/>
      <c r="M6" s="531"/>
      <c r="N6" s="531"/>
      <c r="O6" s="531"/>
      <c r="P6" s="531"/>
      <c r="Q6" s="531"/>
      <c r="R6" s="531"/>
      <c r="S6" s="531"/>
      <c r="T6" s="531"/>
      <c r="U6" s="531"/>
      <c r="V6" s="531"/>
      <c r="W6" s="531"/>
      <c r="X6" s="531"/>
      <c r="Y6" s="531"/>
      <c r="Z6" s="531"/>
      <c r="AA6" s="531"/>
      <c r="AB6" s="531"/>
      <c r="AC6" s="531"/>
      <c r="AD6" s="531"/>
      <c r="AE6" s="531"/>
      <c r="AF6" s="531"/>
      <c r="AG6" s="531"/>
      <c r="AH6" s="532"/>
    </row>
    <row r="7" spans="1:38" ht="5.25" customHeight="1"/>
    <row r="8" spans="1:38">
      <c r="A8" s="533" t="s">
        <v>22</v>
      </c>
      <c r="B8" s="533" t="s">
        <v>23</v>
      </c>
      <c r="C8" s="533"/>
      <c r="D8" s="533" t="s">
        <v>24</v>
      </c>
      <c r="E8" s="535" t="s">
        <v>25</v>
      </c>
      <c r="F8" s="533" t="s">
        <v>26</v>
      </c>
      <c r="G8" s="533"/>
      <c r="H8" s="533"/>
      <c r="I8" s="130"/>
      <c r="J8" s="537" t="s">
        <v>27</v>
      </c>
      <c r="K8" s="533" t="s">
        <v>28</v>
      </c>
      <c r="L8" s="533"/>
      <c r="M8" s="533"/>
      <c r="N8" s="533"/>
      <c r="O8" s="533"/>
      <c r="P8" s="540" t="s">
        <v>29</v>
      </c>
      <c r="Q8" s="540"/>
      <c r="R8" s="540"/>
      <c r="S8" s="540"/>
      <c r="T8" s="540"/>
      <c r="U8" s="540"/>
      <c r="V8" s="540"/>
      <c r="W8" s="540"/>
      <c r="X8" s="540"/>
      <c r="Y8" s="540"/>
      <c r="Z8" s="540"/>
      <c r="AA8" s="540"/>
      <c r="AB8" s="540" t="s">
        <v>30</v>
      </c>
      <c r="AC8" s="540"/>
      <c r="AD8" s="540"/>
      <c r="AE8" s="540"/>
      <c r="AF8" s="540"/>
      <c r="AG8" s="540"/>
      <c r="AH8" s="540"/>
    </row>
    <row r="9" spans="1:38" ht="16.5" thickBot="1">
      <c r="A9" s="534"/>
      <c r="B9" s="534"/>
      <c r="C9" s="534"/>
      <c r="D9" s="534"/>
      <c r="E9" s="536"/>
      <c r="F9" s="131" t="s">
        <v>31</v>
      </c>
      <c r="G9" s="132" t="s">
        <v>32</v>
      </c>
      <c r="H9" s="133" t="s">
        <v>33</v>
      </c>
      <c r="I9" s="134"/>
      <c r="J9" s="538"/>
      <c r="K9" s="131" t="s">
        <v>34</v>
      </c>
      <c r="L9" s="132" t="s">
        <v>35</v>
      </c>
      <c r="M9" s="542" t="s">
        <v>36</v>
      </c>
      <c r="N9" s="542"/>
      <c r="O9" s="543"/>
      <c r="P9" s="541"/>
      <c r="Q9" s="541"/>
      <c r="R9" s="541"/>
      <c r="S9" s="541"/>
      <c r="T9" s="541"/>
      <c r="U9" s="541"/>
      <c r="V9" s="541"/>
      <c r="W9" s="541"/>
      <c r="X9" s="541"/>
      <c r="Y9" s="541"/>
      <c r="Z9" s="541"/>
      <c r="AA9" s="541"/>
      <c r="AB9" s="541"/>
      <c r="AC9" s="541"/>
      <c r="AD9" s="541"/>
      <c r="AE9" s="541"/>
      <c r="AF9" s="541"/>
      <c r="AG9" s="541"/>
      <c r="AH9" s="541"/>
    </row>
    <row r="10" spans="1:38" ht="16.5" thickTop="1">
      <c r="A10" s="188">
        <f t="shared" ref="A10:A26" si="0">+IF(C10&lt;&gt;"",ROW()-9,"")</f>
        <v>1</v>
      </c>
      <c r="B10" s="185" t="s">
        <v>1012</v>
      </c>
      <c r="C10" s="185" t="s">
        <v>961</v>
      </c>
      <c r="D10" s="186" t="b">
        <v>0</v>
      </c>
      <c r="E10" s="187">
        <v>1</v>
      </c>
      <c r="F10" s="187">
        <v>2</v>
      </c>
      <c r="G10" s="187">
        <v>0</v>
      </c>
      <c r="H10" s="187">
        <v>0</v>
      </c>
      <c r="I10" s="188"/>
      <c r="J10" s="189" t="s">
        <v>129</v>
      </c>
      <c r="K10" s="179"/>
      <c r="L10" s="137"/>
      <c r="M10" s="539"/>
      <c r="N10" s="539"/>
      <c r="O10" s="539"/>
      <c r="P10" s="173" t="s">
        <v>724</v>
      </c>
      <c r="Q10" s="138"/>
      <c r="R10" s="138"/>
      <c r="S10" s="138"/>
      <c r="T10" s="138"/>
      <c r="U10" s="138"/>
      <c r="V10" s="138"/>
      <c r="W10" s="138"/>
      <c r="X10" s="138"/>
      <c r="Y10" s="138"/>
      <c r="Z10" s="138"/>
      <c r="AA10" s="138"/>
      <c r="AB10" s="139"/>
      <c r="AC10" s="138"/>
      <c r="AD10" s="138"/>
      <c r="AE10" s="138"/>
      <c r="AF10" s="138"/>
      <c r="AG10" s="138"/>
      <c r="AH10" s="140"/>
      <c r="AJ10" s="125" t="s">
        <v>962</v>
      </c>
      <c r="AK10" s="125" t="s">
        <v>961</v>
      </c>
    </row>
    <row r="11" spans="1:38">
      <c r="A11" s="187">
        <f t="shared" si="0"/>
        <v>2</v>
      </c>
      <c r="B11" s="187" t="s">
        <v>1013</v>
      </c>
      <c r="C11" s="187" t="s">
        <v>963</v>
      </c>
      <c r="D11" s="186" t="b">
        <v>1</v>
      </c>
      <c r="E11" s="187">
        <v>0</v>
      </c>
      <c r="F11" s="187">
        <v>2</v>
      </c>
      <c r="G11" s="187">
        <v>0</v>
      </c>
      <c r="H11" s="187">
        <v>0</v>
      </c>
      <c r="I11" s="188"/>
      <c r="J11" s="189" t="s">
        <v>129</v>
      </c>
      <c r="K11" s="179"/>
      <c r="L11" s="137"/>
      <c r="M11" s="539"/>
      <c r="N11" s="539"/>
      <c r="O11" s="539"/>
      <c r="P11" s="135"/>
      <c r="Q11" s="138"/>
      <c r="R11" s="138"/>
      <c r="S11" s="138"/>
      <c r="T11" s="138"/>
      <c r="U11" s="138"/>
      <c r="V11" s="138"/>
      <c r="W11" s="138"/>
      <c r="X11" s="138"/>
      <c r="Y11" s="138"/>
      <c r="Z11" s="138"/>
      <c r="AA11" s="138"/>
      <c r="AB11" s="135"/>
      <c r="AC11" s="138"/>
      <c r="AD11" s="138"/>
      <c r="AE11" s="138"/>
      <c r="AF11" s="138"/>
      <c r="AG11" s="138"/>
      <c r="AH11" s="140"/>
      <c r="AJ11" s="125" t="s">
        <v>962</v>
      </c>
      <c r="AK11" s="125" t="s">
        <v>963</v>
      </c>
    </row>
    <row r="12" spans="1:38">
      <c r="A12" s="187">
        <f t="shared" si="0"/>
        <v>3</v>
      </c>
      <c r="B12" s="187" t="s">
        <v>1014</v>
      </c>
      <c r="C12" s="187" t="s">
        <v>964</v>
      </c>
      <c r="D12" s="186" t="b">
        <v>0</v>
      </c>
      <c r="E12" s="187">
        <v>0</v>
      </c>
      <c r="F12" s="187">
        <v>10</v>
      </c>
      <c r="G12" s="187">
        <v>0</v>
      </c>
      <c r="H12" s="187">
        <v>0</v>
      </c>
      <c r="I12" s="188"/>
      <c r="J12" s="189" t="s">
        <v>129</v>
      </c>
      <c r="K12" s="199"/>
      <c r="L12" s="199"/>
      <c r="M12" s="539"/>
      <c r="N12" s="539"/>
      <c r="O12" s="539"/>
      <c r="P12" s="135" t="s">
        <v>1295</v>
      </c>
      <c r="Q12" s="138"/>
      <c r="R12" s="138"/>
      <c r="S12" s="138"/>
      <c r="T12" s="138"/>
      <c r="U12" s="138"/>
      <c r="V12" s="138"/>
      <c r="W12" s="138"/>
      <c r="X12" s="138"/>
      <c r="Y12" s="138"/>
      <c r="Z12" s="138"/>
      <c r="AA12" s="138"/>
      <c r="AB12" s="135"/>
      <c r="AC12" s="138"/>
      <c r="AD12" s="138"/>
      <c r="AE12" s="138"/>
      <c r="AF12" s="138"/>
      <c r="AG12" s="138"/>
      <c r="AH12" s="140"/>
      <c r="AJ12" s="125" t="s">
        <v>962</v>
      </c>
      <c r="AK12" s="125" t="s">
        <v>964</v>
      </c>
    </row>
    <row r="13" spans="1:38" s="200" customFormat="1">
      <c r="A13" s="187">
        <f t="shared" ref="A13" si="1">+IF(C13&lt;&gt;"",ROW()-9,"")</f>
        <v>4</v>
      </c>
      <c r="B13" s="187" t="s">
        <v>1015</v>
      </c>
      <c r="C13" s="187" t="s">
        <v>967</v>
      </c>
      <c r="D13" s="186" t="b">
        <v>1</v>
      </c>
      <c r="E13" s="187">
        <v>0</v>
      </c>
      <c r="F13" s="187">
        <v>10</v>
      </c>
      <c r="G13" s="187">
        <v>0</v>
      </c>
      <c r="H13" s="187">
        <v>0</v>
      </c>
      <c r="I13" s="188"/>
      <c r="J13" s="189" t="s">
        <v>1017</v>
      </c>
      <c r="K13" s="199"/>
      <c r="L13" s="199"/>
      <c r="M13" s="539"/>
      <c r="N13" s="539"/>
      <c r="O13" s="539"/>
      <c r="P13" s="135" t="s">
        <v>1296</v>
      </c>
      <c r="Q13" s="138"/>
      <c r="R13" s="138"/>
      <c r="S13" s="138"/>
      <c r="T13" s="138"/>
      <c r="U13" s="138"/>
      <c r="V13" s="138"/>
      <c r="W13" s="138"/>
      <c r="X13" s="138"/>
      <c r="Y13" s="138"/>
      <c r="Z13" s="138"/>
      <c r="AA13" s="138"/>
      <c r="AB13" s="135"/>
      <c r="AC13" s="138"/>
      <c r="AD13" s="138"/>
      <c r="AE13" s="138"/>
      <c r="AF13" s="138"/>
      <c r="AG13" s="138"/>
      <c r="AH13" s="140"/>
      <c r="AJ13" s="200" t="s">
        <v>962</v>
      </c>
      <c r="AK13" s="200" t="s">
        <v>967</v>
      </c>
    </row>
    <row r="14" spans="1:38" ht="63">
      <c r="A14" s="187">
        <f t="shared" si="0"/>
        <v>5</v>
      </c>
      <c r="B14" s="289" t="s">
        <v>1283</v>
      </c>
      <c r="C14" s="289" t="s">
        <v>968</v>
      </c>
      <c r="D14" s="186" t="b">
        <v>1</v>
      </c>
      <c r="E14" s="187">
        <v>0</v>
      </c>
      <c r="F14" s="289">
        <v>120</v>
      </c>
      <c r="G14" s="187">
        <v>0</v>
      </c>
      <c r="H14" s="187">
        <v>0</v>
      </c>
      <c r="I14" s="188"/>
      <c r="J14" s="189" t="s">
        <v>131</v>
      </c>
      <c r="K14" s="137"/>
      <c r="L14" s="137"/>
      <c r="M14" s="539"/>
      <c r="N14" s="539"/>
      <c r="O14" s="539"/>
      <c r="P14" s="135" t="s">
        <v>1331</v>
      </c>
      <c r="Q14" s="138"/>
      <c r="R14" s="138"/>
      <c r="S14" s="138"/>
      <c r="T14" s="138"/>
      <c r="U14" s="138"/>
      <c r="V14" s="138"/>
      <c r="W14" s="138"/>
      <c r="X14" s="138"/>
      <c r="Y14" s="138"/>
      <c r="Z14" s="138"/>
      <c r="AA14" s="138"/>
      <c r="AB14" s="135"/>
      <c r="AC14" s="138"/>
      <c r="AD14" s="138"/>
      <c r="AE14" s="138"/>
      <c r="AF14" s="138"/>
      <c r="AG14" s="138"/>
      <c r="AH14" s="140"/>
      <c r="AJ14" s="141" t="s">
        <v>1294</v>
      </c>
      <c r="AK14" s="141" t="s">
        <v>1286</v>
      </c>
      <c r="AL14" s="141" t="s">
        <v>1287</v>
      </c>
    </row>
    <row r="15" spans="1:38">
      <c r="A15" s="187">
        <f t="shared" si="0"/>
        <v>6</v>
      </c>
      <c r="B15" s="187" t="s">
        <v>233</v>
      </c>
      <c r="C15" s="187" t="s">
        <v>966</v>
      </c>
      <c r="D15" s="186" t="b">
        <v>1</v>
      </c>
      <c r="E15" s="187">
        <v>0</v>
      </c>
      <c r="F15" s="187">
        <v>20</v>
      </c>
      <c r="G15" s="187">
        <v>0</v>
      </c>
      <c r="H15" s="187">
        <v>0</v>
      </c>
      <c r="I15" s="188"/>
      <c r="J15" s="189" t="s">
        <v>131</v>
      </c>
      <c r="K15" s="137"/>
      <c r="L15" s="137"/>
      <c r="M15" s="539"/>
      <c r="N15" s="539"/>
      <c r="O15" s="539"/>
      <c r="P15" s="135"/>
      <c r="Q15" s="138"/>
      <c r="R15" s="138"/>
      <c r="S15" s="138"/>
      <c r="T15" s="138"/>
      <c r="U15" s="138"/>
      <c r="V15" s="138"/>
      <c r="W15" s="138"/>
      <c r="X15" s="138"/>
      <c r="Y15" s="138"/>
      <c r="Z15" s="138"/>
      <c r="AA15" s="138"/>
      <c r="AB15" s="135"/>
      <c r="AC15" s="138"/>
      <c r="AD15" s="138"/>
      <c r="AE15" s="138"/>
      <c r="AF15" s="138"/>
      <c r="AG15" s="138"/>
      <c r="AH15" s="140"/>
      <c r="AJ15" s="125" t="s">
        <v>962</v>
      </c>
      <c r="AK15" s="125" t="s">
        <v>966</v>
      </c>
    </row>
    <row r="16" spans="1:38">
      <c r="A16" s="187">
        <f t="shared" si="0"/>
        <v>7</v>
      </c>
      <c r="B16" s="289" t="s">
        <v>1282</v>
      </c>
      <c r="C16" s="289" t="s">
        <v>1281</v>
      </c>
      <c r="D16" s="186" t="b">
        <v>1</v>
      </c>
      <c r="E16" s="187">
        <v>0</v>
      </c>
      <c r="F16" s="187">
        <v>10</v>
      </c>
      <c r="G16" s="187">
        <v>0</v>
      </c>
      <c r="H16" s="187">
        <v>0</v>
      </c>
      <c r="I16" s="188"/>
      <c r="J16" s="189" t="s">
        <v>1017</v>
      </c>
      <c r="K16" s="137"/>
      <c r="L16" s="137"/>
      <c r="M16" s="539"/>
      <c r="N16" s="539"/>
      <c r="O16" s="539"/>
      <c r="P16" s="135"/>
      <c r="Q16" s="138"/>
      <c r="R16" s="138"/>
      <c r="S16" s="138"/>
      <c r="T16" s="138"/>
      <c r="U16" s="138"/>
      <c r="V16" s="138"/>
      <c r="W16" s="138"/>
      <c r="X16" s="138"/>
      <c r="Y16" s="138"/>
      <c r="Z16" s="138"/>
      <c r="AA16" s="138"/>
      <c r="AB16" s="135"/>
      <c r="AC16" s="138"/>
      <c r="AD16" s="138"/>
      <c r="AE16" s="138"/>
      <c r="AF16" s="138"/>
      <c r="AG16" s="138"/>
      <c r="AH16" s="140"/>
      <c r="AJ16" s="125" t="s">
        <v>962</v>
      </c>
      <c r="AK16" s="142" t="s">
        <v>1280</v>
      </c>
    </row>
    <row r="17" spans="1:38">
      <c r="A17" s="187">
        <f t="shared" si="0"/>
        <v>8</v>
      </c>
      <c r="B17" s="289" t="s">
        <v>1284</v>
      </c>
      <c r="C17" s="289" t="s">
        <v>1285</v>
      </c>
      <c r="D17" s="186" t="b">
        <v>1</v>
      </c>
      <c r="E17" s="187">
        <v>0</v>
      </c>
      <c r="F17" s="187">
        <v>120</v>
      </c>
      <c r="G17" s="187">
        <v>0</v>
      </c>
      <c r="H17" s="187">
        <v>0</v>
      </c>
      <c r="I17" s="188"/>
      <c r="J17" s="189" t="s">
        <v>131</v>
      </c>
      <c r="K17" s="137"/>
      <c r="L17" s="137"/>
      <c r="M17" s="539"/>
      <c r="N17" s="539"/>
      <c r="O17" s="539"/>
      <c r="P17" s="135"/>
      <c r="Q17" s="138"/>
      <c r="R17" s="138"/>
      <c r="S17" s="138"/>
      <c r="T17" s="138"/>
      <c r="U17" s="138"/>
      <c r="V17" s="138"/>
      <c r="W17" s="138"/>
      <c r="X17" s="138"/>
      <c r="Y17" s="138"/>
      <c r="Z17" s="138"/>
      <c r="AA17" s="138"/>
      <c r="AB17" s="135"/>
      <c r="AC17" s="138"/>
      <c r="AD17" s="138"/>
      <c r="AE17" s="138"/>
      <c r="AF17" s="138"/>
      <c r="AG17" s="138"/>
      <c r="AH17" s="140"/>
      <c r="AJ17" s="142" t="s">
        <v>1292</v>
      </c>
      <c r="AK17" s="125" t="s">
        <v>968</v>
      </c>
      <c r="AL17" s="125" t="s">
        <v>969</v>
      </c>
    </row>
    <row r="18" spans="1:38">
      <c r="A18" s="187">
        <f t="shared" si="0"/>
        <v>9</v>
      </c>
      <c r="B18" s="187" t="s">
        <v>234</v>
      </c>
      <c r="C18" s="187" t="s">
        <v>970</v>
      </c>
      <c r="D18" s="186" t="b">
        <v>1</v>
      </c>
      <c r="E18" s="187">
        <v>0</v>
      </c>
      <c r="F18" s="187">
        <v>9</v>
      </c>
      <c r="G18" s="187">
        <v>2</v>
      </c>
      <c r="H18" s="187">
        <v>0</v>
      </c>
      <c r="I18" s="188"/>
      <c r="J18" s="189" t="s">
        <v>129</v>
      </c>
      <c r="K18" s="137"/>
      <c r="L18" s="137"/>
      <c r="M18" s="539"/>
      <c r="N18" s="539"/>
      <c r="O18" s="539"/>
      <c r="P18" s="135"/>
      <c r="Q18" s="138"/>
      <c r="R18" s="138"/>
      <c r="S18" s="138"/>
      <c r="T18" s="138"/>
      <c r="U18" s="138"/>
      <c r="V18" s="138"/>
      <c r="W18" s="138"/>
      <c r="X18" s="138"/>
      <c r="Y18" s="138"/>
      <c r="Z18" s="138"/>
      <c r="AA18" s="138"/>
      <c r="AB18" s="135"/>
      <c r="AC18" s="138"/>
      <c r="AD18" s="138"/>
      <c r="AE18" s="138"/>
      <c r="AF18" s="138"/>
      <c r="AG18" s="138"/>
      <c r="AH18" s="140"/>
      <c r="AJ18" s="125" t="s">
        <v>948</v>
      </c>
      <c r="AK18" s="125" t="s">
        <v>970</v>
      </c>
    </row>
    <row r="19" spans="1:38">
      <c r="A19" s="187">
        <f t="shared" si="0"/>
        <v>10</v>
      </c>
      <c r="B19" s="187" t="s">
        <v>235</v>
      </c>
      <c r="C19" s="187" t="s">
        <v>971</v>
      </c>
      <c r="D19" s="186" t="b">
        <v>1</v>
      </c>
      <c r="E19" s="187">
        <v>0</v>
      </c>
      <c r="F19" s="187">
        <v>15</v>
      </c>
      <c r="G19" s="187">
        <v>0</v>
      </c>
      <c r="H19" s="187">
        <v>0</v>
      </c>
      <c r="I19" s="188"/>
      <c r="J19" s="189" t="s">
        <v>129</v>
      </c>
      <c r="K19" s="137"/>
      <c r="L19" s="137"/>
      <c r="M19" s="539"/>
      <c r="N19" s="539"/>
      <c r="O19" s="539"/>
      <c r="P19" s="135"/>
      <c r="Q19" s="138"/>
      <c r="R19" s="138"/>
      <c r="S19" s="138"/>
      <c r="T19" s="138"/>
      <c r="U19" s="138"/>
      <c r="V19" s="138"/>
      <c r="W19" s="138"/>
      <c r="X19" s="138"/>
      <c r="Y19" s="138"/>
      <c r="Z19" s="138"/>
      <c r="AA19" s="138"/>
      <c r="AB19" s="135"/>
      <c r="AC19" s="138"/>
      <c r="AD19" s="138"/>
      <c r="AE19" s="138"/>
      <c r="AF19" s="138"/>
      <c r="AG19" s="138"/>
      <c r="AH19" s="140"/>
      <c r="AJ19" s="125" t="s">
        <v>948</v>
      </c>
      <c r="AK19" s="125" t="s">
        <v>971</v>
      </c>
    </row>
    <row r="20" spans="1:38">
      <c r="A20" s="187">
        <f t="shared" si="0"/>
        <v>11</v>
      </c>
      <c r="B20" s="187" t="s">
        <v>1016</v>
      </c>
      <c r="C20" s="187" t="s">
        <v>972</v>
      </c>
      <c r="D20" s="186" t="b">
        <v>1</v>
      </c>
      <c r="E20" s="187">
        <v>0</v>
      </c>
      <c r="F20" s="187">
        <v>9</v>
      </c>
      <c r="G20" s="187">
        <v>2</v>
      </c>
      <c r="H20" s="187">
        <v>0</v>
      </c>
      <c r="I20" s="188"/>
      <c r="J20" s="189" t="s">
        <v>129</v>
      </c>
      <c r="K20" s="137"/>
      <c r="L20" s="137"/>
      <c r="M20" s="539"/>
      <c r="N20" s="539"/>
      <c r="O20" s="539"/>
      <c r="P20" s="135"/>
      <c r="Q20" s="138"/>
      <c r="R20" s="138"/>
      <c r="S20" s="138"/>
      <c r="T20" s="138"/>
      <c r="U20" s="138"/>
      <c r="V20" s="138"/>
      <c r="W20" s="138"/>
      <c r="X20" s="138"/>
      <c r="Y20" s="138"/>
      <c r="Z20" s="138"/>
      <c r="AA20" s="138"/>
      <c r="AB20" s="135"/>
      <c r="AC20" s="138"/>
      <c r="AD20" s="138"/>
      <c r="AE20" s="138"/>
      <c r="AF20" s="138"/>
      <c r="AG20" s="138"/>
      <c r="AH20" s="140"/>
      <c r="AJ20" s="125" t="s">
        <v>948</v>
      </c>
      <c r="AK20" s="125" t="s">
        <v>972</v>
      </c>
    </row>
    <row r="21" spans="1:38">
      <c r="A21" s="137">
        <f t="shared" si="0"/>
        <v>12</v>
      </c>
      <c r="B21" s="194"/>
      <c r="C21" s="137" t="s">
        <v>723</v>
      </c>
      <c r="D21" s="136" t="b">
        <v>1</v>
      </c>
      <c r="E21" s="137">
        <v>0</v>
      </c>
      <c r="F21" s="194"/>
      <c r="G21" s="194"/>
      <c r="H21" s="194"/>
      <c r="I21" s="195"/>
      <c r="J21" s="196"/>
      <c r="K21" s="137"/>
      <c r="L21" s="137"/>
      <c r="M21" s="539"/>
      <c r="N21" s="539"/>
      <c r="O21" s="539"/>
      <c r="P21" s="135"/>
      <c r="Q21" s="138"/>
      <c r="R21" s="138"/>
      <c r="S21" s="138"/>
      <c r="T21" s="138"/>
      <c r="U21" s="138"/>
      <c r="V21" s="138"/>
      <c r="W21" s="138"/>
      <c r="X21" s="138"/>
      <c r="Y21" s="138"/>
      <c r="Z21" s="138"/>
      <c r="AA21" s="138"/>
      <c r="AB21" s="135"/>
      <c r="AC21" s="138"/>
      <c r="AD21" s="138"/>
      <c r="AE21" s="138"/>
      <c r="AF21" s="138"/>
      <c r="AG21" s="138"/>
      <c r="AH21" s="140"/>
      <c r="AJ21" s="142" t="s">
        <v>1292</v>
      </c>
      <c r="AK21" s="125" t="s">
        <v>723</v>
      </c>
      <c r="AL21" s="125" t="s">
        <v>973</v>
      </c>
    </row>
    <row r="22" spans="1:38">
      <c r="A22" s="137">
        <f t="shared" si="0"/>
        <v>13</v>
      </c>
      <c r="B22" s="194"/>
      <c r="C22" s="137" t="s">
        <v>722</v>
      </c>
      <c r="D22" s="136" t="b">
        <v>1</v>
      </c>
      <c r="E22" s="137">
        <v>0</v>
      </c>
      <c r="F22" s="194"/>
      <c r="G22" s="194"/>
      <c r="H22" s="194"/>
      <c r="I22" s="195"/>
      <c r="J22" s="196"/>
      <c r="K22" s="137"/>
      <c r="L22" s="137"/>
      <c r="M22" s="539"/>
      <c r="N22" s="539"/>
      <c r="O22" s="539"/>
      <c r="P22" s="135"/>
      <c r="Q22" s="138"/>
      <c r="R22" s="138"/>
      <c r="S22" s="138"/>
      <c r="T22" s="138"/>
      <c r="U22" s="138"/>
      <c r="V22" s="138"/>
      <c r="W22" s="138"/>
      <c r="X22" s="138"/>
      <c r="Y22" s="138"/>
      <c r="Z22" s="138"/>
      <c r="AA22" s="138"/>
      <c r="AB22" s="135"/>
      <c r="AC22" s="138"/>
      <c r="AD22" s="138"/>
      <c r="AE22" s="138"/>
      <c r="AF22" s="138"/>
      <c r="AG22" s="138"/>
      <c r="AH22" s="140"/>
      <c r="AJ22" s="142" t="s">
        <v>1292</v>
      </c>
      <c r="AK22" s="125" t="s">
        <v>722</v>
      </c>
      <c r="AL22" s="125" t="s">
        <v>974</v>
      </c>
    </row>
    <row r="23" spans="1:38">
      <c r="A23" s="137" t="str">
        <f t="shared" si="0"/>
        <v/>
      </c>
      <c r="B23" s="137"/>
      <c r="C23" s="137"/>
      <c r="D23" s="136"/>
      <c r="E23" s="137"/>
      <c r="F23" s="137"/>
      <c r="G23" s="137"/>
      <c r="H23" s="137"/>
      <c r="I23" s="135"/>
      <c r="J23" s="140"/>
      <c r="K23" s="137"/>
      <c r="L23" s="137"/>
      <c r="M23" s="539"/>
      <c r="N23" s="539"/>
      <c r="O23" s="539"/>
      <c r="P23" s="135"/>
      <c r="Q23" s="138"/>
      <c r="R23" s="138"/>
      <c r="S23" s="138"/>
      <c r="T23" s="138"/>
      <c r="U23" s="138"/>
      <c r="V23" s="138"/>
      <c r="W23" s="138"/>
      <c r="X23" s="138"/>
      <c r="Y23" s="138"/>
      <c r="Z23" s="138"/>
      <c r="AA23" s="138"/>
      <c r="AB23" s="135"/>
      <c r="AC23" s="138"/>
      <c r="AD23" s="138"/>
      <c r="AE23" s="138"/>
      <c r="AF23" s="138"/>
      <c r="AG23" s="138"/>
      <c r="AH23" s="140"/>
    </row>
    <row r="24" spans="1:38">
      <c r="A24" s="137" t="str">
        <f t="shared" si="0"/>
        <v/>
      </c>
      <c r="B24" s="137"/>
      <c r="C24" s="137"/>
      <c r="D24" s="136"/>
      <c r="E24" s="137"/>
      <c r="F24" s="137"/>
      <c r="G24" s="137"/>
      <c r="H24" s="137"/>
      <c r="I24" s="135"/>
      <c r="J24" s="140"/>
      <c r="K24" s="137"/>
      <c r="L24" s="137"/>
      <c r="M24" s="539"/>
      <c r="N24" s="539"/>
      <c r="O24" s="539"/>
      <c r="P24" s="135"/>
      <c r="Q24" s="138"/>
      <c r="R24" s="138"/>
      <c r="S24" s="138"/>
      <c r="T24" s="138"/>
      <c r="U24" s="138"/>
      <c r="V24" s="138"/>
      <c r="W24" s="138"/>
      <c r="X24" s="138"/>
      <c r="Y24" s="138"/>
      <c r="Z24" s="138"/>
      <c r="AA24" s="138"/>
      <c r="AB24" s="135"/>
      <c r="AC24" s="138"/>
      <c r="AD24" s="138"/>
      <c r="AE24" s="138"/>
      <c r="AF24" s="138"/>
      <c r="AG24" s="138"/>
      <c r="AH24" s="140"/>
    </row>
    <row r="25" spans="1:38">
      <c r="A25" s="137" t="str">
        <f t="shared" si="0"/>
        <v/>
      </c>
      <c r="B25" s="137"/>
      <c r="C25" s="137"/>
      <c r="D25" s="136"/>
      <c r="E25" s="137"/>
      <c r="F25" s="137"/>
      <c r="G25" s="137"/>
      <c r="H25" s="137"/>
      <c r="I25" s="135"/>
      <c r="J25" s="140"/>
      <c r="K25" s="137"/>
      <c r="L25" s="137"/>
      <c r="M25" s="539"/>
      <c r="N25" s="539"/>
      <c r="O25" s="539"/>
      <c r="P25" s="135"/>
      <c r="Q25" s="138"/>
      <c r="R25" s="138"/>
      <c r="S25" s="138"/>
      <c r="T25" s="138"/>
      <c r="U25" s="138"/>
      <c r="V25" s="138"/>
      <c r="W25" s="138"/>
      <c r="X25" s="138"/>
      <c r="Y25" s="138"/>
      <c r="Z25" s="138"/>
      <c r="AA25" s="138"/>
      <c r="AB25" s="135"/>
      <c r="AC25" s="138"/>
      <c r="AD25" s="138"/>
      <c r="AE25" s="138"/>
      <c r="AF25" s="138"/>
      <c r="AG25" s="138"/>
      <c r="AH25" s="140"/>
    </row>
    <row r="26" spans="1:38">
      <c r="A26" s="144" t="str">
        <f t="shared" si="0"/>
        <v/>
      </c>
      <c r="B26" s="145"/>
      <c r="C26" s="145"/>
      <c r="D26" s="146"/>
      <c r="E26" s="144"/>
      <c r="F26" s="144"/>
      <c r="G26" s="144"/>
      <c r="H26" s="144"/>
      <c r="I26" s="147"/>
      <c r="J26" s="148"/>
      <c r="K26" s="144"/>
      <c r="L26" s="144"/>
      <c r="M26" s="545"/>
      <c r="N26" s="545"/>
      <c r="O26" s="545"/>
      <c r="P26" s="147"/>
      <c r="Q26" s="149"/>
      <c r="R26" s="149"/>
      <c r="S26" s="149"/>
      <c r="T26" s="149"/>
      <c r="U26" s="149"/>
      <c r="V26" s="149"/>
      <c r="W26" s="149"/>
      <c r="X26" s="149"/>
      <c r="Y26" s="149"/>
      <c r="Z26" s="149"/>
      <c r="AA26" s="149"/>
      <c r="AB26" s="147"/>
      <c r="AC26" s="149"/>
      <c r="AD26" s="149"/>
      <c r="AE26" s="149"/>
      <c r="AF26" s="149"/>
      <c r="AG26" s="149"/>
      <c r="AH26" s="148"/>
    </row>
    <row r="27" spans="1:38">
      <c r="A27" s="515" t="s">
        <v>37</v>
      </c>
      <c r="B27" s="516"/>
      <c r="C27" s="516"/>
      <c r="D27" s="516"/>
      <c r="E27" s="516"/>
      <c r="F27" s="516"/>
      <c r="G27" s="516"/>
      <c r="H27" s="516"/>
      <c r="I27" s="516"/>
      <c r="J27" s="516"/>
      <c r="K27" s="516"/>
      <c r="L27" s="516"/>
      <c r="M27" s="516"/>
      <c r="N27" s="516"/>
      <c r="O27" s="516"/>
      <c r="P27" s="516"/>
      <c r="Q27" s="516"/>
      <c r="R27" s="516"/>
      <c r="S27" s="516"/>
      <c r="T27" s="516"/>
      <c r="U27" s="516"/>
      <c r="V27" s="516"/>
      <c r="W27" s="516"/>
      <c r="X27" s="516"/>
      <c r="Y27" s="516"/>
      <c r="Z27" s="516"/>
      <c r="AA27" s="516"/>
      <c r="AB27" s="516"/>
      <c r="AC27" s="516"/>
      <c r="AD27" s="516"/>
      <c r="AE27" s="516"/>
      <c r="AF27" s="516"/>
      <c r="AG27" s="516"/>
      <c r="AH27" s="517"/>
    </row>
    <row r="28" spans="1:38">
      <c r="A28" s="150"/>
      <c r="B28" s="151"/>
      <c r="C28" s="151"/>
      <c r="D28" s="152"/>
      <c r="E28" s="151"/>
      <c r="F28" s="151"/>
      <c r="G28" s="151"/>
      <c r="H28" s="151"/>
      <c r="I28" s="151"/>
      <c r="J28" s="151"/>
      <c r="K28" s="151"/>
      <c r="L28" s="151"/>
      <c r="M28" s="518"/>
      <c r="N28" s="518"/>
      <c r="O28" s="518"/>
      <c r="P28" s="151"/>
      <c r="Q28" s="151"/>
      <c r="R28" s="151"/>
      <c r="S28" s="151"/>
      <c r="T28" s="151"/>
      <c r="U28" s="151"/>
      <c r="V28" s="151"/>
      <c r="W28" s="151"/>
      <c r="X28" s="151"/>
      <c r="Y28" s="151"/>
      <c r="Z28" s="151"/>
      <c r="AA28" s="151"/>
      <c r="AB28" s="151"/>
      <c r="AC28" s="151"/>
      <c r="AD28" s="151"/>
      <c r="AE28" s="151"/>
      <c r="AF28" s="151"/>
      <c r="AG28" s="151"/>
      <c r="AH28" s="153"/>
    </row>
    <row r="29" spans="1:38">
      <c r="A29" s="154"/>
      <c r="B29" s="125" t="s">
        <v>38</v>
      </c>
      <c r="M29" s="544"/>
      <c r="N29" s="544"/>
      <c r="O29" s="544"/>
      <c r="AH29" s="156"/>
    </row>
    <row r="30" spans="1:38" s="293" customFormat="1">
      <c r="A30" s="154"/>
      <c r="B30" s="171" t="s">
        <v>962</v>
      </c>
      <c r="AH30" s="156"/>
    </row>
    <row r="31" spans="1:38" s="293" customFormat="1">
      <c r="A31" s="154"/>
      <c r="B31" s="171" t="s">
        <v>965</v>
      </c>
      <c r="AH31" s="156"/>
    </row>
    <row r="32" spans="1:38" s="293" customFormat="1">
      <c r="A32" s="154"/>
      <c r="B32" s="171" t="s">
        <v>975</v>
      </c>
      <c r="AH32" s="156"/>
    </row>
    <row r="33" spans="1:34">
      <c r="A33" s="154"/>
      <c r="D33" s="129"/>
      <c r="M33" s="544"/>
      <c r="N33" s="544"/>
      <c r="O33" s="544"/>
      <c r="AH33" s="156"/>
    </row>
    <row r="34" spans="1:34">
      <c r="A34" s="154"/>
      <c r="M34" s="544"/>
      <c r="N34" s="544"/>
      <c r="O34" s="544"/>
      <c r="AH34" s="156"/>
    </row>
    <row r="35" spans="1:34">
      <c r="A35" s="154"/>
      <c r="B35" s="125" t="s">
        <v>39</v>
      </c>
      <c r="M35" s="544"/>
      <c r="N35" s="544"/>
      <c r="O35" s="544"/>
      <c r="AH35" s="156"/>
    </row>
    <row r="36" spans="1:34" s="293" customFormat="1">
      <c r="A36" s="154"/>
      <c r="B36" s="171" t="s">
        <v>1326</v>
      </c>
      <c r="AH36" s="156"/>
    </row>
    <row r="37" spans="1:34">
      <c r="A37" s="154"/>
      <c r="AH37" s="156"/>
    </row>
    <row r="38" spans="1:34">
      <c r="A38" s="154"/>
      <c r="AH38" s="156"/>
    </row>
    <row r="39" spans="1:34">
      <c r="A39" s="154"/>
      <c r="B39" s="125" t="s">
        <v>41</v>
      </c>
      <c r="M39" s="544"/>
      <c r="N39" s="544"/>
      <c r="O39" s="544"/>
      <c r="AH39" s="156"/>
    </row>
    <row r="40" spans="1:34" s="293" customFormat="1">
      <c r="A40" s="154"/>
      <c r="B40" s="293" t="s">
        <v>1354</v>
      </c>
      <c r="C40" s="293" t="s">
        <v>1355</v>
      </c>
      <c r="AH40" s="156"/>
    </row>
    <row r="41" spans="1:34" s="293" customFormat="1">
      <c r="A41" s="154"/>
      <c r="C41" s="293" t="s">
        <v>1356</v>
      </c>
      <c r="AH41" s="156"/>
    </row>
    <row r="42" spans="1:34" s="293" customFormat="1">
      <c r="A42" s="154"/>
      <c r="C42" s="293" t="s">
        <v>1336</v>
      </c>
      <c r="AH42" s="156"/>
    </row>
    <row r="43" spans="1:34" s="293" customFormat="1">
      <c r="A43" s="154"/>
      <c r="C43" s="293" t="s">
        <v>1357</v>
      </c>
      <c r="AH43" s="156"/>
    </row>
    <row r="44" spans="1:34" s="293" customFormat="1">
      <c r="A44" s="154"/>
      <c r="AH44" s="156"/>
    </row>
    <row r="45" spans="1:34">
      <c r="A45" s="154"/>
      <c r="B45" s="292" t="s">
        <v>1358</v>
      </c>
      <c r="C45" s="125" t="s">
        <v>979</v>
      </c>
      <c r="AH45" s="156"/>
    </row>
    <row r="46" spans="1:34">
      <c r="A46" s="154"/>
      <c r="B46" s="174"/>
      <c r="C46" s="125" t="s">
        <v>980</v>
      </c>
      <c r="AH46" s="156"/>
    </row>
    <row r="47" spans="1:34" ht="41.25" customHeight="1">
      <c r="A47" s="154"/>
      <c r="C47" s="175" t="s">
        <v>981</v>
      </c>
      <c r="D47" s="176" t="s">
        <v>982</v>
      </c>
      <c r="E47" s="176" t="s">
        <v>983</v>
      </c>
      <c r="F47" s="704" t="s">
        <v>984</v>
      </c>
      <c r="G47" s="705"/>
      <c r="H47" s="705"/>
      <c r="I47" s="705"/>
      <c r="J47" s="705"/>
      <c r="AH47" s="156"/>
    </row>
    <row r="48" spans="1:34">
      <c r="A48" s="154"/>
      <c r="C48" s="177">
        <v>1</v>
      </c>
      <c r="D48" s="177" t="s">
        <v>985</v>
      </c>
      <c r="E48" s="177" t="s">
        <v>986</v>
      </c>
      <c r="F48" s="706">
        <v>1</v>
      </c>
      <c r="G48" s="706"/>
      <c r="H48" s="706"/>
      <c r="I48" s="706"/>
      <c r="J48" s="706"/>
      <c r="AH48" s="156"/>
    </row>
    <row r="49" spans="1:34">
      <c r="A49" s="154"/>
      <c r="C49" s="177">
        <v>3</v>
      </c>
      <c r="D49" s="177">
        <v>1</v>
      </c>
      <c r="E49" s="177" t="s">
        <v>987</v>
      </c>
      <c r="F49" s="706">
        <v>1</v>
      </c>
      <c r="G49" s="706"/>
      <c r="H49" s="706"/>
      <c r="I49" s="706"/>
      <c r="J49" s="706"/>
      <c r="AH49" s="156"/>
    </row>
    <row r="50" spans="1:34">
      <c r="A50" s="154"/>
      <c r="C50" s="177">
        <v>4</v>
      </c>
      <c r="D50" s="177">
        <v>1</v>
      </c>
      <c r="E50" s="177" t="s">
        <v>988</v>
      </c>
      <c r="F50" s="706">
        <v>1</v>
      </c>
      <c r="G50" s="706"/>
      <c r="H50" s="706"/>
      <c r="I50" s="706"/>
      <c r="J50" s="706"/>
      <c r="AH50" s="156"/>
    </row>
    <row r="51" spans="1:34">
      <c r="A51" s="154"/>
      <c r="C51" s="177">
        <v>2</v>
      </c>
      <c r="D51" s="177" t="s">
        <v>985</v>
      </c>
      <c r="E51" s="177" t="s">
        <v>989</v>
      </c>
      <c r="F51" s="706">
        <v>2</v>
      </c>
      <c r="G51" s="706"/>
      <c r="H51" s="706"/>
      <c r="I51" s="706"/>
      <c r="J51" s="706"/>
      <c r="AH51" s="156"/>
    </row>
    <row r="52" spans="1:34">
      <c r="A52" s="154"/>
      <c r="C52" s="177">
        <v>5</v>
      </c>
      <c r="D52" s="177">
        <v>2</v>
      </c>
      <c r="E52" s="177" t="s">
        <v>990</v>
      </c>
      <c r="F52" s="706">
        <v>2</v>
      </c>
      <c r="G52" s="706"/>
      <c r="H52" s="706"/>
      <c r="I52" s="706"/>
      <c r="J52" s="706"/>
      <c r="AH52" s="156"/>
    </row>
    <row r="53" spans="1:34">
      <c r="A53" s="154"/>
      <c r="AH53" s="156"/>
    </row>
    <row r="54" spans="1:34">
      <c r="A54" s="154"/>
      <c r="C54" s="125" t="s">
        <v>993</v>
      </c>
      <c r="AH54" s="156"/>
    </row>
    <row r="55" spans="1:34">
      <c r="A55" s="154"/>
      <c r="AH55" s="156"/>
    </row>
    <row r="56" spans="1:34">
      <c r="A56" s="154"/>
      <c r="C56" s="125" t="s">
        <v>1008</v>
      </c>
      <c r="AH56" s="156"/>
    </row>
    <row r="57" spans="1:34">
      <c r="A57" s="154"/>
      <c r="C57" s="125" t="s">
        <v>994</v>
      </c>
      <c r="AH57" s="156"/>
    </row>
    <row r="58" spans="1:34">
      <c r="A58" s="154"/>
      <c r="C58" s="125" t="s">
        <v>995</v>
      </c>
      <c r="AH58" s="156"/>
    </row>
    <row r="59" spans="1:34">
      <c r="A59" s="154"/>
      <c r="C59" s="125" t="s">
        <v>996</v>
      </c>
      <c r="AH59" s="156"/>
    </row>
    <row r="60" spans="1:34">
      <c r="A60" s="154"/>
      <c r="C60" s="125" t="s">
        <v>997</v>
      </c>
      <c r="AH60" s="156"/>
    </row>
    <row r="61" spans="1:34" s="178" customFormat="1">
      <c r="A61" s="154"/>
      <c r="AH61" s="156"/>
    </row>
    <row r="62" spans="1:34">
      <c r="A62" s="154"/>
      <c r="B62" s="171"/>
      <c r="AH62" s="156"/>
    </row>
    <row r="63" spans="1:34">
      <c r="A63" s="154"/>
      <c r="AH63" s="156"/>
    </row>
    <row r="64" spans="1:34">
      <c r="A64" s="515" t="s">
        <v>42</v>
      </c>
      <c r="B64" s="516"/>
      <c r="C64" s="516"/>
      <c r="D64" s="516"/>
      <c r="E64" s="516"/>
      <c r="F64" s="516"/>
      <c r="G64" s="516"/>
      <c r="H64" s="516"/>
      <c r="I64" s="516"/>
      <c r="J64" s="516"/>
      <c r="K64" s="516"/>
      <c r="L64" s="516"/>
      <c r="M64" s="516"/>
      <c r="N64" s="516"/>
      <c r="O64" s="516"/>
      <c r="P64" s="516"/>
      <c r="Q64" s="516"/>
      <c r="R64" s="516"/>
      <c r="S64" s="516"/>
      <c r="T64" s="516"/>
      <c r="U64" s="516"/>
      <c r="V64" s="516"/>
      <c r="W64" s="516"/>
      <c r="X64" s="516"/>
      <c r="Y64" s="516"/>
      <c r="Z64" s="516"/>
      <c r="AA64" s="516"/>
      <c r="AB64" s="516"/>
      <c r="AC64" s="516"/>
      <c r="AD64" s="516"/>
      <c r="AE64" s="516"/>
      <c r="AF64" s="516"/>
      <c r="AG64" s="516"/>
      <c r="AH64" s="517"/>
    </row>
    <row r="65" spans="1:34">
      <c r="A65" s="154"/>
      <c r="M65" s="544"/>
      <c r="N65" s="544"/>
      <c r="O65" s="544"/>
      <c r="AH65" s="156"/>
    </row>
    <row r="66" spans="1:34">
      <c r="A66" s="154"/>
      <c r="B66" s="125" t="s">
        <v>957</v>
      </c>
      <c r="M66" s="544"/>
      <c r="N66" s="544"/>
      <c r="O66" s="544"/>
      <c r="AH66" s="156"/>
    </row>
    <row r="67" spans="1:34">
      <c r="A67" s="154"/>
      <c r="M67" s="544"/>
      <c r="N67" s="544"/>
      <c r="O67" s="544"/>
      <c r="AH67" s="156"/>
    </row>
    <row r="68" spans="1:34">
      <c r="A68" s="154"/>
      <c r="AH68" s="156"/>
    </row>
    <row r="69" spans="1:34">
      <c r="A69" s="154"/>
      <c r="B69" s="125" t="s">
        <v>750</v>
      </c>
      <c r="AH69" s="156"/>
    </row>
    <row r="70" spans="1:34">
      <c r="A70" s="154"/>
      <c r="AH70" s="156"/>
    </row>
    <row r="71" spans="1:34">
      <c r="A71" s="154"/>
      <c r="B71" s="125" t="s">
        <v>958</v>
      </c>
      <c r="AH71" s="156"/>
    </row>
    <row r="72" spans="1:34">
      <c r="A72" s="154"/>
      <c r="AH72" s="156"/>
    </row>
    <row r="73" spans="1:34">
      <c r="A73" s="154"/>
      <c r="B73" s="125" t="s">
        <v>579</v>
      </c>
      <c r="AH73" s="156"/>
    </row>
    <row r="74" spans="1:34">
      <c r="A74" s="154"/>
      <c r="AH74" s="156"/>
    </row>
    <row r="75" spans="1:34">
      <c r="A75" s="154"/>
      <c r="B75" s="125" t="s">
        <v>1359</v>
      </c>
      <c r="AH75" s="156"/>
    </row>
    <row r="76" spans="1:34">
      <c r="A76" s="154"/>
      <c r="AH76" s="156"/>
    </row>
    <row r="77" spans="1:34">
      <c r="A77" s="154"/>
      <c r="B77" s="125" t="s">
        <v>960</v>
      </c>
      <c r="AH77" s="156"/>
    </row>
    <row r="78" spans="1:34" s="288" customFormat="1">
      <c r="A78" s="154"/>
      <c r="AH78" s="156"/>
    </row>
    <row r="79" spans="1:34">
      <c r="A79" s="154"/>
      <c r="B79" s="288" t="s">
        <v>1323</v>
      </c>
      <c r="AH79" s="156"/>
    </row>
    <row r="80" spans="1:34">
      <c r="A80" s="154"/>
      <c r="B80" s="125" t="s">
        <v>1325</v>
      </c>
      <c r="AH80" s="156"/>
    </row>
    <row r="81" spans="1:34">
      <c r="A81" s="154"/>
      <c r="AH81" s="156"/>
    </row>
    <row r="82" spans="1:34">
      <c r="A82" s="154"/>
      <c r="B82" s="125" t="s">
        <v>991</v>
      </c>
      <c r="AH82" s="156"/>
    </row>
    <row r="83" spans="1:34">
      <c r="A83" s="154"/>
      <c r="AH83" s="156"/>
    </row>
    <row r="84" spans="1:34">
      <c r="A84" s="154"/>
      <c r="B84" s="125" t="s">
        <v>992</v>
      </c>
      <c r="AH84" s="156"/>
    </row>
    <row r="85" spans="1:34">
      <c r="A85" s="154"/>
      <c r="AH85" s="156"/>
    </row>
    <row r="86" spans="1:34">
      <c r="A86" s="154"/>
      <c r="AH86" s="156"/>
    </row>
    <row r="87" spans="1:34">
      <c r="A87" s="154"/>
      <c r="AH87" s="156"/>
    </row>
    <row r="88" spans="1:34">
      <c r="A88" s="515" t="s">
        <v>43</v>
      </c>
      <c r="B88" s="516"/>
      <c r="C88" s="516"/>
      <c r="D88" s="516"/>
      <c r="E88" s="516"/>
      <c r="F88" s="516"/>
      <c r="G88" s="516"/>
      <c r="H88" s="516"/>
      <c r="I88" s="516"/>
      <c r="J88" s="516"/>
      <c r="K88" s="516"/>
      <c r="L88" s="516"/>
      <c r="M88" s="516"/>
      <c r="N88" s="516"/>
      <c r="O88" s="516"/>
      <c r="P88" s="516"/>
      <c r="Q88" s="516"/>
      <c r="R88" s="516"/>
      <c r="S88" s="516"/>
      <c r="T88" s="516"/>
      <c r="U88" s="516"/>
      <c r="V88" s="516"/>
      <c r="W88" s="516"/>
      <c r="X88" s="516"/>
      <c r="Y88" s="516"/>
      <c r="Z88" s="516"/>
      <c r="AA88" s="516"/>
      <c r="AB88" s="516"/>
      <c r="AC88" s="516"/>
      <c r="AD88" s="516"/>
      <c r="AE88" s="516"/>
      <c r="AF88" s="516"/>
      <c r="AG88" s="516"/>
      <c r="AH88" s="517"/>
    </row>
    <row r="89" spans="1:34">
      <c r="A89" s="154"/>
      <c r="M89" s="544"/>
      <c r="N89" s="544"/>
      <c r="O89" s="544"/>
      <c r="AH89" s="156"/>
    </row>
    <row r="90" spans="1:34">
      <c r="A90" s="154"/>
      <c r="B90" s="125" t="s">
        <v>44</v>
      </c>
      <c r="AH90" s="156"/>
    </row>
    <row r="91" spans="1:34" s="293" customFormat="1">
      <c r="A91" s="154"/>
      <c r="AH91" s="156"/>
    </row>
    <row r="92" spans="1:34" s="293" customFormat="1">
      <c r="A92" s="515" t="s">
        <v>678</v>
      </c>
      <c r="B92" s="516"/>
      <c r="C92" s="516"/>
      <c r="D92" s="516"/>
      <c r="E92" s="516"/>
      <c r="F92" s="516"/>
      <c r="G92" s="516"/>
      <c r="H92" s="516"/>
      <c r="I92" s="516"/>
      <c r="J92" s="516"/>
      <c r="K92" s="516"/>
      <c r="L92" s="516"/>
      <c r="M92" s="516"/>
      <c r="N92" s="516"/>
      <c r="O92" s="516"/>
      <c r="P92" s="516"/>
      <c r="Q92" s="516"/>
      <c r="R92" s="516"/>
      <c r="S92" s="516"/>
      <c r="T92" s="516"/>
      <c r="U92" s="516"/>
      <c r="V92" s="516"/>
      <c r="W92" s="516"/>
      <c r="X92" s="516"/>
      <c r="Y92" s="516"/>
      <c r="Z92" s="516"/>
      <c r="AA92" s="516"/>
      <c r="AB92" s="516"/>
      <c r="AC92" s="516"/>
      <c r="AD92" s="516"/>
      <c r="AE92" s="516"/>
      <c r="AF92" s="516"/>
      <c r="AG92" s="516"/>
      <c r="AH92" s="517"/>
    </row>
    <row r="93" spans="1:34" s="293" customFormat="1">
      <c r="A93" s="154"/>
      <c r="D93" s="291"/>
      <c r="M93" s="544"/>
      <c r="N93" s="544"/>
      <c r="O93" s="544"/>
      <c r="AH93" s="156"/>
    </row>
    <row r="94" spans="1:34" s="293" customFormat="1">
      <c r="A94" s="154"/>
      <c r="B94" s="293" t="s">
        <v>1330</v>
      </c>
      <c r="AH94" s="156"/>
    </row>
    <row r="95" spans="1:34">
      <c r="A95" s="154"/>
      <c r="B95" s="157" t="s">
        <v>577</v>
      </c>
      <c r="C95" s="158" t="s">
        <v>844</v>
      </c>
      <c r="D95" s="158"/>
      <c r="E95" s="157" t="s">
        <v>845</v>
      </c>
      <c r="F95" s="158" t="s">
        <v>846</v>
      </c>
      <c r="G95" s="158"/>
      <c r="H95" s="158"/>
      <c r="I95" s="158"/>
      <c r="J95" s="158"/>
      <c r="K95" s="158"/>
      <c r="L95" s="158"/>
      <c r="M95" s="546"/>
      <c r="N95" s="546"/>
      <c r="O95" s="546"/>
      <c r="P95" s="158"/>
      <c r="Q95" s="158"/>
      <c r="R95" s="158"/>
      <c r="S95" s="158"/>
      <c r="T95" s="158"/>
      <c r="U95" s="158"/>
      <c r="V95" s="158"/>
      <c r="W95" s="158"/>
      <c r="X95" s="158"/>
      <c r="Y95" s="158"/>
      <c r="Z95" s="158"/>
      <c r="AA95" s="158"/>
      <c r="AB95" s="158"/>
      <c r="AC95" s="158"/>
      <c r="AD95" s="160"/>
      <c r="AH95" s="156"/>
    </row>
    <row r="96" spans="1:34">
      <c r="A96" s="154"/>
      <c r="B96" s="161" t="s">
        <v>962</v>
      </c>
      <c r="C96" s="162" t="s">
        <v>714</v>
      </c>
      <c r="D96" s="162"/>
      <c r="E96" s="163" t="s">
        <v>847</v>
      </c>
      <c r="F96" s="164" t="s">
        <v>847</v>
      </c>
      <c r="G96" s="164"/>
      <c r="H96" s="164"/>
      <c r="I96" s="164"/>
      <c r="J96" s="164"/>
      <c r="K96" s="164"/>
      <c r="L96" s="164"/>
      <c r="M96" s="164"/>
      <c r="N96" s="164"/>
      <c r="O96" s="164"/>
      <c r="P96" s="164"/>
      <c r="Q96" s="164"/>
      <c r="R96" s="164"/>
      <c r="S96" s="164"/>
      <c r="T96" s="164"/>
      <c r="U96" s="164"/>
      <c r="V96" s="164"/>
      <c r="W96" s="164"/>
      <c r="X96" s="164"/>
      <c r="Y96" s="164"/>
      <c r="Z96" s="164"/>
      <c r="AA96" s="164"/>
      <c r="AB96" s="164"/>
      <c r="AC96" s="164"/>
      <c r="AD96" s="165"/>
      <c r="AH96" s="156"/>
    </row>
    <row r="97" spans="1:35">
      <c r="A97" s="154"/>
      <c r="B97" s="161" t="s">
        <v>965</v>
      </c>
      <c r="C97" s="162" t="s">
        <v>714</v>
      </c>
      <c r="D97" s="162"/>
      <c r="E97" s="161" t="s">
        <v>857</v>
      </c>
      <c r="F97" s="162" t="s">
        <v>977</v>
      </c>
      <c r="G97" s="162"/>
      <c r="H97" s="162"/>
      <c r="I97" s="162"/>
      <c r="J97" s="162"/>
      <c r="K97" s="162"/>
      <c r="L97" s="162" t="s">
        <v>855</v>
      </c>
      <c r="M97" s="162"/>
      <c r="N97" s="162" t="s">
        <v>978</v>
      </c>
      <c r="O97" s="162"/>
      <c r="P97" s="162"/>
      <c r="Q97" s="162"/>
      <c r="R97" s="162"/>
      <c r="S97" s="162"/>
      <c r="T97" s="162"/>
      <c r="U97" s="162"/>
      <c r="V97" s="162"/>
      <c r="W97" s="162"/>
      <c r="X97" s="162"/>
      <c r="Y97" s="162"/>
      <c r="Z97" s="162"/>
      <c r="AA97" s="162"/>
      <c r="AB97" s="162"/>
      <c r="AC97" s="162"/>
      <c r="AD97" s="166"/>
      <c r="AH97" s="156"/>
      <c r="AI97" s="125" t="s">
        <v>1288</v>
      </c>
    </row>
    <row r="98" spans="1:35">
      <c r="A98" s="154"/>
      <c r="B98" s="161" t="s">
        <v>975</v>
      </c>
      <c r="C98" s="162" t="s">
        <v>1289</v>
      </c>
      <c r="D98" s="162"/>
      <c r="E98" s="161" t="s">
        <v>857</v>
      </c>
      <c r="F98" s="162" t="s">
        <v>976</v>
      </c>
      <c r="G98" s="162"/>
      <c r="H98" s="162"/>
      <c r="I98" s="162"/>
      <c r="J98" s="162"/>
      <c r="K98" s="162"/>
      <c r="L98" s="162" t="s">
        <v>855</v>
      </c>
      <c r="M98" s="162"/>
      <c r="N98" s="162" t="s">
        <v>1293</v>
      </c>
      <c r="O98" s="162"/>
      <c r="P98" s="162"/>
      <c r="Q98" s="162"/>
      <c r="R98" s="162"/>
      <c r="S98" s="162"/>
      <c r="T98" s="162"/>
      <c r="U98" s="162"/>
      <c r="V98" s="162"/>
      <c r="W98" s="162"/>
      <c r="X98" s="162"/>
      <c r="Y98" s="162"/>
      <c r="Z98" s="162"/>
      <c r="AA98" s="162"/>
      <c r="AB98" s="162"/>
      <c r="AC98" s="162"/>
      <c r="AD98" s="166"/>
      <c r="AH98" s="156"/>
      <c r="AI98" s="125" t="s">
        <v>1288</v>
      </c>
    </row>
    <row r="99" spans="1:35" s="200" customFormat="1">
      <c r="A99" s="154"/>
      <c r="B99" s="161" t="s">
        <v>975</v>
      </c>
      <c r="C99" s="162" t="s">
        <v>1290</v>
      </c>
      <c r="D99" s="162"/>
      <c r="E99" s="161" t="s">
        <v>857</v>
      </c>
      <c r="F99" s="162" t="s">
        <v>976</v>
      </c>
      <c r="G99" s="162"/>
      <c r="H99" s="162"/>
      <c r="I99" s="162"/>
      <c r="J99" s="162"/>
      <c r="K99" s="162"/>
      <c r="L99" s="162" t="s">
        <v>855</v>
      </c>
      <c r="M99" s="162"/>
      <c r="N99" s="162" t="s">
        <v>1291</v>
      </c>
      <c r="O99" s="162"/>
      <c r="P99" s="162"/>
      <c r="Q99" s="162"/>
      <c r="R99" s="162"/>
      <c r="S99" s="162"/>
      <c r="T99" s="162"/>
      <c r="U99" s="162"/>
      <c r="V99" s="162"/>
      <c r="W99" s="162"/>
      <c r="X99" s="162"/>
      <c r="Y99" s="162"/>
      <c r="Z99" s="162"/>
      <c r="AA99" s="162"/>
      <c r="AB99" s="162"/>
      <c r="AC99" s="162"/>
      <c r="AD99" s="166"/>
      <c r="AH99" s="156"/>
      <c r="AI99" s="200" t="s">
        <v>1288</v>
      </c>
    </row>
    <row r="100" spans="1:35">
      <c r="A100" s="172"/>
      <c r="B100" s="169"/>
      <c r="C100" s="169"/>
      <c r="D100" s="169"/>
      <c r="E100" s="169"/>
      <c r="F100" s="169"/>
      <c r="G100" s="169"/>
      <c r="H100" s="169"/>
      <c r="I100" s="169"/>
      <c r="J100" s="169"/>
      <c r="K100" s="169"/>
      <c r="L100" s="169"/>
      <c r="M100" s="548"/>
      <c r="N100" s="548"/>
      <c r="O100" s="548"/>
      <c r="P100" s="169"/>
      <c r="Q100" s="169"/>
      <c r="R100" s="169"/>
      <c r="S100" s="169"/>
      <c r="T100" s="169"/>
      <c r="U100" s="169"/>
      <c r="V100" s="169"/>
      <c r="W100" s="169"/>
      <c r="X100" s="169"/>
      <c r="Y100" s="169"/>
      <c r="Z100" s="169"/>
      <c r="AA100" s="169"/>
      <c r="AB100" s="169"/>
      <c r="AC100" s="169"/>
      <c r="AD100" s="169"/>
      <c r="AE100" s="169"/>
      <c r="AF100" s="169"/>
      <c r="AG100" s="169"/>
      <c r="AH100" s="170"/>
    </row>
  </sheetData>
  <autoFilter ref="A9:AH82"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66">
    <mergeCell ref="AC1:AH1"/>
    <mergeCell ref="A4:B4"/>
    <mergeCell ref="M4:Q4"/>
    <mergeCell ref="R4:W4"/>
    <mergeCell ref="X4:AB4"/>
    <mergeCell ref="AC4:AH4"/>
    <mergeCell ref="A1:B1"/>
    <mergeCell ref="C1:D1"/>
    <mergeCell ref="E1:L4"/>
    <mergeCell ref="M1:Q1"/>
    <mergeCell ref="R1:W1"/>
    <mergeCell ref="X1:AB1"/>
    <mergeCell ref="A6:B6"/>
    <mergeCell ref="C6:D6"/>
    <mergeCell ref="E6:F6"/>
    <mergeCell ref="G6:AH6"/>
    <mergeCell ref="A8:A9"/>
    <mergeCell ref="B8:C9"/>
    <mergeCell ref="D8:D9"/>
    <mergeCell ref="E8:E9"/>
    <mergeCell ref="F8:H8"/>
    <mergeCell ref="J8:J9"/>
    <mergeCell ref="M18:O18"/>
    <mergeCell ref="K8:O8"/>
    <mergeCell ref="P8:AA9"/>
    <mergeCell ref="AB8:AH9"/>
    <mergeCell ref="M9:O9"/>
    <mergeCell ref="M10:O10"/>
    <mergeCell ref="M11:O11"/>
    <mergeCell ref="M12:O12"/>
    <mergeCell ref="M14:O14"/>
    <mergeCell ref="M15:O15"/>
    <mergeCell ref="M16:O16"/>
    <mergeCell ref="M17:O17"/>
    <mergeCell ref="M13:O13"/>
    <mergeCell ref="M19:O19"/>
    <mergeCell ref="M20:O20"/>
    <mergeCell ref="M21:O21"/>
    <mergeCell ref="M22:O22"/>
    <mergeCell ref="M23:O23"/>
    <mergeCell ref="M24:O24"/>
    <mergeCell ref="M25:O25"/>
    <mergeCell ref="M26:O26"/>
    <mergeCell ref="A27:AH27"/>
    <mergeCell ref="M28:O28"/>
    <mergeCell ref="M29:O29"/>
    <mergeCell ref="A64:AH64"/>
    <mergeCell ref="M95:O95"/>
    <mergeCell ref="M33:O33"/>
    <mergeCell ref="M34:O34"/>
    <mergeCell ref="M35:O35"/>
    <mergeCell ref="M39:O39"/>
    <mergeCell ref="F47:J47"/>
    <mergeCell ref="F48:J48"/>
    <mergeCell ref="F49:J49"/>
    <mergeCell ref="F50:J50"/>
    <mergeCell ref="F51:J51"/>
    <mergeCell ref="F52:J52"/>
    <mergeCell ref="M100:O100"/>
    <mergeCell ref="M65:O65"/>
    <mergeCell ref="M66:O66"/>
    <mergeCell ref="M67:O67"/>
    <mergeCell ref="A88:AH88"/>
    <mergeCell ref="M89:O89"/>
    <mergeCell ref="A92:AH92"/>
    <mergeCell ref="M93:O93"/>
  </mergeCells>
  <phoneticPr fontId="15"/>
  <dataValidations count="1">
    <dataValidation imeMode="on" allowBlank="1" showInputMessage="1" showErrorMessage="1" sqref="C10:C26 C63 C39:C44 C65:C87 C89:C91 C93:C100 C28:C35" xr:uid="{148FD427-3D4B-4C08-8365-B19D02579003}"/>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E5A15-BE71-4CBA-8868-DD840629F5B0}">
  <sheetPr>
    <pageSetUpPr fitToPage="1"/>
  </sheetPr>
  <dimension ref="A1:AI65"/>
  <sheetViews>
    <sheetView showGridLines="0" view="pageBreakPreview" zoomScale="85" zoomScaleNormal="70" zoomScaleSheetLayoutView="85" workbookViewId="0">
      <pane ySplit="6" topLeftCell="A7" activePane="bottomLeft" state="frozen"/>
      <selection activeCell="P19" sqref="P19:AA32"/>
      <selection pane="bottomLeft" activeCell="P19" sqref="P19:AA32"/>
    </sheetView>
  </sheetViews>
  <sheetFormatPr defaultColWidth="9" defaultRowHeight="15.75"/>
  <cols>
    <col min="1" max="1" width="4.375" style="118" customWidth="1"/>
    <col min="2" max="2" width="29.75" style="118" bestFit="1" customWidth="1"/>
    <col min="3" max="3" width="19.375" style="118" customWidth="1"/>
    <col min="4" max="5" width="9" style="118" customWidth="1"/>
    <col min="6" max="6" width="5.875" style="118" customWidth="1"/>
    <col min="7" max="7" width="3.875" style="118" customWidth="1"/>
    <col min="8" max="8" width="9" style="118" customWidth="1"/>
    <col min="9" max="9" width="1.125" style="118" customWidth="1"/>
    <col min="10" max="10" width="9" style="118" customWidth="1"/>
    <col min="11" max="11" width="11.75" style="118" customWidth="1"/>
    <col min="12" max="12" width="9" style="118" customWidth="1"/>
    <col min="13" max="34" width="3.125" style="118" customWidth="1"/>
    <col min="35" max="16384" width="9" style="118"/>
  </cols>
  <sheetData>
    <row r="1" spans="1:34" ht="15.75" customHeight="1">
      <c r="A1" s="584"/>
      <c r="B1" s="584"/>
      <c r="C1" s="586"/>
      <c r="D1" s="586"/>
      <c r="E1" s="587"/>
      <c r="F1" s="587"/>
      <c r="G1" s="587"/>
      <c r="H1" s="587"/>
      <c r="I1" s="587"/>
      <c r="J1" s="587"/>
      <c r="K1" s="587"/>
      <c r="L1" s="587"/>
      <c r="M1" s="584"/>
      <c r="N1" s="584"/>
      <c r="O1" s="584"/>
      <c r="P1" s="584"/>
      <c r="Q1" s="584"/>
      <c r="R1" s="588"/>
      <c r="S1" s="583"/>
      <c r="T1" s="583"/>
      <c r="U1" s="583"/>
      <c r="V1" s="583"/>
      <c r="W1" s="583"/>
      <c r="X1" s="584"/>
      <c r="Y1" s="584"/>
      <c r="Z1" s="584"/>
      <c r="AA1" s="584"/>
      <c r="AB1" s="584"/>
      <c r="AC1" s="583"/>
      <c r="AD1" s="583"/>
      <c r="AE1" s="583"/>
      <c r="AF1" s="583"/>
      <c r="AG1" s="583"/>
      <c r="AH1" s="583"/>
    </row>
    <row r="2" spans="1:34" ht="15.75" customHeight="1">
      <c r="A2" s="121"/>
      <c r="B2" s="121"/>
      <c r="C2" s="122"/>
      <c r="D2" s="122"/>
      <c r="E2" s="587"/>
      <c r="F2" s="587"/>
      <c r="G2" s="587"/>
      <c r="H2" s="587"/>
      <c r="I2" s="587"/>
      <c r="J2" s="587"/>
      <c r="K2" s="587"/>
      <c r="L2" s="587"/>
      <c r="M2" s="121"/>
      <c r="N2" s="121"/>
      <c r="O2" s="121"/>
      <c r="P2" s="121"/>
      <c r="Q2" s="121"/>
      <c r="R2" s="123"/>
      <c r="S2" s="120"/>
      <c r="T2" s="120"/>
      <c r="U2" s="120"/>
      <c r="V2" s="120"/>
      <c r="W2" s="120"/>
      <c r="X2" s="121"/>
      <c r="Y2" s="121"/>
      <c r="Z2" s="121"/>
      <c r="AA2" s="121"/>
      <c r="AB2" s="121"/>
      <c r="AC2" s="120"/>
      <c r="AD2" s="120"/>
      <c r="AE2" s="120"/>
      <c r="AF2" s="120"/>
      <c r="AG2" s="120"/>
      <c r="AH2" s="120"/>
    </row>
    <row r="3" spans="1:34" ht="15.75" customHeight="1">
      <c r="A3" s="121"/>
      <c r="B3" s="121"/>
      <c r="C3" s="122"/>
      <c r="D3" s="122"/>
      <c r="E3" s="587"/>
      <c r="F3" s="587"/>
      <c r="G3" s="587"/>
      <c r="H3" s="587"/>
      <c r="I3" s="587"/>
      <c r="J3" s="587"/>
      <c r="K3" s="587"/>
      <c r="L3" s="587"/>
      <c r="M3" s="121"/>
      <c r="N3" s="121"/>
      <c r="O3" s="121"/>
      <c r="P3" s="121"/>
      <c r="Q3" s="121"/>
      <c r="R3" s="123"/>
      <c r="S3" s="120"/>
      <c r="T3" s="120"/>
      <c r="U3" s="120"/>
      <c r="V3" s="120"/>
      <c r="W3" s="120"/>
      <c r="X3" s="121"/>
      <c r="Y3" s="121"/>
      <c r="Z3" s="121"/>
      <c r="AA3" s="121"/>
      <c r="AB3" s="121"/>
      <c r="AC3" s="120"/>
      <c r="AD3" s="120"/>
      <c r="AE3" s="120"/>
      <c r="AF3" s="120"/>
      <c r="AG3" s="120"/>
      <c r="AH3" s="120"/>
    </row>
    <row r="4" spans="1:34" ht="15.75" customHeight="1">
      <c r="A4" s="584"/>
      <c r="B4" s="584"/>
      <c r="C4" s="120"/>
      <c r="E4" s="587"/>
      <c r="F4" s="587"/>
      <c r="G4" s="587"/>
      <c r="H4" s="587"/>
      <c r="I4" s="587"/>
      <c r="J4" s="587"/>
      <c r="K4" s="587"/>
      <c r="L4" s="587"/>
      <c r="M4" s="584"/>
      <c r="N4" s="584"/>
      <c r="O4" s="584"/>
      <c r="P4" s="584"/>
      <c r="Q4" s="584"/>
      <c r="R4" s="585"/>
      <c r="S4" s="583"/>
      <c r="T4" s="583"/>
      <c r="U4" s="583"/>
      <c r="V4" s="583"/>
      <c r="W4" s="583"/>
      <c r="X4" s="584"/>
      <c r="Y4" s="584"/>
      <c r="Z4" s="584"/>
      <c r="AA4" s="584"/>
      <c r="AB4" s="584"/>
      <c r="AC4" s="583"/>
      <c r="AD4" s="583"/>
      <c r="AE4" s="583"/>
      <c r="AF4" s="583"/>
      <c r="AG4" s="583"/>
      <c r="AH4" s="583"/>
    </row>
    <row r="5" spans="1:34" ht="5.25" customHeight="1"/>
    <row r="6" spans="1:34">
      <c r="A6" s="590" t="s">
        <v>20</v>
      </c>
      <c r="B6" s="591"/>
      <c r="C6" s="592" t="s">
        <v>998</v>
      </c>
      <c r="D6" s="593"/>
      <c r="E6" s="594" t="s">
        <v>21</v>
      </c>
      <c r="F6" s="594"/>
      <c r="G6" s="708" t="s">
        <v>999</v>
      </c>
      <c r="H6" s="709"/>
      <c r="I6" s="709"/>
      <c r="J6" s="709"/>
      <c r="K6" s="709"/>
      <c r="L6" s="709"/>
      <c r="M6" s="709"/>
      <c r="N6" s="709"/>
      <c r="O6" s="709"/>
      <c r="P6" s="709"/>
      <c r="Q6" s="709"/>
      <c r="R6" s="709"/>
      <c r="S6" s="709"/>
      <c r="T6" s="709"/>
      <c r="U6" s="709"/>
      <c r="V6" s="709"/>
      <c r="W6" s="709"/>
      <c r="X6" s="709"/>
      <c r="Y6" s="709"/>
      <c r="Z6" s="709"/>
      <c r="AA6" s="709"/>
      <c r="AB6" s="709"/>
      <c r="AC6" s="709"/>
      <c r="AD6" s="709"/>
      <c r="AE6" s="709"/>
      <c r="AF6" s="709"/>
      <c r="AG6" s="709"/>
      <c r="AH6" s="710"/>
    </row>
    <row r="7" spans="1:34" ht="5.25" customHeight="1"/>
    <row r="8" spans="1:34">
      <c r="A8" s="598" t="s">
        <v>22</v>
      </c>
      <c r="B8" s="598" t="s">
        <v>23</v>
      </c>
      <c r="C8" s="598"/>
      <c r="D8" s="598" t="s">
        <v>24</v>
      </c>
      <c r="E8" s="600" t="s">
        <v>25</v>
      </c>
      <c r="F8" s="598" t="s">
        <v>26</v>
      </c>
      <c r="G8" s="598"/>
      <c r="H8" s="598"/>
      <c r="I8" s="49"/>
      <c r="J8" s="602" t="s">
        <v>27</v>
      </c>
      <c r="K8" s="598" t="s">
        <v>28</v>
      </c>
      <c r="L8" s="598"/>
      <c r="M8" s="598"/>
      <c r="N8" s="598"/>
      <c r="O8" s="598"/>
      <c r="P8" s="604" t="s">
        <v>29</v>
      </c>
      <c r="Q8" s="604"/>
      <c r="R8" s="604"/>
      <c r="S8" s="604"/>
      <c r="T8" s="604"/>
      <c r="U8" s="604"/>
      <c r="V8" s="604"/>
      <c r="W8" s="604"/>
      <c r="X8" s="604"/>
      <c r="Y8" s="604"/>
      <c r="Z8" s="604"/>
      <c r="AA8" s="604"/>
      <c r="AB8" s="604" t="s">
        <v>30</v>
      </c>
      <c r="AC8" s="604"/>
      <c r="AD8" s="604"/>
      <c r="AE8" s="604"/>
      <c r="AF8" s="604"/>
      <c r="AG8" s="604"/>
      <c r="AH8" s="604"/>
    </row>
    <row r="9" spans="1:34" ht="16.5" thickBot="1">
      <c r="A9" s="599"/>
      <c r="B9" s="599"/>
      <c r="C9" s="599"/>
      <c r="D9" s="599"/>
      <c r="E9" s="601"/>
      <c r="F9" s="50" t="s">
        <v>31</v>
      </c>
      <c r="G9" s="51" t="s">
        <v>32</v>
      </c>
      <c r="H9" s="52" t="s">
        <v>33</v>
      </c>
      <c r="I9" s="53"/>
      <c r="J9" s="603"/>
      <c r="K9" s="50" t="s">
        <v>34</v>
      </c>
      <c r="L9" s="51" t="s">
        <v>35</v>
      </c>
      <c r="M9" s="606" t="s">
        <v>36</v>
      </c>
      <c r="N9" s="606"/>
      <c r="O9" s="607"/>
      <c r="P9" s="605"/>
      <c r="Q9" s="605"/>
      <c r="R9" s="605"/>
      <c r="S9" s="605"/>
      <c r="T9" s="605"/>
      <c r="U9" s="605"/>
      <c r="V9" s="605"/>
      <c r="W9" s="605"/>
      <c r="X9" s="605"/>
      <c r="Y9" s="605"/>
      <c r="Z9" s="605"/>
      <c r="AA9" s="605"/>
      <c r="AB9" s="605"/>
      <c r="AC9" s="605"/>
      <c r="AD9" s="605"/>
      <c r="AE9" s="605"/>
      <c r="AF9" s="605"/>
      <c r="AG9" s="605"/>
      <c r="AH9" s="605"/>
    </row>
    <row r="10" spans="1:34" ht="16.5" thickTop="1">
      <c r="A10" s="184">
        <f>+IF(C10&lt;&gt;"",ROW()-9,"")</f>
        <v>1</v>
      </c>
      <c r="B10" s="185" t="s">
        <v>227</v>
      </c>
      <c r="C10" s="185" t="s">
        <v>719</v>
      </c>
      <c r="D10" s="186" t="b">
        <v>0</v>
      </c>
      <c r="E10" s="187">
        <v>1</v>
      </c>
      <c r="F10" s="187">
        <v>7</v>
      </c>
      <c r="G10" s="187">
        <v>0</v>
      </c>
      <c r="H10" s="187">
        <v>0</v>
      </c>
      <c r="I10" s="188"/>
      <c r="J10" s="189" t="s">
        <v>129</v>
      </c>
      <c r="K10" s="190"/>
      <c r="L10" s="190"/>
      <c r="M10" s="707"/>
      <c r="N10" s="707"/>
      <c r="O10" s="707"/>
      <c r="P10" s="191"/>
      <c r="Q10" s="59"/>
      <c r="R10" s="59"/>
      <c r="S10" s="59"/>
      <c r="T10" s="59"/>
      <c r="U10" s="59"/>
      <c r="V10" s="59"/>
      <c r="W10" s="59"/>
      <c r="X10" s="59"/>
      <c r="Y10" s="59"/>
      <c r="Z10" s="59"/>
      <c r="AA10" s="59"/>
      <c r="AB10" s="60"/>
      <c r="AC10" s="59"/>
      <c r="AD10" s="59"/>
      <c r="AE10" s="59"/>
      <c r="AF10" s="59"/>
      <c r="AG10" s="59"/>
      <c r="AH10" s="58"/>
    </row>
    <row r="11" spans="1:34">
      <c r="A11" s="190">
        <f t="shared" ref="A11:A14" si="0">+IF(C11&lt;&gt;"",ROW()-9,"")</f>
        <v>2</v>
      </c>
      <c r="B11" s="187" t="s">
        <v>1011</v>
      </c>
      <c r="C11" s="187" t="s">
        <v>763</v>
      </c>
      <c r="D11" s="186" t="b">
        <v>0</v>
      </c>
      <c r="E11" s="187">
        <v>0</v>
      </c>
      <c r="F11" s="187">
        <v>7</v>
      </c>
      <c r="G11" s="187">
        <v>0</v>
      </c>
      <c r="H11" s="187">
        <v>0</v>
      </c>
      <c r="I11" s="188"/>
      <c r="J11" s="189" t="s">
        <v>129</v>
      </c>
      <c r="K11" s="190"/>
      <c r="L11" s="190"/>
      <c r="M11" s="707"/>
      <c r="N11" s="707"/>
      <c r="O11" s="707"/>
      <c r="P11" s="184"/>
      <c r="Q11" s="59"/>
      <c r="R11" s="59"/>
      <c r="S11" s="59"/>
      <c r="T11" s="59"/>
      <c r="U11" s="59"/>
      <c r="V11" s="59"/>
      <c r="W11" s="59"/>
      <c r="X11" s="59"/>
      <c r="Y11" s="59"/>
      <c r="Z11" s="59"/>
      <c r="AA11" s="59"/>
      <c r="AB11" s="54"/>
      <c r="AC11" s="59"/>
      <c r="AD11" s="59"/>
      <c r="AE11" s="59"/>
      <c r="AF11" s="59"/>
      <c r="AG11" s="59"/>
      <c r="AH11" s="58"/>
    </row>
    <row r="12" spans="1:34">
      <c r="A12" s="190" t="str">
        <f t="shared" si="0"/>
        <v/>
      </c>
      <c r="B12" s="190"/>
      <c r="C12" s="190"/>
      <c r="D12" s="192"/>
      <c r="E12" s="190"/>
      <c r="F12" s="190"/>
      <c r="G12" s="190"/>
      <c r="H12" s="190"/>
      <c r="I12" s="184"/>
      <c r="J12" s="193"/>
      <c r="K12" s="190"/>
      <c r="L12" s="190"/>
      <c r="M12" s="707"/>
      <c r="N12" s="707"/>
      <c r="O12" s="707"/>
      <c r="P12" s="184"/>
      <c r="Q12" s="59"/>
      <c r="R12" s="59"/>
      <c r="S12" s="59"/>
      <c r="T12" s="59"/>
      <c r="U12" s="59"/>
      <c r="V12" s="59"/>
      <c r="W12" s="59"/>
      <c r="X12" s="59"/>
      <c r="Y12" s="59"/>
      <c r="Z12" s="59"/>
      <c r="AA12" s="59"/>
      <c r="AB12" s="54"/>
      <c r="AC12" s="59"/>
      <c r="AD12" s="59"/>
      <c r="AE12" s="59"/>
      <c r="AF12" s="59"/>
      <c r="AG12" s="59"/>
      <c r="AH12" s="58"/>
    </row>
    <row r="13" spans="1:34">
      <c r="A13" s="116" t="str">
        <f t="shared" si="0"/>
        <v/>
      </c>
      <c r="B13" s="116"/>
      <c r="C13" s="116"/>
      <c r="D13" s="56"/>
      <c r="E13" s="116"/>
      <c r="F13" s="116"/>
      <c r="G13" s="116"/>
      <c r="H13" s="116"/>
      <c r="I13" s="54"/>
      <c r="J13" s="58"/>
      <c r="K13" s="116"/>
      <c r="L13" s="116"/>
      <c r="M13" s="589"/>
      <c r="N13" s="589"/>
      <c r="O13" s="589"/>
      <c r="P13" s="54"/>
      <c r="Q13" s="59"/>
      <c r="R13" s="59"/>
      <c r="S13" s="59"/>
      <c r="T13" s="59"/>
      <c r="U13" s="59"/>
      <c r="V13" s="59"/>
      <c r="W13" s="59"/>
      <c r="X13" s="59"/>
      <c r="Y13" s="59"/>
      <c r="Z13" s="59"/>
      <c r="AA13" s="59"/>
      <c r="AB13" s="54"/>
      <c r="AC13" s="59"/>
      <c r="AD13" s="59"/>
      <c r="AE13" s="59"/>
      <c r="AF13" s="59"/>
      <c r="AG13" s="59"/>
      <c r="AH13" s="58"/>
    </row>
    <row r="14" spans="1:34">
      <c r="A14" s="124" t="str">
        <f t="shared" si="0"/>
        <v/>
      </c>
      <c r="B14" s="62"/>
      <c r="C14" s="62"/>
      <c r="D14" s="63"/>
      <c r="E14" s="124"/>
      <c r="F14" s="124"/>
      <c r="G14" s="124"/>
      <c r="H14" s="124"/>
      <c r="I14" s="64"/>
      <c r="J14" s="65"/>
      <c r="K14" s="124"/>
      <c r="L14" s="124"/>
      <c r="M14" s="711"/>
      <c r="N14" s="711"/>
      <c r="O14" s="711"/>
      <c r="P14" s="64"/>
      <c r="Q14" s="66"/>
      <c r="R14" s="66"/>
      <c r="S14" s="66"/>
      <c r="T14" s="66"/>
      <c r="U14" s="66"/>
      <c r="V14" s="66"/>
      <c r="W14" s="66"/>
      <c r="X14" s="66"/>
      <c r="Y14" s="66"/>
      <c r="Z14" s="66"/>
      <c r="AA14" s="66"/>
      <c r="AB14" s="64"/>
      <c r="AC14" s="66"/>
      <c r="AD14" s="66"/>
      <c r="AE14" s="66"/>
      <c r="AF14" s="66"/>
      <c r="AG14" s="66"/>
      <c r="AH14" s="65"/>
    </row>
    <row r="15" spans="1:34">
      <c r="A15" s="608" t="s">
        <v>37</v>
      </c>
      <c r="B15" s="609"/>
      <c r="C15" s="609"/>
      <c r="D15" s="609"/>
      <c r="E15" s="609"/>
      <c r="F15" s="609"/>
      <c r="G15" s="609"/>
      <c r="H15" s="609"/>
      <c r="I15" s="609"/>
      <c r="J15" s="609"/>
      <c r="K15" s="609"/>
      <c r="L15" s="609"/>
      <c r="M15" s="609"/>
      <c r="N15" s="609"/>
      <c r="O15" s="609"/>
      <c r="P15" s="609"/>
      <c r="Q15" s="609"/>
      <c r="R15" s="609"/>
      <c r="S15" s="609"/>
      <c r="T15" s="609"/>
      <c r="U15" s="609"/>
      <c r="V15" s="609"/>
      <c r="W15" s="609"/>
      <c r="X15" s="609"/>
      <c r="Y15" s="609"/>
      <c r="Z15" s="609"/>
      <c r="AA15" s="609"/>
      <c r="AB15" s="609"/>
      <c r="AC15" s="609"/>
      <c r="AD15" s="609"/>
      <c r="AE15" s="609"/>
      <c r="AF15" s="609"/>
      <c r="AG15" s="609"/>
      <c r="AH15" s="610"/>
    </row>
    <row r="16" spans="1:34">
      <c r="A16" s="67"/>
      <c r="B16" s="117"/>
      <c r="C16" s="117"/>
      <c r="D16" s="69"/>
      <c r="E16" s="117"/>
      <c r="F16" s="117"/>
      <c r="G16" s="117"/>
      <c r="H16" s="117"/>
      <c r="I16" s="117"/>
      <c r="J16" s="117"/>
      <c r="K16" s="117"/>
      <c r="L16" s="117"/>
      <c r="M16" s="611"/>
      <c r="N16" s="611"/>
      <c r="O16" s="611"/>
      <c r="P16" s="117"/>
      <c r="Q16" s="117"/>
      <c r="R16" s="117"/>
      <c r="S16" s="117"/>
      <c r="T16" s="117"/>
      <c r="U16" s="117"/>
      <c r="V16" s="117"/>
      <c r="W16" s="117"/>
      <c r="X16" s="117"/>
      <c r="Y16" s="117"/>
      <c r="Z16" s="117"/>
      <c r="AA16" s="117"/>
      <c r="AB16" s="117"/>
      <c r="AC16" s="117"/>
      <c r="AD16" s="117"/>
      <c r="AE16" s="117"/>
      <c r="AF16" s="117"/>
      <c r="AG16" s="117"/>
      <c r="AH16" s="70"/>
    </row>
    <row r="17" spans="1:34">
      <c r="A17" s="71"/>
      <c r="B17" s="118" t="s">
        <v>38</v>
      </c>
      <c r="M17" s="612"/>
      <c r="N17" s="612"/>
      <c r="O17" s="612"/>
      <c r="AH17" s="72"/>
    </row>
    <row r="18" spans="1:34">
      <c r="A18" s="71"/>
      <c r="B18" s="296" t="s">
        <v>761</v>
      </c>
      <c r="D18" s="120"/>
      <c r="AH18" s="72"/>
    </row>
    <row r="19" spans="1:34">
      <c r="A19" s="71"/>
      <c r="B19" s="296" t="s">
        <v>849</v>
      </c>
      <c r="M19" s="612"/>
      <c r="N19" s="612"/>
      <c r="O19" s="612"/>
      <c r="AH19" s="72"/>
    </row>
    <row r="20" spans="1:34" s="290" customFormat="1">
      <c r="A20" s="71"/>
      <c r="B20" s="296"/>
      <c r="AH20" s="72"/>
    </row>
    <row r="21" spans="1:34" s="290" customFormat="1">
      <c r="A21" s="71"/>
      <c r="B21" s="296"/>
      <c r="AH21" s="72"/>
    </row>
    <row r="22" spans="1:34">
      <c r="A22" s="71"/>
      <c r="B22" s="118" t="s">
        <v>39</v>
      </c>
      <c r="M22" s="612"/>
      <c r="N22" s="612"/>
      <c r="O22" s="612"/>
      <c r="AH22" s="72"/>
    </row>
    <row r="23" spans="1:34">
      <c r="A23" s="71"/>
      <c r="B23" s="171" t="s">
        <v>1326</v>
      </c>
      <c r="AH23" s="72"/>
    </row>
    <row r="24" spans="1:34">
      <c r="A24" s="71"/>
      <c r="AH24" s="72"/>
    </row>
    <row r="25" spans="1:34">
      <c r="A25" s="71"/>
      <c r="AH25" s="72"/>
    </row>
    <row r="26" spans="1:34">
      <c r="A26" s="71"/>
      <c r="B26" s="118" t="s">
        <v>41</v>
      </c>
      <c r="M26" s="612"/>
      <c r="N26" s="612"/>
      <c r="O26" s="612"/>
      <c r="AH26" s="72"/>
    </row>
    <row r="27" spans="1:34" s="155" customFormat="1">
      <c r="A27" s="154"/>
      <c r="B27" s="155" t="s">
        <v>225</v>
      </c>
      <c r="AH27" s="156"/>
    </row>
    <row r="28" spans="1:34" s="155" customFormat="1">
      <c r="A28" s="154"/>
      <c r="B28" s="171" t="s">
        <v>1001</v>
      </c>
      <c r="C28" s="155" t="s">
        <v>110</v>
      </c>
      <c r="AH28" s="156"/>
    </row>
    <row r="29" spans="1:34" s="155" customFormat="1">
      <c r="A29" s="154"/>
      <c r="B29" s="171" t="s">
        <v>1086</v>
      </c>
      <c r="C29" s="155" t="s">
        <v>1087</v>
      </c>
      <c r="AH29" s="156"/>
    </row>
    <row r="30" spans="1:34" s="155" customFormat="1">
      <c r="A30" s="154"/>
      <c r="AH30" s="156"/>
    </row>
    <row r="31" spans="1:34">
      <c r="A31" s="71"/>
      <c r="AH31" s="72"/>
    </row>
    <row r="32" spans="1:34">
      <c r="A32" s="608" t="s">
        <v>42</v>
      </c>
      <c r="B32" s="609"/>
      <c r="C32" s="609"/>
      <c r="D32" s="609"/>
      <c r="E32" s="609"/>
      <c r="F32" s="609"/>
      <c r="G32" s="609"/>
      <c r="H32" s="609"/>
      <c r="I32" s="609"/>
      <c r="J32" s="609"/>
      <c r="K32" s="609"/>
      <c r="L32" s="609"/>
      <c r="M32" s="609"/>
      <c r="N32" s="609"/>
      <c r="O32" s="609"/>
      <c r="P32" s="609"/>
      <c r="Q32" s="609"/>
      <c r="R32" s="609"/>
      <c r="S32" s="609"/>
      <c r="T32" s="609"/>
      <c r="U32" s="609"/>
      <c r="V32" s="609"/>
      <c r="W32" s="609"/>
      <c r="X32" s="609"/>
      <c r="Y32" s="609"/>
      <c r="Z32" s="609"/>
      <c r="AA32" s="609"/>
      <c r="AB32" s="609"/>
      <c r="AC32" s="609"/>
      <c r="AD32" s="609"/>
      <c r="AE32" s="609"/>
      <c r="AF32" s="609"/>
      <c r="AG32" s="609"/>
      <c r="AH32" s="610"/>
    </row>
    <row r="33" spans="1:34">
      <c r="A33" s="71"/>
      <c r="M33" s="612"/>
      <c r="N33" s="612"/>
      <c r="O33" s="612"/>
      <c r="AH33" s="72"/>
    </row>
    <row r="34" spans="1:34" s="155" customFormat="1">
      <c r="A34" s="154"/>
      <c r="B34" s="155" t="s">
        <v>957</v>
      </c>
      <c r="M34" s="544"/>
      <c r="N34" s="544"/>
      <c r="O34" s="544"/>
      <c r="AH34" s="156"/>
    </row>
    <row r="35" spans="1:34" s="155" customFormat="1">
      <c r="A35" s="154"/>
      <c r="M35" s="544"/>
      <c r="N35" s="544"/>
      <c r="O35" s="544"/>
      <c r="AH35" s="156"/>
    </row>
    <row r="36" spans="1:34" s="155" customFormat="1">
      <c r="A36" s="154"/>
      <c r="AH36" s="156"/>
    </row>
    <row r="37" spans="1:34" s="155" customFormat="1">
      <c r="A37" s="154"/>
      <c r="B37" s="155" t="s">
        <v>750</v>
      </c>
      <c r="M37" s="544"/>
      <c r="N37" s="544"/>
      <c r="O37" s="544"/>
      <c r="AH37" s="156"/>
    </row>
    <row r="38" spans="1:34" s="155" customFormat="1">
      <c r="A38" s="154"/>
      <c r="M38" s="544"/>
      <c r="N38" s="544"/>
      <c r="O38" s="544"/>
      <c r="AH38" s="156"/>
    </row>
    <row r="39" spans="1:34" s="155" customFormat="1">
      <c r="A39" s="154"/>
      <c r="B39" s="155" t="s">
        <v>958</v>
      </c>
      <c r="M39" s="544"/>
      <c r="N39" s="544"/>
      <c r="O39" s="544"/>
      <c r="AH39" s="156"/>
    </row>
    <row r="40" spans="1:34" s="155" customFormat="1">
      <c r="A40" s="154"/>
      <c r="M40" s="544"/>
      <c r="N40" s="544"/>
      <c r="O40" s="544"/>
      <c r="AH40" s="156"/>
    </row>
    <row r="41" spans="1:34" s="155" customFormat="1">
      <c r="A41" s="154"/>
      <c r="B41" s="155" t="s">
        <v>579</v>
      </c>
      <c r="M41" s="544"/>
      <c r="N41" s="544"/>
      <c r="O41" s="544"/>
      <c r="AH41" s="156"/>
    </row>
    <row r="42" spans="1:34" s="155" customFormat="1">
      <c r="A42" s="154"/>
      <c r="M42" s="544"/>
      <c r="N42" s="544"/>
      <c r="O42" s="544"/>
      <c r="AH42" s="156"/>
    </row>
    <row r="43" spans="1:34" s="155" customFormat="1">
      <c r="A43" s="154"/>
      <c r="B43" s="155" t="s">
        <v>1359</v>
      </c>
      <c r="M43" s="544"/>
      <c r="N43" s="544"/>
      <c r="O43" s="544"/>
      <c r="AH43" s="156"/>
    </row>
    <row r="44" spans="1:34" s="155" customFormat="1">
      <c r="A44" s="154"/>
      <c r="M44" s="544"/>
      <c r="N44" s="544"/>
      <c r="O44" s="544"/>
      <c r="AH44" s="156"/>
    </row>
    <row r="45" spans="1:34" s="155" customFormat="1">
      <c r="A45" s="154"/>
      <c r="B45" s="155" t="s">
        <v>960</v>
      </c>
      <c r="M45" s="544"/>
      <c r="N45" s="544"/>
      <c r="O45" s="544"/>
      <c r="AH45" s="156"/>
    </row>
    <row r="46" spans="1:34" s="155" customFormat="1">
      <c r="A46" s="154"/>
      <c r="B46" s="155" t="s">
        <v>1323</v>
      </c>
      <c r="M46" s="544"/>
      <c r="N46" s="544"/>
      <c r="O46" s="544"/>
      <c r="AH46" s="156"/>
    </row>
    <row r="47" spans="1:34">
      <c r="A47" s="71"/>
      <c r="B47" s="118" t="s">
        <v>1324</v>
      </c>
      <c r="AH47" s="72"/>
    </row>
    <row r="48" spans="1:34">
      <c r="A48" s="71"/>
      <c r="B48" s="118" t="s">
        <v>1088</v>
      </c>
      <c r="AH48" s="72"/>
    </row>
    <row r="49" spans="1:35">
      <c r="A49" s="71"/>
      <c r="B49" s="118" t="s">
        <v>1000</v>
      </c>
      <c r="AH49" s="72"/>
    </row>
    <row r="50" spans="1:35">
      <c r="A50" s="71"/>
      <c r="M50" s="612"/>
      <c r="N50" s="612"/>
      <c r="O50" s="612"/>
      <c r="AH50" s="72"/>
    </row>
    <row r="51" spans="1:35">
      <c r="A51" s="71"/>
      <c r="AH51" s="72"/>
    </row>
    <row r="52" spans="1:35">
      <c r="A52" s="71"/>
      <c r="AH52" s="72"/>
    </row>
    <row r="53" spans="1:35">
      <c r="A53" s="71"/>
      <c r="AH53" s="72"/>
    </row>
    <row r="54" spans="1:35">
      <c r="A54" s="71"/>
      <c r="AH54" s="72"/>
    </row>
    <row r="55" spans="1:35">
      <c r="A55" s="608" t="s">
        <v>43</v>
      </c>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10"/>
    </row>
    <row r="56" spans="1:35">
      <c r="A56" s="71"/>
      <c r="M56" s="612"/>
      <c r="N56" s="612"/>
      <c r="O56" s="612"/>
      <c r="AH56" s="72"/>
    </row>
    <row r="57" spans="1:35">
      <c r="A57" s="71"/>
      <c r="B57" s="118" t="s">
        <v>44</v>
      </c>
      <c r="AH57" s="72"/>
    </row>
    <row r="58" spans="1:35" s="293" customFormat="1">
      <c r="A58" s="154"/>
      <c r="AH58" s="156"/>
    </row>
    <row r="59" spans="1:35" s="293" customFormat="1">
      <c r="A59" s="515" t="s">
        <v>678</v>
      </c>
      <c r="B59" s="516"/>
      <c r="C59" s="516"/>
      <c r="D59" s="516"/>
      <c r="E59" s="516"/>
      <c r="F59" s="516"/>
      <c r="G59" s="516"/>
      <c r="H59" s="516"/>
      <c r="I59" s="516"/>
      <c r="J59" s="516"/>
      <c r="K59" s="516"/>
      <c r="L59" s="516"/>
      <c r="M59" s="516"/>
      <c r="N59" s="516"/>
      <c r="O59" s="516"/>
      <c r="P59" s="516"/>
      <c r="Q59" s="516"/>
      <c r="R59" s="516"/>
      <c r="S59" s="516"/>
      <c r="T59" s="516"/>
      <c r="U59" s="516"/>
      <c r="V59" s="516"/>
      <c r="W59" s="516"/>
      <c r="X59" s="516"/>
      <c r="Y59" s="516"/>
      <c r="Z59" s="516"/>
      <c r="AA59" s="516"/>
      <c r="AB59" s="516"/>
      <c r="AC59" s="516"/>
      <c r="AD59" s="516"/>
      <c r="AE59" s="516"/>
      <c r="AF59" s="516"/>
      <c r="AG59" s="516"/>
      <c r="AH59" s="517"/>
    </row>
    <row r="60" spans="1:35" s="293" customFormat="1">
      <c r="A60" s="154"/>
      <c r="D60" s="291"/>
      <c r="M60" s="544"/>
      <c r="N60" s="544"/>
      <c r="O60" s="544"/>
      <c r="AH60" s="156"/>
    </row>
    <row r="61" spans="1:35">
      <c r="A61" s="71"/>
      <c r="B61" s="118" t="s">
        <v>1330</v>
      </c>
      <c r="D61" s="120"/>
      <c r="M61" s="612"/>
      <c r="N61" s="612"/>
      <c r="O61" s="612"/>
      <c r="AH61" s="72"/>
    </row>
    <row r="62" spans="1:35" s="155" customFormat="1">
      <c r="A62" s="154"/>
      <c r="B62" s="157" t="s">
        <v>577</v>
      </c>
      <c r="C62" s="159" t="s">
        <v>844</v>
      </c>
      <c r="D62" s="159"/>
      <c r="E62" s="157" t="s">
        <v>845</v>
      </c>
      <c r="F62" s="159" t="s">
        <v>846</v>
      </c>
      <c r="G62" s="159"/>
      <c r="H62" s="159"/>
      <c r="I62" s="159"/>
      <c r="J62" s="159"/>
      <c r="K62" s="159"/>
      <c r="L62" s="159"/>
      <c r="M62" s="546"/>
      <c r="N62" s="546"/>
      <c r="O62" s="546"/>
      <c r="P62" s="159"/>
      <c r="Q62" s="159"/>
      <c r="R62" s="159"/>
      <c r="S62" s="159"/>
      <c r="T62" s="159"/>
      <c r="U62" s="159"/>
      <c r="V62" s="159"/>
      <c r="W62" s="159"/>
      <c r="X62" s="159"/>
      <c r="Y62" s="159"/>
      <c r="Z62" s="159"/>
      <c r="AA62" s="159"/>
      <c r="AB62" s="159"/>
      <c r="AC62" s="159"/>
      <c r="AD62" s="160"/>
      <c r="AH62" s="156"/>
    </row>
    <row r="63" spans="1:35" s="155" customFormat="1">
      <c r="A63" s="154"/>
      <c r="B63" s="161" t="s">
        <v>761</v>
      </c>
      <c r="C63" s="162" t="s">
        <v>714</v>
      </c>
      <c r="D63" s="162"/>
      <c r="E63" s="163" t="s">
        <v>847</v>
      </c>
      <c r="F63" s="164" t="s">
        <v>847</v>
      </c>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5"/>
      <c r="AH63" s="156"/>
      <c r="AI63" s="129"/>
    </row>
    <row r="64" spans="1:35" s="155" customFormat="1">
      <c r="A64" s="154"/>
      <c r="B64" s="161" t="s">
        <v>849</v>
      </c>
      <c r="C64" s="162" t="s">
        <v>714</v>
      </c>
      <c r="D64" s="162"/>
      <c r="E64" s="161" t="s">
        <v>850</v>
      </c>
      <c r="F64" s="162" t="s">
        <v>851</v>
      </c>
      <c r="G64" s="162"/>
      <c r="H64" s="162"/>
      <c r="I64" s="162"/>
      <c r="J64" s="162"/>
      <c r="K64" s="162"/>
      <c r="L64" s="162" t="s">
        <v>852</v>
      </c>
      <c r="M64" s="162" t="s">
        <v>853</v>
      </c>
      <c r="N64" s="162"/>
      <c r="O64" s="162"/>
      <c r="P64" s="162"/>
      <c r="Q64" s="162"/>
      <c r="R64" s="162"/>
      <c r="S64" s="162"/>
      <c r="T64" s="162"/>
      <c r="U64" s="162"/>
      <c r="V64" s="162"/>
      <c r="W64" s="162"/>
      <c r="X64" s="162"/>
      <c r="Y64" s="162"/>
      <c r="Z64" s="162"/>
      <c r="AA64" s="162"/>
      <c r="AB64" s="162"/>
      <c r="AC64" s="162"/>
      <c r="AD64" s="166"/>
      <c r="AH64" s="156"/>
      <c r="AI64" s="129"/>
    </row>
    <row r="65" spans="1:34">
      <c r="A65" s="73"/>
      <c r="B65" s="119"/>
      <c r="C65" s="119"/>
      <c r="D65" s="119"/>
      <c r="E65" s="119"/>
      <c r="F65" s="119"/>
      <c r="G65" s="119"/>
      <c r="H65" s="119"/>
      <c r="I65" s="119"/>
      <c r="J65" s="119"/>
      <c r="K65" s="119"/>
      <c r="L65" s="119"/>
      <c r="M65" s="613"/>
      <c r="N65" s="613"/>
      <c r="O65" s="613"/>
      <c r="P65" s="119"/>
      <c r="Q65" s="119"/>
      <c r="R65" s="119"/>
      <c r="S65" s="119"/>
      <c r="T65" s="119"/>
      <c r="U65" s="119"/>
      <c r="V65" s="119"/>
      <c r="W65" s="119"/>
      <c r="X65" s="119"/>
      <c r="Y65" s="119"/>
      <c r="Z65" s="119"/>
      <c r="AA65" s="119"/>
      <c r="AB65" s="119"/>
      <c r="AC65" s="119"/>
      <c r="AD65" s="119"/>
      <c r="AE65" s="119"/>
      <c r="AF65" s="119"/>
      <c r="AG65" s="119"/>
      <c r="AH65" s="75"/>
    </row>
  </sheetData>
  <autoFilter ref="A9:AH44"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59">
    <mergeCell ref="A55:AH55"/>
    <mergeCell ref="M56:O56"/>
    <mergeCell ref="M65:O65"/>
    <mergeCell ref="M34:O34"/>
    <mergeCell ref="M35:O35"/>
    <mergeCell ref="M37:O37"/>
    <mergeCell ref="M38:O38"/>
    <mergeCell ref="M45:O45"/>
    <mergeCell ref="M46:O46"/>
    <mergeCell ref="M39:O39"/>
    <mergeCell ref="M40:O40"/>
    <mergeCell ref="M41:O41"/>
    <mergeCell ref="M42:O42"/>
    <mergeCell ref="M43:O43"/>
    <mergeCell ref="M44:O44"/>
    <mergeCell ref="M33:O33"/>
    <mergeCell ref="M62:O62"/>
    <mergeCell ref="M12:O12"/>
    <mergeCell ref="M13:O13"/>
    <mergeCell ref="M14:O14"/>
    <mergeCell ref="A15:AH15"/>
    <mergeCell ref="M16:O16"/>
    <mergeCell ref="M17:O17"/>
    <mergeCell ref="M61:O61"/>
    <mergeCell ref="M19:O19"/>
    <mergeCell ref="M22:O22"/>
    <mergeCell ref="M26:O26"/>
    <mergeCell ref="A32:AH32"/>
    <mergeCell ref="A59:AH59"/>
    <mergeCell ref="M60:O60"/>
    <mergeCell ref="M50:O50"/>
    <mergeCell ref="M11:O11"/>
    <mergeCell ref="A6:B6"/>
    <mergeCell ref="C6:D6"/>
    <mergeCell ref="E6:F6"/>
    <mergeCell ref="G6:AH6"/>
    <mergeCell ref="A8:A9"/>
    <mergeCell ref="B8:C9"/>
    <mergeCell ref="D8:D9"/>
    <mergeCell ref="E8:E9"/>
    <mergeCell ref="F8:H8"/>
    <mergeCell ref="J8:J9"/>
    <mergeCell ref="K8:O8"/>
    <mergeCell ref="P8:AA9"/>
    <mergeCell ref="AB8:AH9"/>
    <mergeCell ref="M9:O9"/>
    <mergeCell ref="M10:O10"/>
    <mergeCell ref="AC1:AH1"/>
    <mergeCell ref="A4:B4"/>
    <mergeCell ref="M4:Q4"/>
    <mergeCell ref="R4:W4"/>
    <mergeCell ref="X4:AB4"/>
    <mergeCell ref="AC4:AH4"/>
    <mergeCell ref="A1:B1"/>
    <mergeCell ref="C1:D1"/>
    <mergeCell ref="E1:L4"/>
    <mergeCell ref="M1:Q1"/>
    <mergeCell ref="R1:W1"/>
    <mergeCell ref="X1:AB1"/>
  </mergeCells>
  <phoneticPr fontId="15"/>
  <dataValidations count="1">
    <dataValidation imeMode="on" allowBlank="1" showInputMessage="1" showErrorMessage="1" sqref="C33:C54 C26:C31 C10:C14 C16:C22 C56:C58 C60:C65" xr:uid="{2CEFFC88-5737-4FBE-8CB9-F06890750EB8}"/>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8037-BE63-40F6-AB3B-814F78237951}">
  <sheetPr>
    <pageSetUpPr fitToPage="1"/>
  </sheetPr>
  <dimension ref="A1:AH69"/>
  <sheetViews>
    <sheetView showGridLines="0" view="pageBreakPreview" zoomScale="85" zoomScaleNormal="70" zoomScaleSheetLayoutView="85" workbookViewId="0">
      <pane ySplit="6" topLeftCell="A7" activePane="bottomLeft" state="frozen"/>
      <selection activeCell="P19" sqref="P19:AA32"/>
      <selection pane="bottomLeft" activeCell="P19" sqref="P19:AA32"/>
    </sheetView>
  </sheetViews>
  <sheetFormatPr defaultColWidth="9" defaultRowHeight="15.75"/>
  <cols>
    <col min="1" max="1" width="4.375" style="90" customWidth="1"/>
    <col min="2" max="2" width="29.75" style="90" bestFit="1" customWidth="1"/>
    <col min="3" max="3" width="19.375" style="90" customWidth="1"/>
    <col min="4" max="4" width="20.5" style="90" customWidth="1"/>
    <col min="5" max="5" width="18" style="90" customWidth="1"/>
    <col min="6" max="6" width="6.5" style="90" customWidth="1"/>
    <col min="7" max="7" width="3.875" style="90" customWidth="1"/>
    <col min="8" max="8" width="9" style="90" customWidth="1"/>
    <col min="9" max="9" width="1.125" style="90" customWidth="1"/>
    <col min="10" max="10" width="9" style="90" customWidth="1"/>
    <col min="11" max="11" width="11.75" style="90" customWidth="1"/>
    <col min="12" max="12" width="9" style="90" customWidth="1"/>
    <col min="13" max="34" width="3.125" style="90" customWidth="1"/>
    <col min="35" max="16384" width="9" style="90"/>
  </cols>
  <sheetData>
    <row r="1" spans="1:34" ht="15.75" customHeight="1">
      <c r="A1" s="713"/>
      <c r="B1" s="713"/>
      <c r="C1" s="715"/>
      <c r="D1" s="715"/>
      <c r="E1" s="716"/>
      <c r="F1" s="716"/>
      <c r="G1" s="716"/>
      <c r="H1" s="716"/>
      <c r="I1" s="716"/>
      <c r="J1" s="716"/>
      <c r="K1" s="716"/>
      <c r="L1" s="716"/>
      <c r="M1" s="713"/>
      <c r="N1" s="713"/>
      <c r="O1" s="713"/>
      <c r="P1" s="713"/>
      <c r="Q1" s="713"/>
      <c r="R1" s="717"/>
      <c r="S1" s="712"/>
      <c r="T1" s="712"/>
      <c r="U1" s="712"/>
      <c r="V1" s="712"/>
      <c r="W1" s="712"/>
      <c r="X1" s="713"/>
      <c r="Y1" s="713"/>
      <c r="Z1" s="713"/>
      <c r="AA1" s="713"/>
      <c r="AB1" s="713"/>
      <c r="AC1" s="712"/>
      <c r="AD1" s="712"/>
      <c r="AE1" s="712"/>
      <c r="AF1" s="712"/>
      <c r="AG1" s="712"/>
      <c r="AH1" s="712"/>
    </row>
    <row r="2" spans="1:34" ht="15.75" customHeight="1">
      <c r="A2" s="91"/>
      <c r="B2" s="91"/>
      <c r="C2" s="92"/>
      <c r="D2" s="92"/>
      <c r="E2" s="716"/>
      <c r="F2" s="716"/>
      <c r="G2" s="716"/>
      <c r="H2" s="716"/>
      <c r="I2" s="716"/>
      <c r="J2" s="716"/>
      <c r="K2" s="716"/>
      <c r="L2" s="716"/>
      <c r="M2" s="91"/>
      <c r="N2" s="91"/>
      <c r="O2" s="91"/>
      <c r="P2" s="91"/>
      <c r="Q2" s="91"/>
      <c r="R2" s="93"/>
      <c r="S2" s="94"/>
      <c r="T2" s="94"/>
      <c r="U2" s="94"/>
      <c r="V2" s="94"/>
      <c r="W2" s="94"/>
      <c r="X2" s="91"/>
      <c r="Y2" s="91"/>
      <c r="Z2" s="91"/>
      <c r="AA2" s="91"/>
      <c r="AB2" s="91"/>
      <c r="AC2" s="94"/>
      <c r="AD2" s="94"/>
      <c r="AE2" s="94"/>
      <c r="AF2" s="94"/>
      <c r="AG2" s="94"/>
      <c r="AH2" s="94"/>
    </row>
    <row r="3" spans="1:34" ht="15.75" customHeight="1">
      <c r="A3" s="91"/>
      <c r="B3" s="91"/>
      <c r="C3" s="92"/>
      <c r="D3" s="92"/>
      <c r="E3" s="716"/>
      <c r="F3" s="716"/>
      <c r="G3" s="716"/>
      <c r="H3" s="716"/>
      <c r="I3" s="716"/>
      <c r="J3" s="716"/>
      <c r="K3" s="716"/>
      <c r="L3" s="716"/>
      <c r="M3" s="91"/>
      <c r="N3" s="91"/>
      <c r="O3" s="91"/>
      <c r="P3" s="91"/>
      <c r="Q3" s="91"/>
      <c r="R3" s="93"/>
      <c r="S3" s="94"/>
      <c r="T3" s="94"/>
      <c r="U3" s="94"/>
      <c r="V3" s="94"/>
      <c r="W3" s="94"/>
      <c r="X3" s="91"/>
      <c r="Y3" s="91"/>
      <c r="Z3" s="91"/>
      <c r="AA3" s="91"/>
      <c r="AB3" s="91"/>
      <c r="AC3" s="94"/>
      <c r="AD3" s="94"/>
      <c r="AE3" s="94"/>
      <c r="AF3" s="94"/>
      <c r="AG3" s="94"/>
      <c r="AH3" s="94"/>
    </row>
    <row r="4" spans="1:34" ht="15.75" customHeight="1">
      <c r="A4" s="713"/>
      <c r="B4" s="713"/>
      <c r="C4" s="94"/>
      <c r="E4" s="716"/>
      <c r="F4" s="716"/>
      <c r="G4" s="716"/>
      <c r="H4" s="716"/>
      <c r="I4" s="716"/>
      <c r="J4" s="716"/>
      <c r="K4" s="716"/>
      <c r="L4" s="716"/>
      <c r="M4" s="713"/>
      <c r="N4" s="713"/>
      <c r="O4" s="713"/>
      <c r="P4" s="713"/>
      <c r="Q4" s="713"/>
      <c r="R4" s="714"/>
      <c r="S4" s="712"/>
      <c r="T4" s="712"/>
      <c r="U4" s="712"/>
      <c r="V4" s="712"/>
      <c r="W4" s="712"/>
      <c r="X4" s="713"/>
      <c r="Y4" s="713"/>
      <c r="Z4" s="713"/>
      <c r="AA4" s="713"/>
      <c r="AB4" s="713"/>
      <c r="AC4" s="712"/>
      <c r="AD4" s="712"/>
      <c r="AE4" s="712"/>
      <c r="AF4" s="712"/>
      <c r="AG4" s="712"/>
      <c r="AH4" s="712"/>
    </row>
    <row r="5" spans="1:34" ht="5.25" customHeight="1"/>
    <row r="6" spans="1:34">
      <c r="A6" s="719" t="s">
        <v>20</v>
      </c>
      <c r="B6" s="720"/>
      <c r="C6" s="721" t="s">
        <v>726</v>
      </c>
      <c r="D6" s="722"/>
      <c r="E6" s="723" t="s">
        <v>21</v>
      </c>
      <c r="F6" s="723"/>
      <c r="G6" s="724" t="s">
        <v>727</v>
      </c>
      <c r="H6" s="725"/>
      <c r="I6" s="725"/>
      <c r="J6" s="725"/>
      <c r="K6" s="725"/>
      <c r="L6" s="725"/>
      <c r="M6" s="725"/>
      <c r="N6" s="725"/>
      <c r="O6" s="725"/>
      <c r="P6" s="725"/>
      <c r="Q6" s="725"/>
      <c r="R6" s="725"/>
      <c r="S6" s="725"/>
      <c r="T6" s="725"/>
      <c r="U6" s="725"/>
      <c r="V6" s="725"/>
      <c r="W6" s="725"/>
      <c r="X6" s="725"/>
      <c r="Y6" s="725"/>
      <c r="Z6" s="725"/>
      <c r="AA6" s="725"/>
      <c r="AB6" s="725"/>
      <c r="AC6" s="725"/>
      <c r="AD6" s="725"/>
      <c r="AE6" s="725"/>
      <c r="AF6" s="725"/>
      <c r="AG6" s="725"/>
      <c r="AH6" s="726"/>
    </row>
    <row r="7" spans="1:34" ht="5.25" customHeight="1"/>
    <row r="8" spans="1:34">
      <c r="A8" s="727" t="s">
        <v>22</v>
      </c>
      <c r="B8" s="727" t="s">
        <v>23</v>
      </c>
      <c r="C8" s="727"/>
      <c r="D8" s="727" t="s">
        <v>24</v>
      </c>
      <c r="E8" s="729" t="s">
        <v>25</v>
      </c>
      <c r="F8" s="727" t="s">
        <v>26</v>
      </c>
      <c r="G8" s="727"/>
      <c r="H8" s="727"/>
      <c r="I8" s="95"/>
      <c r="J8" s="731" t="s">
        <v>27</v>
      </c>
      <c r="K8" s="727" t="s">
        <v>28</v>
      </c>
      <c r="L8" s="727"/>
      <c r="M8" s="727"/>
      <c r="N8" s="727"/>
      <c r="O8" s="727"/>
      <c r="P8" s="733" t="s">
        <v>29</v>
      </c>
      <c r="Q8" s="733"/>
      <c r="R8" s="733"/>
      <c r="S8" s="733"/>
      <c r="T8" s="733"/>
      <c r="U8" s="733"/>
      <c r="V8" s="733"/>
      <c r="W8" s="733"/>
      <c r="X8" s="733"/>
      <c r="Y8" s="733"/>
      <c r="Z8" s="733"/>
      <c r="AA8" s="733"/>
      <c r="AB8" s="733" t="s">
        <v>30</v>
      </c>
      <c r="AC8" s="733"/>
      <c r="AD8" s="733"/>
      <c r="AE8" s="733"/>
      <c r="AF8" s="733"/>
      <c r="AG8" s="733"/>
      <c r="AH8" s="733"/>
    </row>
    <row r="9" spans="1:34" ht="16.5" thickBot="1">
      <c r="A9" s="728"/>
      <c r="B9" s="728"/>
      <c r="C9" s="728"/>
      <c r="D9" s="728"/>
      <c r="E9" s="730"/>
      <c r="F9" s="96" t="s">
        <v>31</v>
      </c>
      <c r="G9" s="97" t="s">
        <v>32</v>
      </c>
      <c r="H9" s="98" t="s">
        <v>33</v>
      </c>
      <c r="I9" s="99"/>
      <c r="J9" s="732"/>
      <c r="K9" s="96" t="s">
        <v>34</v>
      </c>
      <c r="L9" s="97" t="s">
        <v>35</v>
      </c>
      <c r="M9" s="735" t="s">
        <v>36</v>
      </c>
      <c r="N9" s="735"/>
      <c r="O9" s="736"/>
      <c r="P9" s="734"/>
      <c r="Q9" s="734"/>
      <c r="R9" s="734"/>
      <c r="S9" s="734"/>
      <c r="T9" s="734"/>
      <c r="U9" s="734"/>
      <c r="V9" s="734"/>
      <c r="W9" s="734"/>
      <c r="X9" s="734"/>
      <c r="Y9" s="734"/>
      <c r="Z9" s="734"/>
      <c r="AA9" s="734"/>
      <c r="AB9" s="734"/>
      <c r="AC9" s="734"/>
      <c r="AD9" s="734"/>
      <c r="AE9" s="734"/>
      <c r="AF9" s="734"/>
      <c r="AG9" s="734"/>
      <c r="AH9" s="734"/>
    </row>
    <row r="10" spans="1:34" ht="16.5" thickTop="1">
      <c r="A10" s="100">
        <f>+IF(C10&lt;&gt;"",ROW()-9,"")</f>
        <v>1</v>
      </c>
      <c r="B10" s="101" t="s">
        <v>728</v>
      </c>
      <c r="C10" s="101" t="s">
        <v>729</v>
      </c>
      <c r="D10" s="102" t="b">
        <v>0</v>
      </c>
      <c r="E10" s="103">
        <v>0</v>
      </c>
      <c r="F10" s="103">
        <v>8</v>
      </c>
      <c r="G10" s="103">
        <v>0</v>
      </c>
      <c r="H10" s="103">
        <v>0</v>
      </c>
      <c r="I10" s="100"/>
      <c r="J10" s="104" t="s">
        <v>131</v>
      </c>
      <c r="K10" s="103"/>
      <c r="L10" s="103"/>
      <c r="M10" s="718"/>
      <c r="N10" s="718"/>
      <c r="O10" s="718"/>
      <c r="P10" s="105"/>
      <c r="Q10" s="105"/>
      <c r="R10" s="105"/>
      <c r="S10" s="105"/>
      <c r="T10" s="105"/>
      <c r="U10" s="105"/>
      <c r="V10" s="105"/>
      <c r="W10" s="105"/>
      <c r="X10" s="105"/>
      <c r="Y10" s="105"/>
      <c r="Z10" s="105"/>
      <c r="AA10" s="105"/>
      <c r="AB10" s="106"/>
      <c r="AC10" s="105"/>
      <c r="AD10" s="105"/>
      <c r="AE10" s="105"/>
      <c r="AF10" s="105"/>
      <c r="AG10" s="105"/>
      <c r="AH10" s="104"/>
    </row>
    <row r="11" spans="1:34">
      <c r="A11" s="103">
        <f t="shared" ref="A11:A13" si="0">+IF(C11&lt;&gt;"",ROW()-9,"")</f>
        <v>2</v>
      </c>
      <c r="B11" s="103" t="s">
        <v>730</v>
      </c>
      <c r="C11" s="103" t="s">
        <v>731</v>
      </c>
      <c r="D11" s="102" t="b">
        <v>1</v>
      </c>
      <c r="E11" s="103">
        <v>0</v>
      </c>
      <c r="F11" s="103">
        <v>100</v>
      </c>
      <c r="G11" s="103">
        <v>0</v>
      </c>
      <c r="H11" s="103">
        <f t="shared" ref="H11" si="1">IF(C11="","",0)</f>
        <v>0</v>
      </c>
      <c r="I11" s="100"/>
      <c r="J11" s="104" t="s">
        <v>131</v>
      </c>
      <c r="K11" s="103"/>
      <c r="L11" s="103"/>
      <c r="M11" s="718"/>
      <c r="N11" s="718"/>
      <c r="O11" s="718"/>
      <c r="P11" s="100"/>
      <c r="Q11" s="105"/>
      <c r="R11" s="105"/>
      <c r="S11" s="105"/>
      <c r="T11" s="105"/>
      <c r="U11" s="105"/>
      <c r="V11" s="105"/>
      <c r="W11" s="105"/>
      <c r="X11" s="105"/>
      <c r="Y11" s="105"/>
      <c r="Z11" s="105"/>
      <c r="AA11" s="105"/>
      <c r="AB11" s="100"/>
      <c r="AC11" s="105"/>
      <c r="AD11" s="105"/>
      <c r="AE11" s="105"/>
      <c r="AF11" s="105"/>
      <c r="AG11" s="105"/>
      <c r="AH11" s="104"/>
    </row>
    <row r="12" spans="1:34">
      <c r="A12" s="103">
        <f t="shared" si="0"/>
        <v>3</v>
      </c>
      <c r="B12" s="103" t="s">
        <v>732</v>
      </c>
      <c r="C12" s="103" t="s">
        <v>733</v>
      </c>
      <c r="D12" s="102" t="b">
        <v>0</v>
      </c>
      <c r="E12" s="103">
        <v>1</v>
      </c>
      <c r="F12" s="103">
        <v>8</v>
      </c>
      <c r="G12" s="103">
        <v>0</v>
      </c>
      <c r="H12" s="103">
        <v>0</v>
      </c>
      <c r="I12" s="100"/>
      <c r="J12" s="104" t="s">
        <v>129</v>
      </c>
      <c r="K12" s="103"/>
      <c r="L12" s="103"/>
      <c r="M12" s="718"/>
      <c r="N12" s="718"/>
      <c r="O12" s="718"/>
      <c r="P12" s="100"/>
      <c r="Q12" s="105"/>
      <c r="R12" s="105"/>
      <c r="S12" s="105"/>
      <c r="T12" s="105"/>
      <c r="U12" s="105"/>
      <c r="V12" s="105"/>
      <c r="W12" s="105"/>
      <c r="X12" s="105"/>
      <c r="Y12" s="105"/>
      <c r="Z12" s="105"/>
      <c r="AA12" s="105"/>
      <c r="AB12" s="100"/>
      <c r="AC12" s="105"/>
      <c r="AD12" s="105"/>
      <c r="AE12" s="105"/>
      <c r="AF12" s="105"/>
      <c r="AG12" s="105"/>
      <c r="AH12" s="104"/>
    </row>
    <row r="13" spans="1:34">
      <c r="A13" s="103">
        <f t="shared" si="0"/>
        <v>4</v>
      </c>
      <c r="B13" s="103" t="s">
        <v>734</v>
      </c>
      <c r="C13" s="103" t="s">
        <v>111</v>
      </c>
      <c r="D13" s="102" t="b">
        <v>1</v>
      </c>
      <c r="E13" s="103">
        <v>0</v>
      </c>
      <c r="F13" s="103">
        <v>60</v>
      </c>
      <c r="G13" s="103">
        <v>0</v>
      </c>
      <c r="H13" s="103">
        <v>0</v>
      </c>
      <c r="I13" s="100"/>
      <c r="J13" s="104" t="s">
        <v>131</v>
      </c>
      <c r="K13" s="103"/>
      <c r="L13" s="103"/>
      <c r="M13" s="718"/>
      <c r="N13" s="718"/>
      <c r="O13" s="718"/>
      <c r="P13" s="100"/>
      <c r="Q13" s="105"/>
      <c r="R13" s="105"/>
      <c r="S13" s="105"/>
      <c r="T13" s="105"/>
      <c r="U13" s="105"/>
      <c r="V13" s="105"/>
      <c r="W13" s="105"/>
      <c r="X13" s="105"/>
      <c r="Y13" s="105"/>
      <c r="Z13" s="105"/>
      <c r="AA13" s="105"/>
      <c r="AB13" s="100"/>
      <c r="AC13" s="105"/>
      <c r="AD13" s="105"/>
      <c r="AE13" s="105"/>
      <c r="AF13" s="105"/>
      <c r="AG13" s="105"/>
      <c r="AH13" s="104"/>
    </row>
    <row r="14" spans="1:34">
      <c r="A14" s="738" t="s">
        <v>37</v>
      </c>
      <c r="B14" s="739"/>
      <c r="C14" s="739"/>
      <c r="D14" s="739"/>
      <c r="E14" s="739"/>
      <c r="F14" s="739"/>
      <c r="G14" s="739"/>
      <c r="H14" s="739"/>
      <c r="I14" s="739"/>
      <c r="J14" s="739"/>
      <c r="K14" s="739"/>
      <c r="L14" s="739"/>
      <c r="M14" s="739"/>
      <c r="N14" s="739"/>
      <c r="O14" s="739"/>
      <c r="P14" s="739"/>
      <c r="Q14" s="739"/>
      <c r="R14" s="739"/>
      <c r="S14" s="739"/>
      <c r="T14" s="739"/>
      <c r="U14" s="739"/>
      <c r="V14" s="739"/>
      <c r="W14" s="739"/>
      <c r="X14" s="739"/>
      <c r="Y14" s="739"/>
      <c r="Z14" s="739"/>
      <c r="AA14" s="739"/>
      <c r="AB14" s="739"/>
      <c r="AC14" s="739"/>
      <c r="AD14" s="739"/>
      <c r="AE14" s="739"/>
      <c r="AF14" s="739"/>
      <c r="AG14" s="739"/>
      <c r="AH14" s="740"/>
    </row>
    <row r="15" spans="1:34">
      <c r="A15" s="107"/>
      <c r="B15" s="108"/>
      <c r="C15" s="108"/>
      <c r="D15" s="109"/>
      <c r="E15" s="108"/>
      <c r="F15" s="108"/>
      <c r="G15" s="108"/>
      <c r="H15" s="108"/>
      <c r="I15" s="108"/>
      <c r="J15" s="108"/>
      <c r="K15" s="108"/>
      <c r="L15" s="108"/>
      <c r="M15" s="741"/>
      <c r="N15" s="741"/>
      <c r="O15" s="741"/>
      <c r="P15" s="108"/>
      <c r="Q15" s="108"/>
      <c r="R15" s="108"/>
      <c r="S15" s="108"/>
      <c r="T15" s="108"/>
      <c r="U15" s="108"/>
      <c r="V15" s="108"/>
      <c r="W15" s="108"/>
      <c r="X15" s="108"/>
      <c r="Y15" s="108"/>
      <c r="Z15" s="108"/>
      <c r="AA15" s="108"/>
      <c r="AB15" s="108"/>
      <c r="AC15" s="108"/>
      <c r="AD15" s="108"/>
      <c r="AE15" s="108"/>
      <c r="AF15" s="108"/>
      <c r="AG15" s="108"/>
      <c r="AH15" s="110"/>
    </row>
    <row r="16" spans="1:34">
      <c r="A16" s="111"/>
      <c r="B16" s="90" t="s">
        <v>38</v>
      </c>
      <c r="M16" s="737"/>
      <c r="N16" s="737"/>
      <c r="O16" s="737"/>
      <c r="AH16" s="112"/>
    </row>
    <row r="17" spans="1:34">
      <c r="A17" s="111"/>
      <c r="B17" s="90" t="s">
        <v>735</v>
      </c>
      <c r="D17" s="94"/>
      <c r="M17" s="737"/>
      <c r="N17" s="737"/>
      <c r="O17" s="737"/>
      <c r="AH17" s="112"/>
    </row>
    <row r="18" spans="1:34">
      <c r="A18" s="111"/>
      <c r="B18" s="90" t="s">
        <v>736</v>
      </c>
      <c r="D18" s="94"/>
      <c r="AH18" s="112"/>
    </row>
    <row r="19" spans="1:34">
      <c r="A19" s="111"/>
      <c r="B19" s="90" t="s">
        <v>737</v>
      </c>
      <c r="M19" s="737"/>
      <c r="N19" s="737"/>
      <c r="O19" s="737"/>
      <c r="AH19" s="112"/>
    </row>
    <row r="20" spans="1:34">
      <c r="A20" s="111"/>
      <c r="B20" s="90" t="s">
        <v>738</v>
      </c>
      <c r="AH20" s="112"/>
    </row>
    <row r="21" spans="1:34">
      <c r="A21" s="111"/>
      <c r="AH21" s="112"/>
    </row>
    <row r="22" spans="1:34">
      <c r="A22" s="111"/>
      <c r="B22" s="90" t="s">
        <v>39</v>
      </c>
      <c r="M22" s="737"/>
      <c r="N22" s="737"/>
      <c r="O22" s="737"/>
      <c r="AH22" s="112"/>
    </row>
    <row r="23" spans="1:34">
      <c r="A23" s="111"/>
      <c r="B23" s="90" t="s">
        <v>61</v>
      </c>
      <c r="AH23" s="112"/>
    </row>
    <row r="24" spans="1:34">
      <c r="A24" s="111"/>
      <c r="B24" s="90" t="s">
        <v>75</v>
      </c>
      <c r="C24" s="90" t="s">
        <v>40</v>
      </c>
      <c r="D24" s="90" t="s">
        <v>82</v>
      </c>
      <c r="AH24" s="112"/>
    </row>
    <row r="25" spans="1:34">
      <c r="A25" s="111"/>
      <c r="AH25" s="112"/>
    </row>
    <row r="26" spans="1:34">
      <c r="A26" s="111"/>
      <c r="B26" s="90" t="s">
        <v>61</v>
      </c>
      <c r="AH26" s="112"/>
    </row>
    <row r="27" spans="1:34">
      <c r="A27" s="111"/>
      <c r="B27" s="90" t="s">
        <v>75</v>
      </c>
      <c r="C27" s="90" t="s">
        <v>40</v>
      </c>
      <c r="D27" s="90" t="s">
        <v>739</v>
      </c>
      <c r="AH27" s="112"/>
    </row>
    <row r="28" spans="1:34">
      <c r="A28" s="111"/>
      <c r="AH28" s="112"/>
    </row>
    <row r="29" spans="1:34">
      <c r="A29" s="111"/>
      <c r="AH29" s="112"/>
    </row>
    <row r="30" spans="1:34">
      <c r="A30" s="111"/>
      <c r="B30" s="90" t="s">
        <v>41</v>
      </c>
      <c r="M30" s="737"/>
      <c r="N30" s="737"/>
      <c r="O30" s="737"/>
      <c r="AH30" s="112"/>
    </row>
    <row r="31" spans="1:34">
      <c r="A31" s="111"/>
      <c r="B31" s="90" t="s">
        <v>225</v>
      </c>
      <c r="AH31" s="112"/>
    </row>
    <row r="32" spans="1:34">
      <c r="A32" s="111"/>
      <c r="B32" s="90" t="s">
        <v>740</v>
      </c>
      <c r="C32" s="90" t="s">
        <v>110</v>
      </c>
      <c r="AH32" s="112"/>
    </row>
    <row r="33" spans="1:34">
      <c r="A33" s="111"/>
      <c r="AH33" s="112"/>
    </row>
    <row r="34" spans="1:34">
      <c r="A34" s="111"/>
      <c r="AH34" s="112"/>
    </row>
    <row r="35" spans="1:34">
      <c r="A35" s="738" t="s">
        <v>42</v>
      </c>
      <c r="B35" s="739"/>
      <c r="C35" s="739"/>
      <c r="D35" s="739"/>
      <c r="E35" s="739"/>
      <c r="F35" s="739"/>
      <c r="G35" s="739"/>
      <c r="H35" s="739"/>
      <c r="I35" s="739"/>
      <c r="J35" s="739"/>
      <c r="K35" s="739"/>
      <c r="L35" s="739"/>
      <c r="M35" s="739"/>
      <c r="N35" s="739"/>
      <c r="O35" s="739"/>
      <c r="P35" s="739"/>
      <c r="Q35" s="739"/>
      <c r="R35" s="739"/>
      <c r="S35" s="739"/>
      <c r="T35" s="739"/>
      <c r="U35" s="739"/>
      <c r="V35" s="739"/>
      <c r="W35" s="739"/>
      <c r="X35" s="739"/>
      <c r="Y35" s="739"/>
      <c r="Z35" s="739"/>
      <c r="AA35" s="739"/>
      <c r="AB35" s="739"/>
      <c r="AC35" s="739"/>
      <c r="AD35" s="739"/>
      <c r="AE35" s="739"/>
      <c r="AF35" s="739"/>
      <c r="AG35" s="739"/>
      <c r="AH35" s="740"/>
    </row>
    <row r="36" spans="1:34">
      <c r="A36" s="111"/>
      <c r="M36" s="737"/>
      <c r="N36" s="737"/>
      <c r="O36" s="737"/>
      <c r="AH36" s="112"/>
    </row>
    <row r="37" spans="1:34">
      <c r="A37" s="111"/>
      <c r="B37" s="90" t="s">
        <v>226</v>
      </c>
      <c r="D37" s="90" t="s">
        <v>577</v>
      </c>
      <c r="E37" s="90" t="s">
        <v>578</v>
      </c>
      <c r="F37" s="90" t="s">
        <v>678</v>
      </c>
      <c r="M37" s="737"/>
      <c r="N37" s="737"/>
      <c r="O37" s="737"/>
      <c r="AH37" s="112"/>
    </row>
    <row r="38" spans="1:34">
      <c r="A38" s="111"/>
      <c r="B38" s="90" t="s">
        <v>741</v>
      </c>
      <c r="C38" s="90" t="s">
        <v>742</v>
      </c>
      <c r="D38" s="90" t="s">
        <v>743</v>
      </c>
      <c r="E38" s="90" t="s">
        <v>728</v>
      </c>
      <c r="M38" s="737"/>
      <c r="N38" s="737"/>
      <c r="O38" s="737"/>
      <c r="AH38" s="112"/>
    </row>
    <row r="39" spans="1:34">
      <c r="A39" s="111"/>
      <c r="B39" s="90" t="s">
        <v>744</v>
      </c>
      <c r="C39" s="90" t="s">
        <v>731</v>
      </c>
      <c r="D39" s="90" t="s">
        <v>738</v>
      </c>
      <c r="E39" s="90" t="s">
        <v>745</v>
      </c>
      <c r="F39" s="90" t="s">
        <v>746</v>
      </c>
      <c r="AH39" s="112"/>
    </row>
    <row r="40" spans="1:34">
      <c r="A40" s="111"/>
      <c r="B40" s="90" t="s">
        <v>230</v>
      </c>
      <c r="C40" s="90" t="s">
        <v>650</v>
      </c>
      <c r="D40" s="90" t="s">
        <v>735</v>
      </c>
      <c r="E40" s="90" t="s">
        <v>110</v>
      </c>
      <c r="AH40" s="112"/>
    </row>
    <row r="41" spans="1:34">
      <c r="A41" s="111"/>
      <c r="B41" s="90" t="s">
        <v>231</v>
      </c>
      <c r="C41" s="90" t="s">
        <v>111</v>
      </c>
      <c r="D41" s="90" t="s">
        <v>735</v>
      </c>
      <c r="E41" s="90" t="s">
        <v>111</v>
      </c>
      <c r="AH41" s="112"/>
    </row>
    <row r="42" spans="1:34">
      <c r="A42" s="111"/>
      <c r="AH42" s="112"/>
    </row>
    <row r="43" spans="1:34">
      <c r="A43" s="111"/>
      <c r="B43" s="90" t="s">
        <v>747</v>
      </c>
      <c r="AH43" s="112"/>
    </row>
    <row r="44" spans="1:34">
      <c r="A44" s="111"/>
      <c r="AH44" s="112"/>
    </row>
    <row r="45" spans="1:34">
      <c r="A45" s="111"/>
      <c r="B45" s="90" t="s">
        <v>580</v>
      </c>
      <c r="AH45" s="112"/>
    </row>
    <row r="46" spans="1:34">
      <c r="A46" s="111"/>
      <c r="AH46" s="112"/>
    </row>
    <row r="47" spans="1:34">
      <c r="A47" s="111"/>
      <c r="B47" s="90" t="s">
        <v>748</v>
      </c>
      <c r="AH47" s="112"/>
    </row>
    <row r="48" spans="1:34">
      <c r="A48" s="111"/>
      <c r="AH48" s="112"/>
    </row>
    <row r="49" spans="1:34">
      <c r="A49" s="111"/>
      <c r="B49" s="90" t="s">
        <v>684</v>
      </c>
      <c r="AH49" s="112"/>
    </row>
    <row r="50" spans="1:34">
      <c r="A50" s="111"/>
      <c r="AH50" s="112"/>
    </row>
    <row r="51" spans="1:34">
      <c r="A51" s="111"/>
      <c r="C51" s="90" t="s">
        <v>749</v>
      </c>
      <c r="AH51" s="112"/>
    </row>
    <row r="52" spans="1:34">
      <c r="A52" s="111"/>
      <c r="D52" s="90" t="s">
        <v>750</v>
      </c>
      <c r="AH52" s="112"/>
    </row>
    <row r="53" spans="1:34">
      <c r="A53" s="111"/>
      <c r="D53" s="90" t="s">
        <v>751</v>
      </c>
      <c r="AH53" s="112"/>
    </row>
    <row r="54" spans="1:34">
      <c r="A54" s="111"/>
      <c r="D54" s="90" t="s">
        <v>752</v>
      </c>
      <c r="AH54" s="112"/>
    </row>
    <row r="55" spans="1:34">
      <c r="A55" s="111"/>
      <c r="D55" s="90" t="s">
        <v>586</v>
      </c>
      <c r="AH55" s="112"/>
    </row>
    <row r="56" spans="1:34">
      <c r="A56" s="111"/>
      <c r="D56" s="90" t="s">
        <v>753</v>
      </c>
      <c r="AH56" s="112"/>
    </row>
    <row r="57" spans="1:34">
      <c r="A57" s="111"/>
      <c r="D57" s="90" t="s">
        <v>737</v>
      </c>
      <c r="AH57" s="112"/>
    </row>
    <row r="58" spans="1:34">
      <c r="A58" s="111"/>
      <c r="D58" s="90" t="s">
        <v>754</v>
      </c>
      <c r="AH58" s="112"/>
    </row>
    <row r="59" spans="1:34">
      <c r="A59" s="111"/>
      <c r="D59" s="90" t="s">
        <v>755</v>
      </c>
      <c r="E59" s="90" t="s">
        <v>756</v>
      </c>
      <c r="F59" s="90" t="s">
        <v>757</v>
      </c>
      <c r="M59" s="737"/>
      <c r="N59" s="737"/>
      <c r="O59" s="737"/>
      <c r="AH59" s="112"/>
    </row>
    <row r="60" spans="1:34">
      <c r="A60" s="111"/>
      <c r="D60" s="90" t="s">
        <v>748</v>
      </c>
      <c r="AH60" s="112"/>
    </row>
    <row r="61" spans="1:34">
      <c r="A61" s="111"/>
      <c r="D61" s="90" t="s">
        <v>758</v>
      </c>
      <c r="AH61" s="112"/>
    </row>
    <row r="62" spans="1:34">
      <c r="A62" s="111"/>
      <c r="D62" s="90" t="s">
        <v>759</v>
      </c>
      <c r="AH62" s="112"/>
    </row>
    <row r="63" spans="1:34">
      <c r="A63" s="111"/>
      <c r="C63" s="90" t="s">
        <v>760</v>
      </c>
      <c r="AH63" s="112"/>
    </row>
    <row r="64" spans="1:34">
      <c r="A64" s="111"/>
      <c r="AH64" s="112"/>
    </row>
    <row r="65" spans="1:34">
      <c r="A65" s="111"/>
      <c r="AH65" s="112"/>
    </row>
    <row r="66" spans="1:34">
      <c r="A66" s="738" t="s">
        <v>43</v>
      </c>
      <c r="B66" s="739"/>
      <c r="C66" s="739"/>
      <c r="D66" s="739"/>
      <c r="E66" s="739"/>
      <c r="F66" s="739"/>
      <c r="G66" s="739"/>
      <c r="H66" s="739"/>
      <c r="I66" s="739"/>
      <c r="J66" s="739"/>
      <c r="K66" s="739"/>
      <c r="L66" s="739"/>
      <c r="M66" s="739"/>
      <c r="N66" s="739"/>
      <c r="O66" s="739"/>
      <c r="P66" s="739"/>
      <c r="Q66" s="739"/>
      <c r="R66" s="739"/>
      <c r="S66" s="739"/>
      <c r="T66" s="739"/>
      <c r="U66" s="739"/>
      <c r="V66" s="739"/>
      <c r="W66" s="739"/>
      <c r="X66" s="739"/>
      <c r="Y66" s="739"/>
      <c r="Z66" s="739"/>
      <c r="AA66" s="739"/>
      <c r="AB66" s="739"/>
      <c r="AC66" s="739"/>
      <c r="AD66" s="739"/>
      <c r="AE66" s="739"/>
      <c r="AF66" s="739"/>
      <c r="AG66" s="739"/>
      <c r="AH66" s="740"/>
    </row>
    <row r="67" spans="1:34">
      <c r="A67" s="111"/>
      <c r="M67" s="737"/>
      <c r="N67" s="737"/>
      <c r="O67" s="737"/>
      <c r="AH67" s="112"/>
    </row>
    <row r="68" spans="1:34">
      <c r="A68" s="111"/>
      <c r="B68" s="90" t="s">
        <v>44</v>
      </c>
      <c r="AH68" s="112"/>
    </row>
    <row r="69" spans="1:34">
      <c r="A69" s="113"/>
      <c r="B69" s="114"/>
      <c r="C69" s="114"/>
      <c r="D69" s="114"/>
      <c r="E69" s="114"/>
      <c r="F69" s="114"/>
      <c r="G69" s="114"/>
      <c r="H69" s="114"/>
      <c r="I69" s="114"/>
      <c r="J69" s="114"/>
      <c r="K69" s="114"/>
      <c r="L69" s="114"/>
      <c r="M69" s="742"/>
      <c r="N69" s="742"/>
      <c r="O69" s="742"/>
      <c r="P69" s="114"/>
      <c r="Q69" s="114"/>
      <c r="R69" s="114"/>
      <c r="S69" s="114"/>
      <c r="T69" s="114"/>
      <c r="U69" s="114"/>
      <c r="V69" s="114"/>
      <c r="W69" s="114"/>
      <c r="X69" s="114"/>
      <c r="Y69" s="114"/>
      <c r="Z69" s="114"/>
      <c r="AA69" s="114"/>
      <c r="AB69" s="114"/>
      <c r="AC69" s="114"/>
      <c r="AD69" s="114"/>
      <c r="AE69" s="114"/>
      <c r="AF69" s="114"/>
      <c r="AG69" s="114"/>
      <c r="AH69" s="115"/>
    </row>
  </sheetData>
  <autoFilter ref="A9:AH52"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45">
    <mergeCell ref="M38:O38"/>
    <mergeCell ref="M59:O59"/>
    <mergeCell ref="A66:AH66"/>
    <mergeCell ref="M67:O67"/>
    <mergeCell ref="M69:O69"/>
    <mergeCell ref="M37:O37"/>
    <mergeCell ref="M12:O12"/>
    <mergeCell ref="M13:O13"/>
    <mergeCell ref="A14:AH14"/>
    <mergeCell ref="M15:O15"/>
    <mergeCell ref="M16:O16"/>
    <mergeCell ref="M17:O17"/>
    <mergeCell ref="M19:O19"/>
    <mergeCell ref="M22:O22"/>
    <mergeCell ref="M30:O30"/>
    <mergeCell ref="A35:AH35"/>
    <mergeCell ref="M36:O36"/>
    <mergeCell ref="M11:O11"/>
    <mergeCell ref="A6:B6"/>
    <mergeCell ref="C6:D6"/>
    <mergeCell ref="E6:F6"/>
    <mergeCell ref="G6:AH6"/>
    <mergeCell ref="A8:A9"/>
    <mergeCell ref="B8:C9"/>
    <mergeCell ref="D8:D9"/>
    <mergeCell ref="E8:E9"/>
    <mergeCell ref="F8:H8"/>
    <mergeCell ref="J8:J9"/>
    <mergeCell ref="K8:O8"/>
    <mergeCell ref="P8:AA9"/>
    <mergeCell ref="AB8:AH9"/>
    <mergeCell ref="M9:O9"/>
    <mergeCell ref="M10:O10"/>
    <mergeCell ref="AC1:AH1"/>
    <mergeCell ref="A4:B4"/>
    <mergeCell ref="M4:Q4"/>
    <mergeCell ref="R4:W4"/>
    <mergeCell ref="X4:AB4"/>
    <mergeCell ref="AC4:AH4"/>
    <mergeCell ref="A1:B1"/>
    <mergeCell ref="C1:D1"/>
    <mergeCell ref="E1:L4"/>
    <mergeCell ref="M1:Q1"/>
    <mergeCell ref="R1:W1"/>
    <mergeCell ref="X1:AB1"/>
  </mergeCells>
  <phoneticPr fontId="15"/>
  <dataValidations count="1">
    <dataValidation imeMode="on" allowBlank="1" showInputMessage="1" showErrorMessage="1" sqref="C10:C13 C67:C69 C15:C22 C36:C65 C30:C34" xr:uid="{39A0C331-6463-4282-8289-9478397DDDC9}"/>
  </dataValidations>
  <pageMargins left="0.19685039370078741" right="0.19685039370078741" top="0.39370078740157483" bottom="0.39370078740157483" header="0" footer="0.19685039370078741"/>
  <pageSetup paperSize="9" scale="69"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5DBD5-D106-46B2-9C0E-99D6586D8D92}">
  <sheetPr>
    <pageSetUpPr fitToPage="1"/>
  </sheetPr>
  <dimension ref="A1:AH63"/>
  <sheetViews>
    <sheetView showGridLines="0" view="pageBreakPreview" zoomScale="85" zoomScaleNormal="70" zoomScaleSheetLayoutView="85" workbookViewId="0">
      <pane ySplit="6" topLeftCell="A7" activePane="bottomLeft" state="frozen"/>
      <selection pane="bottomLeft" activeCell="A7" sqref="A7"/>
    </sheetView>
  </sheetViews>
  <sheetFormatPr defaultColWidth="9" defaultRowHeight="15.75"/>
  <cols>
    <col min="1" max="1" width="4.375" style="44" customWidth="1"/>
    <col min="2" max="2" width="29.75" style="44" bestFit="1" customWidth="1"/>
    <col min="3" max="3" width="19.375" style="44" customWidth="1"/>
    <col min="4" max="5" width="9" style="44" customWidth="1"/>
    <col min="6" max="6" width="5.875" style="44" customWidth="1"/>
    <col min="7" max="7" width="3.875" style="44" customWidth="1"/>
    <col min="8" max="8" width="9" style="44" customWidth="1"/>
    <col min="9" max="9" width="1.125" style="44" customWidth="1"/>
    <col min="10" max="10" width="9" style="44" customWidth="1"/>
    <col min="11" max="11" width="11.75" style="44" customWidth="1"/>
    <col min="12" max="12" width="9" style="44" customWidth="1"/>
    <col min="13" max="34" width="3.125" style="44" customWidth="1"/>
    <col min="35" max="16384" width="9" style="44"/>
  </cols>
  <sheetData>
    <row r="1" spans="1:34" ht="15.75" customHeight="1">
      <c r="A1" s="584"/>
      <c r="B1" s="584"/>
      <c r="C1" s="586"/>
      <c r="D1" s="586"/>
      <c r="E1" s="587"/>
      <c r="F1" s="587"/>
      <c r="G1" s="587"/>
      <c r="H1" s="587"/>
      <c r="I1" s="587"/>
      <c r="J1" s="587"/>
      <c r="K1" s="587"/>
      <c r="L1" s="587"/>
      <c r="M1" s="584"/>
      <c r="N1" s="584"/>
      <c r="O1" s="584"/>
      <c r="P1" s="584"/>
      <c r="Q1" s="584"/>
      <c r="R1" s="588"/>
      <c r="S1" s="583"/>
      <c r="T1" s="583"/>
      <c r="U1" s="583"/>
      <c r="V1" s="583"/>
      <c r="W1" s="583"/>
      <c r="X1" s="584"/>
      <c r="Y1" s="584"/>
      <c r="Z1" s="584"/>
      <c r="AA1" s="584"/>
      <c r="AB1" s="584"/>
      <c r="AC1" s="583"/>
      <c r="AD1" s="583"/>
      <c r="AE1" s="583"/>
      <c r="AF1" s="583"/>
      <c r="AG1" s="583"/>
      <c r="AH1" s="583"/>
    </row>
    <row r="2" spans="1:34" ht="15.75" customHeight="1">
      <c r="A2" s="45"/>
      <c r="B2" s="45"/>
      <c r="C2" s="46"/>
      <c r="D2" s="46"/>
      <c r="E2" s="587"/>
      <c r="F2" s="587"/>
      <c r="G2" s="587"/>
      <c r="H2" s="587"/>
      <c r="I2" s="587"/>
      <c r="J2" s="587"/>
      <c r="K2" s="587"/>
      <c r="L2" s="587"/>
      <c r="M2" s="45"/>
      <c r="N2" s="45"/>
      <c r="O2" s="45"/>
      <c r="P2" s="45"/>
      <c r="Q2" s="45"/>
      <c r="R2" s="47"/>
      <c r="S2" s="48"/>
      <c r="T2" s="48"/>
      <c r="U2" s="48"/>
      <c r="V2" s="48"/>
      <c r="W2" s="48"/>
      <c r="X2" s="45"/>
      <c r="Y2" s="45"/>
      <c r="Z2" s="45"/>
      <c r="AA2" s="45"/>
      <c r="AB2" s="45"/>
      <c r="AC2" s="48"/>
      <c r="AD2" s="48"/>
      <c r="AE2" s="48"/>
      <c r="AF2" s="48"/>
      <c r="AG2" s="48"/>
      <c r="AH2" s="48"/>
    </row>
    <row r="3" spans="1:34" ht="15.75" customHeight="1">
      <c r="A3" s="45"/>
      <c r="B3" s="45"/>
      <c r="C3" s="46"/>
      <c r="D3" s="46"/>
      <c r="E3" s="587"/>
      <c r="F3" s="587"/>
      <c r="G3" s="587"/>
      <c r="H3" s="587"/>
      <c r="I3" s="587"/>
      <c r="J3" s="587"/>
      <c r="K3" s="587"/>
      <c r="L3" s="587"/>
      <c r="M3" s="45"/>
      <c r="N3" s="45"/>
      <c r="O3" s="45"/>
      <c r="P3" s="45"/>
      <c r="Q3" s="45"/>
      <c r="R3" s="47"/>
      <c r="S3" s="48"/>
      <c r="T3" s="48"/>
      <c r="U3" s="48"/>
      <c r="V3" s="48"/>
      <c r="W3" s="48"/>
      <c r="X3" s="45"/>
      <c r="Y3" s="45"/>
      <c r="Z3" s="45"/>
      <c r="AA3" s="45"/>
      <c r="AB3" s="45"/>
      <c r="AC3" s="48"/>
      <c r="AD3" s="48"/>
      <c r="AE3" s="48"/>
      <c r="AF3" s="48"/>
      <c r="AG3" s="48"/>
      <c r="AH3" s="48"/>
    </row>
    <row r="4" spans="1:34" ht="15.75" customHeight="1">
      <c r="A4" s="584"/>
      <c r="B4" s="584"/>
      <c r="C4" s="48"/>
      <c r="E4" s="587"/>
      <c r="F4" s="587"/>
      <c r="G4" s="587"/>
      <c r="H4" s="587"/>
      <c r="I4" s="587"/>
      <c r="J4" s="587"/>
      <c r="K4" s="587"/>
      <c r="L4" s="587"/>
      <c r="M4" s="584"/>
      <c r="N4" s="584"/>
      <c r="O4" s="584"/>
      <c r="P4" s="584"/>
      <c r="Q4" s="584"/>
      <c r="R4" s="585"/>
      <c r="S4" s="583"/>
      <c r="T4" s="583"/>
      <c r="U4" s="583"/>
      <c r="V4" s="583"/>
      <c r="W4" s="583"/>
      <c r="X4" s="584"/>
      <c r="Y4" s="584"/>
      <c r="Z4" s="584"/>
      <c r="AA4" s="584"/>
      <c r="AB4" s="584"/>
      <c r="AC4" s="583"/>
      <c r="AD4" s="583"/>
      <c r="AE4" s="583"/>
      <c r="AF4" s="583"/>
      <c r="AG4" s="583"/>
      <c r="AH4" s="583"/>
    </row>
    <row r="5" spans="1:34" ht="5.25" customHeight="1"/>
    <row r="6" spans="1:34">
      <c r="A6" s="590" t="s">
        <v>20</v>
      </c>
      <c r="B6" s="591"/>
      <c r="C6" s="592"/>
      <c r="D6" s="593"/>
      <c r="E6" s="594" t="s">
        <v>21</v>
      </c>
      <c r="F6" s="594"/>
      <c r="G6" s="708"/>
      <c r="H6" s="709"/>
      <c r="I6" s="709"/>
      <c r="J6" s="709"/>
      <c r="K6" s="709"/>
      <c r="L6" s="709"/>
      <c r="M6" s="709"/>
      <c r="N6" s="709"/>
      <c r="O6" s="709"/>
      <c r="P6" s="709"/>
      <c r="Q6" s="709"/>
      <c r="R6" s="709"/>
      <c r="S6" s="709"/>
      <c r="T6" s="709"/>
      <c r="U6" s="709"/>
      <c r="V6" s="709"/>
      <c r="W6" s="709"/>
      <c r="X6" s="709"/>
      <c r="Y6" s="709"/>
      <c r="Z6" s="709"/>
      <c r="AA6" s="709"/>
      <c r="AB6" s="709"/>
      <c r="AC6" s="709"/>
      <c r="AD6" s="709"/>
      <c r="AE6" s="709"/>
      <c r="AF6" s="709"/>
      <c r="AG6" s="709"/>
      <c r="AH6" s="710"/>
    </row>
    <row r="7" spans="1:34" ht="5.25" customHeight="1"/>
    <row r="8" spans="1:34">
      <c r="A8" s="598" t="s">
        <v>22</v>
      </c>
      <c r="B8" s="598" t="s">
        <v>23</v>
      </c>
      <c r="C8" s="598"/>
      <c r="D8" s="598" t="s">
        <v>24</v>
      </c>
      <c r="E8" s="600" t="s">
        <v>25</v>
      </c>
      <c r="F8" s="598" t="s">
        <v>26</v>
      </c>
      <c r="G8" s="598"/>
      <c r="H8" s="598"/>
      <c r="I8" s="49"/>
      <c r="J8" s="602" t="s">
        <v>27</v>
      </c>
      <c r="K8" s="598" t="s">
        <v>28</v>
      </c>
      <c r="L8" s="598"/>
      <c r="M8" s="598"/>
      <c r="N8" s="598"/>
      <c r="O8" s="598"/>
      <c r="P8" s="604" t="s">
        <v>29</v>
      </c>
      <c r="Q8" s="604"/>
      <c r="R8" s="604"/>
      <c r="S8" s="604"/>
      <c r="T8" s="604"/>
      <c r="U8" s="604"/>
      <c r="V8" s="604"/>
      <c r="W8" s="604"/>
      <c r="X8" s="604"/>
      <c r="Y8" s="604"/>
      <c r="Z8" s="604"/>
      <c r="AA8" s="604"/>
      <c r="AB8" s="604" t="s">
        <v>30</v>
      </c>
      <c r="AC8" s="604"/>
      <c r="AD8" s="604"/>
      <c r="AE8" s="604"/>
      <c r="AF8" s="604"/>
      <c r="AG8" s="604"/>
      <c r="AH8" s="604"/>
    </row>
    <row r="9" spans="1:34" ht="16.5" thickBot="1">
      <c r="A9" s="599"/>
      <c r="B9" s="599"/>
      <c r="C9" s="599"/>
      <c r="D9" s="599"/>
      <c r="E9" s="601"/>
      <c r="F9" s="50" t="s">
        <v>31</v>
      </c>
      <c r="G9" s="51" t="s">
        <v>32</v>
      </c>
      <c r="H9" s="52" t="s">
        <v>33</v>
      </c>
      <c r="I9" s="53"/>
      <c r="J9" s="603"/>
      <c r="K9" s="50" t="s">
        <v>34</v>
      </c>
      <c r="L9" s="51" t="s">
        <v>35</v>
      </c>
      <c r="M9" s="606" t="s">
        <v>36</v>
      </c>
      <c r="N9" s="606"/>
      <c r="O9" s="607"/>
      <c r="P9" s="605"/>
      <c r="Q9" s="605"/>
      <c r="R9" s="605"/>
      <c r="S9" s="605"/>
      <c r="T9" s="605"/>
      <c r="U9" s="605"/>
      <c r="V9" s="605"/>
      <c r="W9" s="605"/>
      <c r="X9" s="605"/>
      <c r="Y9" s="605"/>
      <c r="Z9" s="605"/>
      <c r="AA9" s="605"/>
      <c r="AB9" s="605"/>
      <c r="AC9" s="605"/>
      <c r="AD9" s="605"/>
      <c r="AE9" s="605"/>
      <c r="AF9" s="605"/>
      <c r="AG9" s="605"/>
      <c r="AH9" s="605"/>
    </row>
    <row r="10" spans="1:34" ht="16.5" thickTop="1">
      <c r="A10" s="54" t="str">
        <f>+IF(C10&lt;&gt;"",ROW()-9,"")</f>
        <v/>
      </c>
      <c r="B10" s="55"/>
      <c r="C10" s="55"/>
      <c r="D10" s="56"/>
      <c r="E10" s="57"/>
      <c r="F10" s="57"/>
      <c r="G10" s="57"/>
      <c r="H10" s="57"/>
      <c r="I10" s="54"/>
      <c r="J10" s="58"/>
      <c r="K10" s="57"/>
      <c r="L10" s="57"/>
      <c r="M10" s="589"/>
      <c r="N10" s="589"/>
      <c r="O10" s="589"/>
      <c r="P10" s="59"/>
      <c r="Q10" s="59"/>
      <c r="R10" s="59"/>
      <c r="S10" s="59"/>
      <c r="T10" s="59"/>
      <c r="U10" s="59"/>
      <c r="V10" s="59"/>
      <c r="W10" s="59"/>
      <c r="X10" s="59"/>
      <c r="Y10" s="59"/>
      <c r="Z10" s="59"/>
      <c r="AA10" s="59"/>
      <c r="AB10" s="60"/>
      <c r="AC10" s="59"/>
      <c r="AD10" s="59"/>
      <c r="AE10" s="59"/>
      <c r="AF10" s="59"/>
      <c r="AG10" s="59"/>
      <c r="AH10" s="58"/>
    </row>
    <row r="11" spans="1:34">
      <c r="A11" s="57" t="str">
        <f t="shared" ref="A11:A14" si="0">+IF(C11&lt;&gt;"",ROW()-9,"")</f>
        <v/>
      </c>
      <c r="B11" s="57"/>
      <c r="C11" s="57"/>
      <c r="D11" s="56"/>
      <c r="E11" s="57"/>
      <c r="F11" s="57"/>
      <c r="G11" s="57"/>
      <c r="H11" s="57"/>
      <c r="I11" s="54"/>
      <c r="J11" s="58"/>
      <c r="K11" s="57"/>
      <c r="L11" s="57"/>
      <c r="M11" s="589"/>
      <c r="N11" s="589"/>
      <c r="O11" s="589"/>
      <c r="P11" s="54"/>
      <c r="Q11" s="59"/>
      <c r="R11" s="59"/>
      <c r="S11" s="59"/>
      <c r="T11" s="59"/>
      <c r="U11" s="59"/>
      <c r="V11" s="59"/>
      <c r="W11" s="59"/>
      <c r="X11" s="59"/>
      <c r="Y11" s="59"/>
      <c r="Z11" s="59"/>
      <c r="AA11" s="59"/>
      <c r="AB11" s="54"/>
      <c r="AC11" s="59"/>
      <c r="AD11" s="59"/>
      <c r="AE11" s="59"/>
      <c r="AF11" s="59"/>
      <c r="AG11" s="59"/>
      <c r="AH11" s="58"/>
    </row>
    <row r="12" spans="1:34">
      <c r="A12" s="57" t="str">
        <f t="shared" si="0"/>
        <v/>
      </c>
      <c r="B12" s="57"/>
      <c r="C12" s="57"/>
      <c r="D12" s="56"/>
      <c r="E12" s="57"/>
      <c r="F12" s="57"/>
      <c r="G12" s="57"/>
      <c r="H12" s="57"/>
      <c r="I12" s="54"/>
      <c r="J12" s="58"/>
      <c r="K12" s="57"/>
      <c r="L12" s="57"/>
      <c r="M12" s="589"/>
      <c r="N12" s="589"/>
      <c r="O12" s="589"/>
      <c r="P12" s="54"/>
      <c r="Q12" s="59"/>
      <c r="R12" s="59"/>
      <c r="S12" s="59"/>
      <c r="T12" s="59"/>
      <c r="U12" s="59"/>
      <c r="V12" s="59"/>
      <c r="W12" s="59"/>
      <c r="X12" s="59"/>
      <c r="Y12" s="59"/>
      <c r="Z12" s="59"/>
      <c r="AA12" s="59"/>
      <c r="AB12" s="54"/>
      <c r="AC12" s="59"/>
      <c r="AD12" s="59"/>
      <c r="AE12" s="59"/>
      <c r="AF12" s="59"/>
      <c r="AG12" s="59"/>
      <c r="AH12" s="58"/>
    </row>
    <row r="13" spans="1:34">
      <c r="A13" s="57" t="str">
        <f t="shared" si="0"/>
        <v/>
      </c>
      <c r="B13" s="57"/>
      <c r="C13" s="57"/>
      <c r="D13" s="56"/>
      <c r="E13" s="57"/>
      <c r="F13" s="57"/>
      <c r="G13" s="57"/>
      <c r="H13" s="57"/>
      <c r="I13" s="54"/>
      <c r="J13" s="58"/>
      <c r="K13" s="57"/>
      <c r="L13" s="57"/>
      <c r="M13" s="589"/>
      <c r="N13" s="589"/>
      <c r="O13" s="589"/>
      <c r="P13" s="54"/>
      <c r="Q13" s="59"/>
      <c r="R13" s="59"/>
      <c r="S13" s="59"/>
      <c r="T13" s="59"/>
      <c r="U13" s="59"/>
      <c r="V13" s="59"/>
      <c r="W13" s="59"/>
      <c r="X13" s="59"/>
      <c r="Y13" s="59"/>
      <c r="Z13" s="59"/>
      <c r="AA13" s="59"/>
      <c r="AB13" s="54"/>
      <c r="AC13" s="59"/>
      <c r="AD13" s="59"/>
      <c r="AE13" s="59"/>
      <c r="AF13" s="59"/>
      <c r="AG13" s="59"/>
      <c r="AH13" s="58"/>
    </row>
    <row r="14" spans="1:34">
      <c r="A14" s="61" t="str">
        <f t="shared" si="0"/>
        <v/>
      </c>
      <c r="B14" s="62"/>
      <c r="C14" s="62"/>
      <c r="D14" s="63"/>
      <c r="E14" s="61"/>
      <c r="F14" s="61"/>
      <c r="G14" s="61"/>
      <c r="H14" s="61"/>
      <c r="I14" s="64"/>
      <c r="J14" s="65"/>
      <c r="K14" s="61"/>
      <c r="L14" s="61"/>
      <c r="M14" s="711"/>
      <c r="N14" s="711"/>
      <c r="O14" s="711"/>
      <c r="P14" s="64"/>
      <c r="Q14" s="66"/>
      <c r="R14" s="66"/>
      <c r="S14" s="66"/>
      <c r="T14" s="66"/>
      <c r="U14" s="66"/>
      <c r="V14" s="66"/>
      <c r="W14" s="66"/>
      <c r="X14" s="66"/>
      <c r="Y14" s="66"/>
      <c r="Z14" s="66"/>
      <c r="AA14" s="66"/>
      <c r="AB14" s="64"/>
      <c r="AC14" s="66"/>
      <c r="AD14" s="66"/>
      <c r="AE14" s="66"/>
      <c r="AF14" s="66"/>
      <c r="AG14" s="66"/>
      <c r="AH14" s="65"/>
    </row>
    <row r="15" spans="1:34">
      <c r="A15" s="608" t="s">
        <v>37</v>
      </c>
      <c r="B15" s="609"/>
      <c r="C15" s="609"/>
      <c r="D15" s="609"/>
      <c r="E15" s="609"/>
      <c r="F15" s="609"/>
      <c r="G15" s="609"/>
      <c r="H15" s="609"/>
      <c r="I15" s="609"/>
      <c r="J15" s="609"/>
      <c r="K15" s="609"/>
      <c r="L15" s="609"/>
      <c r="M15" s="609"/>
      <c r="N15" s="609"/>
      <c r="O15" s="609"/>
      <c r="P15" s="609"/>
      <c r="Q15" s="609"/>
      <c r="R15" s="609"/>
      <c r="S15" s="609"/>
      <c r="T15" s="609"/>
      <c r="U15" s="609"/>
      <c r="V15" s="609"/>
      <c r="W15" s="609"/>
      <c r="X15" s="609"/>
      <c r="Y15" s="609"/>
      <c r="Z15" s="609"/>
      <c r="AA15" s="609"/>
      <c r="AB15" s="609"/>
      <c r="AC15" s="609"/>
      <c r="AD15" s="609"/>
      <c r="AE15" s="609"/>
      <c r="AF15" s="609"/>
      <c r="AG15" s="609"/>
      <c r="AH15" s="610"/>
    </row>
    <row r="16" spans="1:34">
      <c r="A16" s="67"/>
      <c r="B16" s="68"/>
      <c r="C16" s="68"/>
      <c r="D16" s="69"/>
      <c r="E16" s="68"/>
      <c r="F16" s="68"/>
      <c r="G16" s="68"/>
      <c r="H16" s="68"/>
      <c r="I16" s="68"/>
      <c r="J16" s="68"/>
      <c r="K16" s="68"/>
      <c r="L16" s="68"/>
      <c r="M16" s="611"/>
      <c r="N16" s="611"/>
      <c r="O16" s="611"/>
      <c r="P16" s="68"/>
      <c r="Q16" s="68"/>
      <c r="R16" s="68"/>
      <c r="S16" s="68"/>
      <c r="T16" s="68"/>
      <c r="U16" s="68"/>
      <c r="V16" s="68"/>
      <c r="W16" s="68"/>
      <c r="X16" s="68"/>
      <c r="Y16" s="68"/>
      <c r="Z16" s="68"/>
      <c r="AA16" s="68"/>
      <c r="AB16" s="68"/>
      <c r="AC16" s="68"/>
      <c r="AD16" s="68"/>
      <c r="AE16" s="68"/>
      <c r="AF16" s="68"/>
      <c r="AG16" s="68"/>
      <c r="AH16" s="70"/>
    </row>
    <row r="17" spans="1:34">
      <c r="A17" s="71"/>
      <c r="B17" s="44" t="s">
        <v>38</v>
      </c>
      <c r="M17" s="612"/>
      <c r="N17" s="612"/>
      <c r="O17" s="612"/>
      <c r="AH17" s="72"/>
    </row>
    <row r="18" spans="1:34">
      <c r="A18" s="71"/>
      <c r="D18" s="48"/>
      <c r="M18" s="612"/>
      <c r="N18" s="612"/>
      <c r="O18" s="612"/>
      <c r="AH18" s="72"/>
    </row>
    <row r="19" spans="1:34">
      <c r="A19" s="71"/>
      <c r="D19" s="48"/>
      <c r="AH19" s="72"/>
    </row>
    <row r="20" spans="1:34">
      <c r="A20" s="71"/>
      <c r="M20" s="612"/>
      <c r="N20" s="612"/>
      <c r="O20" s="612"/>
      <c r="AH20" s="72"/>
    </row>
    <row r="21" spans="1:34">
      <c r="A21" s="71"/>
      <c r="B21" s="44" t="s">
        <v>39</v>
      </c>
      <c r="M21" s="612"/>
      <c r="N21" s="612"/>
      <c r="O21" s="612"/>
      <c r="AH21" s="72"/>
    </row>
    <row r="22" spans="1:34">
      <c r="A22" s="71"/>
      <c r="AH22" s="72"/>
    </row>
    <row r="23" spans="1:34">
      <c r="A23" s="71"/>
      <c r="AH23" s="72"/>
    </row>
    <row r="24" spans="1:34">
      <c r="A24" s="71"/>
      <c r="AH24" s="72"/>
    </row>
    <row r="25" spans="1:34">
      <c r="A25" s="71"/>
      <c r="B25" s="44" t="s">
        <v>41</v>
      </c>
      <c r="M25" s="612"/>
      <c r="N25" s="612"/>
      <c r="O25" s="612"/>
      <c r="AH25" s="72"/>
    </row>
    <row r="26" spans="1:34">
      <c r="A26" s="71"/>
      <c r="AH26" s="72"/>
    </row>
    <row r="27" spans="1:34">
      <c r="A27" s="608" t="s">
        <v>42</v>
      </c>
      <c r="B27" s="609"/>
      <c r="C27" s="609"/>
      <c r="D27" s="609"/>
      <c r="E27" s="609"/>
      <c r="F27" s="609"/>
      <c r="G27" s="609"/>
      <c r="H27" s="609"/>
      <c r="I27" s="609"/>
      <c r="J27" s="609"/>
      <c r="K27" s="609"/>
      <c r="L27" s="609"/>
      <c r="M27" s="609"/>
      <c r="N27" s="609"/>
      <c r="O27" s="609"/>
      <c r="P27" s="609"/>
      <c r="Q27" s="609"/>
      <c r="R27" s="609"/>
      <c r="S27" s="609"/>
      <c r="T27" s="609"/>
      <c r="U27" s="609"/>
      <c r="V27" s="609"/>
      <c r="W27" s="609"/>
      <c r="X27" s="609"/>
      <c r="Y27" s="609"/>
      <c r="Z27" s="609"/>
      <c r="AA27" s="609"/>
      <c r="AB27" s="609"/>
      <c r="AC27" s="609"/>
      <c r="AD27" s="609"/>
      <c r="AE27" s="609"/>
      <c r="AF27" s="609"/>
      <c r="AG27" s="609"/>
      <c r="AH27" s="610"/>
    </row>
    <row r="28" spans="1:34">
      <c r="A28" s="71"/>
      <c r="M28" s="612"/>
      <c r="N28" s="612"/>
      <c r="O28" s="612"/>
      <c r="AH28" s="72"/>
    </row>
    <row r="29" spans="1:34">
      <c r="A29" s="71"/>
      <c r="M29" s="612"/>
      <c r="N29" s="612"/>
      <c r="O29" s="612"/>
      <c r="AH29" s="72"/>
    </row>
    <row r="30" spans="1:34">
      <c r="A30" s="71"/>
      <c r="M30" s="612"/>
      <c r="N30" s="612"/>
      <c r="O30" s="612"/>
      <c r="AH30" s="72"/>
    </row>
    <row r="31" spans="1:34">
      <c r="A31" s="71"/>
      <c r="AH31" s="72"/>
    </row>
    <row r="32" spans="1:34">
      <c r="A32" s="71"/>
      <c r="AH32" s="72"/>
    </row>
    <row r="33" spans="1:34">
      <c r="A33" s="71"/>
      <c r="AH33" s="72"/>
    </row>
    <row r="34" spans="1:34">
      <c r="A34" s="71"/>
      <c r="AH34" s="72"/>
    </row>
    <row r="35" spans="1:34">
      <c r="A35" s="71"/>
      <c r="AH35" s="72"/>
    </row>
    <row r="36" spans="1:34">
      <c r="A36" s="71"/>
      <c r="AH36" s="72"/>
    </row>
    <row r="37" spans="1:34">
      <c r="A37" s="71"/>
      <c r="AH37" s="72"/>
    </row>
    <row r="38" spans="1:34">
      <c r="A38" s="71"/>
      <c r="AH38" s="72"/>
    </row>
    <row r="39" spans="1:34">
      <c r="A39" s="71"/>
      <c r="AH39" s="72"/>
    </row>
    <row r="40" spans="1:34">
      <c r="A40" s="71"/>
      <c r="AH40" s="72"/>
    </row>
    <row r="41" spans="1:34">
      <c r="A41" s="71"/>
      <c r="AH41" s="72"/>
    </row>
    <row r="42" spans="1:34">
      <c r="A42" s="71"/>
      <c r="AH42" s="72"/>
    </row>
    <row r="43" spans="1:34">
      <c r="A43" s="71"/>
      <c r="AH43" s="72"/>
    </row>
    <row r="44" spans="1:34">
      <c r="A44" s="71"/>
      <c r="AH44" s="72"/>
    </row>
    <row r="45" spans="1:34">
      <c r="A45" s="71"/>
      <c r="AH45" s="72"/>
    </row>
    <row r="46" spans="1:34">
      <c r="A46" s="71"/>
      <c r="AH46" s="72"/>
    </row>
    <row r="47" spans="1:34">
      <c r="A47" s="71"/>
      <c r="AH47" s="72"/>
    </row>
    <row r="48" spans="1:34">
      <c r="A48" s="71"/>
      <c r="AH48" s="72"/>
    </row>
    <row r="49" spans="1:34">
      <c r="A49" s="71"/>
      <c r="AH49" s="72"/>
    </row>
    <row r="50" spans="1:34">
      <c r="A50" s="71"/>
      <c r="AH50" s="72"/>
    </row>
    <row r="51" spans="1:34">
      <c r="A51" s="71"/>
      <c r="M51" s="612"/>
      <c r="N51" s="612"/>
      <c r="O51" s="612"/>
      <c r="AH51" s="72"/>
    </row>
    <row r="52" spans="1:34">
      <c r="A52" s="71"/>
      <c r="AH52" s="72"/>
    </row>
    <row r="53" spans="1:34">
      <c r="A53" s="71"/>
      <c r="AH53" s="72"/>
    </row>
    <row r="54" spans="1:34">
      <c r="A54" s="71"/>
      <c r="AH54" s="72"/>
    </row>
    <row r="55" spans="1:34">
      <c r="A55" s="71"/>
      <c r="AH55" s="72"/>
    </row>
    <row r="56" spans="1:34">
      <c r="A56" s="608" t="s">
        <v>43</v>
      </c>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10"/>
    </row>
    <row r="57" spans="1:34">
      <c r="A57" s="71"/>
      <c r="M57" s="612"/>
      <c r="N57" s="612"/>
      <c r="O57" s="612"/>
      <c r="AH57" s="72"/>
    </row>
    <row r="58" spans="1:34">
      <c r="A58" s="71"/>
      <c r="B58" s="44" t="s">
        <v>44</v>
      </c>
      <c r="AH58" s="72"/>
    </row>
    <row r="59" spans="1:34">
      <c r="A59" s="73"/>
      <c r="B59" s="74"/>
      <c r="C59" s="74"/>
      <c r="D59" s="74"/>
      <c r="E59" s="74"/>
      <c r="F59" s="74"/>
      <c r="G59" s="74"/>
      <c r="H59" s="74"/>
      <c r="I59" s="74"/>
      <c r="J59" s="74"/>
      <c r="K59" s="74"/>
      <c r="L59" s="74"/>
      <c r="M59" s="613"/>
      <c r="N59" s="613"/>
      <c r="O59" s="613"/>
      <c r="P59" s="74"/>
      <c r="Q59" s="74"/>
      <c r="R59" s="74"/>
      <c r="S59" s="74"/>
      <c r="T59" s="74"/>
      <c r="U59" s="74"/>
      <c r="V59" s="74"/>
      <c r="W59" s="74"/>
      <c r="X59" s="74"/>
      <c r="Y59" s="74"/>
      <c r="Z59" s="74"/>
      <c r="AA59" s="74"/>
      <c r="AB59" s="74"/>
      <c r="AC59" s="74"/>
      <c r="AD59" s="74"/>
      <c r="AE59" s="74"/>
      <c r="AF59" s="74"/>
      <c r="AG59" s="74"/>
      <c r="AH59" s="75"/>
    </row>
    <row r="60" spans="1:34" s="318" customFormat="1">
      <c r="A60" s="515" t="s">
        <v>678</v>
      </c>
      <c r="B60" s="516"/>
      <c r="C60" s="516"/>
      <c r="D60" s="516"/>
      <c r="E60" s="516"/>
      <c r="F60" s="516"/>
      <c r="G60" s="516"/>
      <c r="H60" s="516"/>
      <c r="I60" s="516"/>
      <c r="J60" s="516"/>
      <c r="K60" s="516"/>
      <c r="L60" s="516"/>
      <c r="M60" s="516"/>
      <c r="N60" s="516"/>
      <c r="O60" s="516"/>
      <c r="P60" s="516"/>
      <c r="Q60" s="516"/>
      <c r="R60" s="516"/>
      <c r="S60" s="516"/>
      <c r="T60" s="516"/>
      <c r="U60" s="516"/>
      <c r="V60" s="516"/>
      <c r="W60" s="516"/>
      <c r="X60" s="516"/>
      <c r="Y60" s="516"/>
      <c r="Z60" s="516"/>
      <c r="AA60" s="516"/>
      <c r="AB60" s="516"/>
      <c r="AC60" s="516"/>
      <c r="AD60" s="516"/>
      <c r="AE60" s="516"/>
      <c r="AF60" s="516"/>
      <c r="AG60" s="516"/>
      <c r="AH60" s="517"/>
    </row>
    <row r="61" spans="1:34" s="318" customFormat="1">
      <c r="A61" s="150"/>
      <c r="B61" s="319"/>
      <c r="C61" s="319"/>
      <c r="D61" s="152"/>
      <c r="E61" s="319"/>
      <c r="F61" s="319"/>
      <c r="G61" s="319"/>
      <c r="H61" s="319"/>
      <c r="I61" s="319"/>
      <c r="J61" s="319"/>
      <c r="K61" s="319"/>
      <c r="L61" s="319"/>
      <c r="M61" s="518"/>
      <c r="N61" s="518"/>
      <c r="O61" s="518"/>
      <c r="P61" s="319"/>
      <c r="Q61" s="319"/>
      <c r="R61" s="319"/>
      <c r="S61" s="319"/>
      <c r="T61" s="319"/>
      <c r="U61" s="319"/>
      <c r="V61" s="319"/>
      <c r="W61" s="319"/>
      <c r="X61" s="319"/>
      <c r="Y61" s="319"/>
      <c r="Z61" s="319"/>
      <c r="AA61" s="319"/>
      <c r="AB61" s="319"/>
      <c r="AC61" s="319"/>
      <c r="AD61" s="319"/>
      <c r="AE61" s="319"/>
      <c r="AF61" s="319"/>
      <c r="AG61" s="319"/>
      <c r="AH61" s="153"/>
    </row>
    <row r="62" spans="1:34" s="1" customFormat="1">
      <c r="A62" s="355"/>
      <c r="B62" s="355"/>
      <c r="C62" s="355"/>
      <c r="D62" s="355"/>
      <c r="E62" s="355"/>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13"/>
    </row>
    <row r="63" spans="1:34" s="1" customForma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6"/>
    </row>
  </sheetData>
  <autoFilter ref="A9:AH44" xr:uid="{00000000-0009-0000-0000-000001000000}">
    <filterColumn colId="1" showButton="0"/>
    <filterColumn colId="12" showButton="0"/>
    <filterColumn colId="13"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48">
    <mergeCell ref="M59:O59"/>
    <mergeCell ref="M18:O18"/>
    <mergeCell ref="M20:O20"/>
    <mergeCell ref="M21:O21"/>
    <mergeCell ref="M25:O25"/>
    <mergeCell ref="A27:AH27"/>
    <mergeCell ref="M28:O28"/>
    <mergeCell ref="M29:O29"/>
    <mergeCell ref="M30:O30"/>
    <mergeCell ref="M51:O51"/>
    <mergeCell ref="A56:AH56"/>
    <mergeCell ref="M57:O57"/>
    <mergeCell ref="M17:O17"/>
    <mergeCell ref="K8:O8"/>
    <mergeCell ref="P8:AA9"/>
    <mergeCell ref="AB8:AH9"/>
    <mergeCell ref="M9:O9"/>
    <mergeCell ref="M10:O10"/>
    <mergeCell ref="M11:O11"/>
    <mergeCell ref="M12:O12"/>
    <mergeCell ref="M13:O13"/>
    <mergeCell ref="M14:O14"/>
    <mergeCell ref="A15:AH15"/>
    <mergeCell ref="M16:O16"/>
    <mergeCell ref="E6:F6"/>
    <mergeCell ref="G6:AH6"/>
    <mergeCell ref="A8:A9"/>
    <mergeCell ref="B8:C9"/>
    <mergeCell ref="D8:D9"/>
    <mergeCell ref="E8:E9"/>
    <mergeCell ref="F8:H8"/>
    <mergeCell ref="J8:J9"/>
    <mergeCell ref="A60:AH60"/>
    <mergeCell ref="M61:O61"/>
    <mergeCell ref="AC1:AH1"/>
    <mergeCell ref="A4:B4"/>
    <mergeCell ref="M4:Q4"/>
    <mergeCell ref="R4:W4"/>
    <mergeCell ref="X4:AB4"/>
    <mergeCell ref="AC4:AH4"/>
    <mergeCell ref="A1:B1"/>
    <mergeCell ref="C1:D1"/>
    <mergeCell ref="E1:L4"/>
    <mergeCell ref="M1:Q1"/>
    <mergeCell ref="R1:W1"/>
    <mergeCell ref="X1:AB1"/>
    <mergeCell ref="A6:B6"/>
    <mergeCell ref="C6:D6"/>
  </mergeCells>
  <phoneticPr fontId="15"/>
  <dataValidations count="1">
    <dataValidation imeMode="on" allowBlank="1" showInputMessage="1" showErrorMessage="1" sqref="C10:C14 C16:C21 C28:C55 C25:C26 C57:C59 C61" xr:uid="{AD74E38B-8140-428E-B66F-C42F712F8ED7}"/>
  </dataValidations>
  <pageMargins left="0.19685039370078741" right="0.19685039370078741" top="0.39370078740157483" bottom="0.39370078740157483" header="0" footer="0.19685039370078741"/>
  <pageSetup paperSize="9" scale="77" fitToHeight="0" orientation="landscape" r:id="rId1"/>
  <headerFooter>
    <oddFooter>&amp;L&amp;"Meiryo UI,標準"&amp;9&amp;F&amp;C&amp;"Meiryo UI,標準"&amp;9&amp;P/&amp;N&amp;R&amp;"Meiryo UI,標準"&amp;9キヤノンITソリューションズ株式会社</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939478AB0C3C446B47286A60B224B78" ma:contentTypeVersion="" ma:contentTypeDescription="新しいドキュメントを作成します。" ma:contentTypeScope="" ma:versionID="2ca5208bb23780cddd0020fafe0f0b42">
  <xsd:schema xmlns:xsd="http://www.w3.org/2001/XMLSchema" xmlns:xs="http://www.w3.org/2001/XMLSchema" xmlns:p="http://schemas.microsoft.com/office/2006/metadata/properties" xmlns:ns2="a51bfd30-683f-49fa-b82e-071ebf89eab0" xmlns:ns3="5390fd7e-3ae6-4c6f-b2b3-e212599418c7" targetNamespace="http://schemas.microsoft.com/office/2006/metadata/properties" ma:root="true" ma:fieldsID="985f4c863e1d3c1ad7bab7a937312557" ns2:_="" ns3:_="">
    <xsd:import namespace="a51bfd30-683f-49fa-b82e-071ebf89eab0"/>
    <xsd:import namespace="5390fd7e-3ae6-4c6f-b2b3-e212599418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1bfd30-683f-49fa-b82e-071ebf89ea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39cf6af-007c-4f7d-a604-462adfc6233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90fd7e-3ae6-4c6f-b2b3-e212599418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835FF2F-D0AB-47F1-AC4E-59D525A5128C}" ma:internalName="TaxCatchAll" ma:showField="CatchAllData" ma:web="{d761f607-0a88-4eda-8d17-27d17c0ab3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390fd7e-3ae6-4c6f-b2b3-e212599418c7" xsi:nil="true"/>
    <MediaLengthInSeconds xmlns="a51bfd30-683f-49fa-b82e-071ebf89eab0" xsi:nil="true"/>
    <lcf76f155ced4ddcb4097134ff3c332f xmlns="a51bfd30-683f-49fa-b82e-071ebf89ea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D3986C8-8B86-447D-B128-11DC7973066B}">
  <ds:schemaRefs>
    <ds:schemaRef ds:uri="http://schemas.microsoft.com/sharepoint/v3/contenttype/forms"/>
  </ds:schemaRefs>
</ds:datastoreItem>
</file>

<file path=customXml/itemProps2.xml><?xml version="1.0" encoding="utf-8"?>
<ds:datastoreItem xmlns:ds="http://schemas.openxmlformats.org/officeDocument/2006/customXml" ds:itemID="{4CA33DA1-32F7-4D27-9109-57A2AA68EF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1bfd30-683f-49fa-b82e-071ebf89eab0"/>
    <ds:schemaRef ds:uri="5390fd7e-3ae6-4c6f-b2b3-e212599418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1146AA-060E-440F-91E6-D8361B5CA287}">
  <ds:schemaRefs>
    <ds:schemaRef ds:uri="http://schemas.microsoft.com/office/2006/metadata/properties"/>
    <ds:schemaRef ds:uri="http://schemas.microsoft.com/office/infopath/2007/PartnerControls"/>
    <ds:schemaRef ds:uri="5390fd7e-3ae6-4c6f-b2b3-e212599418c7"/>
    <ds:schemaRef ds:uri="a51bfd30-683f-49fa-b82e-071ebf89ea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26</vt:i4>
      </vt:variant>
    </vt:vector>
  </HeadingPairs>
  <TitlesOfParts>
    <vt:vector size="39" baseType="lpstr">
      <vt:lpstr>改版履歴</vt:lpstr>
      <vt:lpstr>【サンプル】概要欄に結合条件記載パターン</vt:lpstr>
      <vt:lpstr>【サンプル】備考欄に結合条件を記載パターン</vt:lpstr>
      <vt:lpstr>【サンプル】UNION ALLを使用したパターン</vt:lpstr>
      <vt:lpstr>【サンプル】カード受注ヘッダ_受注_個別CSV用</vt:lpstr>
      <vt:lpstr>【サンプル】カード受注ヘッダ_受注_一覧表示用_old</vt:lpstr>
      <vt:lpstr>カード受注ヘッダ_受注_一覧表示用</vt:lpstr>
      <vt:lpstr>カード受注ヘッダ_受注_個別CSV用</vt:lpstr>
      <vt:lpstr>カード受注ヘッダ_CKU010S01B02_ヘッダ表示用</vt:lpstr>
      <vt:lpstr>カード受注明細_CKU010S01B02_明細表示用</vt:lpstr>
      <vt:lpstr>カード受注ヘッダ_CKU010S01B02_チェック用</vt:lpstr>
      <vt:lpstr>ホールマスタ_CKU010D02B01_一覧表示用</vt:lpstr>
      <vt:lpstr>フォーマット</vt:lpstr>
      <vt:lpstr>'【サンプル】UNION ALLを使用したパターン'!Print_Area</vt:lpstr>
      <vt:lpstr>【サンプル】カード受注ヘッダ_受注_一覧表示用_old!Print_Area</vt:lpstr>
      <vt:lpstr>【サンプル】カード受注ヘッダ_受注_個別CSV用!Print_Area</vt:lpstr>
      <vt:lpstr>【サンプル】概要欄に結合条件記載パターン!Print_Area</vt:lpstr>
      <vt:lpstr>【サンプル】備考欄に結合条件を記載パターン!Print_Area</vt:lpstr>
      <vt:lpstr>カード受注ヘッダ_CKU010S01B02_チェック用!Print_Area</vt:lpstr>
      <vt:lpstr>カード受注ヘッダ_CKU010S01B02_ヘッダ表示用!Print_Area</vt:lpstr>
      <vt:lpstr>カード受注ヘッダ_受注_一覧表示用!Print_Area</vt:lpstr>
      <vt:lpstr>カード受注ヘッダ_受注_個別CSV用!Print_Area</vt:lpstr>
      <vt:lpstr>カード受注明細_CKU010S01B02_明細表示用!Print_Area</vt:lpstr>
      <vt:lpstr>フォーマット!Print_Area</vt:lpstr>
      <vt:lpstr>ホールマスタ_CKU010D02B01_一覧表示用!Print_Area</vt:lpstr>
      <vt:lpstr>改版履歴!Print_Area</vt:lpstr>
      <vt:lpstr>'【サンプル】UNION ALLを使用したパターン'!Print_Titles</vt:lpstr>
      <vt:lpstr>【サンプル】カード受注ヘッダ_受注_一覧表示用_old!Print_Titles</vt:lpstr>
      <vt:lpstr>【サンプル】カード受注ヘッダ_受注_個別CSV用!Print_Titles</vt:lpstr>
      <vt:lpstr>【サンプル】概要欄に結合条件記載パターン!Print_Titles</vt:lpstr>
      <vt:lpstr>【サンプル】備考欄に結合条件を記載パターン!Print_Titles</vt:lpstr>
      <vt:lpstr>カード受注ヘッダ_CKU010S01B02_チェック用!Print_Titles</vt:lpstr>
      <vt:lpstr>カード受注ヘッダ_CKU010S01B02_ヘッダ表示用!Print_Titles</vt:lpstr>
      <vt:lpstr>カード受注ヘッダ_受注_一覧表示用!Print_Titles</vt:lpstr>
      <vt:lpstr>カード受注ヘッダ_受注_個別CSV用!Print_Titles</vt:lpstr>
      <vt:lpstr>カード受注明細_CKU010S01B02_明細表示用!Print_Titles</vt:lpstr>
      <vt:lpstr>フォーマット!Print_Titles</vt:lpstr>
      <vt:lpstr>ホールマスタ_CKU010D02B01_一覧表示用!Print_Titles</vt:lpstr>
      <vt:lpstr>改版履歴!Print_Titles</vt:lpstr>
    </vt:vector>
  </TitlesOfParts>
  <Manager/>
  <Company>キヤノンITソリューションズ株式会社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渡邊　田以子</dc:creator>
  <cp:keywords/>
  <dc:description/>
  <cp:lastModifiedBy>8615104180338</cp:lastModifiedBy>
  <cp:revision/>
  <dcterms:created xsi:type="dcterms:W3CDTF">2016-04-04T01:08:24Z</dcterms:created>
  <dcterms:modified xsi:type="dcterms:W3CDTF">2026-03-23T09:01:48Z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0x0101008939478AB0C3C446B47286A60B224B78</vt:lpwstr>
  </property>
  <property fmtid="{D5CDD505-2E9C-101B-9397-08002B2CF9AE}" pid="3" name="Order">
    <vt:r8>1384040000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