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128SYIS25142_devora\test\模版\"/>
    </mc:Choice>
  </mc:AlternateContent>
  <bookViews>
    <workbookView xWindow="-120" yWindow="-120" windowWidth="29040" windowHeight="15720" tabRatio="847" activeTab="3"/>
  </bookViews>
  <sheets>
    <sheet name="改版履歴" sheetId="15" r:id="rId1"/>
    <sheet name="リスト" sheetId="4" state="hidden" r:id="rId2"/>
    <sheet name="画面定義書" sheetId="14" r:id="rId3"/>
    <sheet name="画面項目説明書" sheetId="17" r:id="rId4"/>
    <sheet name="画面機能定義書" sheetId="5" r:id="rId5"/>
    <sheet name="画面チェック仕様書" sheetId="30" r:id="rId6"/>
    <sheet name="処理機能記述書" sheetId="33" r:id="rId7"/>
    <sheet name="DB設定項目定義_汎用マスタ制御マスタ" sheetId="41" r:id="rId8"/>
    <sheet name="DB設定項目定義_汎用マスタ" sheetId="23" r:id="rId9"/>
    <sheet name="DB設定項目定義_汎用マスタ（履歴）" sheetId="42" r:id="rId10"/>
    <sheet name="補足説明書" sheetId="16" r:id="rId11"/>
    <sheet name="ヘッダ" sheetId="31" state="hidden" r:id="rId12"/>
  </sheets>
  <definedNames>
    <definedName name="____a6" localSheetId="11" hidden="1">{"'一覧'!$A$1:$M$28"}</definedName>
    <definedName name="____a6" localSheetId="5" hidden="1">{"'一覧'!$A$1:$M$28"}</definedName>
    <definedName name="____a6" localSheetId="3" hidden="1">{"'一覧'!$A$1:$M$28"}</definedName>
    <definedName name="____a6" localSheetId="0" hidden="1">{"'一覧'!$A$1:$M$28"}</definedName>
    <definedName name="____a6" localSheetId="6" hidden="1">{"'一覧'!$A$1:$M$28"}</definedName>
    <definedName name="____a6" hidden="1">{"'一覧'!$A$1:$M$28"}</definedName>
    <definedName name="____b1" localSheetId="11" hidden="1">{"'一覧'!$A$1:$M$28"}</definedName>
    <definedName name="____b1" localSheetId="5" hidden="1">{"'一覧'!$A$1:$M$28"}</definedName>
    <definedName name="____b1" localSheetId="3" hidden="1">{"'一覧'!$A$1:$M$28"}</definedName>
    <definedName name="____b1" localSheetId="0" hidden="1">{"'一覧'!$A$1:$M$28"}</definedName>
    <definedName name="____b1" localSheetId="6" hidden="1">{"'一覧'!$A$1:$M$28"}</definedName>
    <definedName name="____b1" hidden="1">{"'一覧'!$A$1:$M$28"}</definedName>
    <definedName name="____q1" localSheetId="11" hidden="1">{"'一覧'!$A$1:$M$28"}</definedName>
    <definedName name="____q1" localSheetId="5" hidden="1">{"'一覧'!$A$1:$M$28"}</definedName>
    <definedName name="____q1" localSheetId="3" hidden="1">{"'一覧'!$A$1:$M$28"}</definedName>
    <definedName name="____q1" localSheetId="0" hidden="1">{"'一覧'!$A$1:$M$28"}</definedName>
    <definedName name="____q1" localSheetId="6" hidden="1">{"'一覧'!$A$1:$M$28"}</definedName>
    <definedName name="____q1" hidden="1">{"'一覧'!$A$1:$M$28"}</definedName>
    <definedName name="____q3" localSheetId="11" hidden="1">{"'一覧'!$A$1:$M$28"}</definedName>
    <definedName name="____q3" localSheetId="5" hidden="1">{"'一覧'!$A$1:$M$28"}</definedName>
    <definedName name="____q3" localSheetId="3" hidden="1">{"'一覧'!$A$1:$M$28"}</definedName>
    <definedName name="____q3" localSheetId="0" hidden="1">{"'一覧'!$A$1:$M$28"}</definedName>
    <definedName name="____q3" localSheetId="6" hidden="1">{"'一覧'!$A$1:$M$28"}</definedName>
    <definedName name="____q3" hidden="1">{"'一覧'!$A$1:$M$28"}</definedName>
    <definedName name="____q4" localSheetId="11" hidden="1">{"'一覧'!$A$1:$M$28"}</definedName>
    <definedName name="____q4" localSheetId="5" hidden="1">{"'一覧'!$A$1:$M$28"}</definedName>
    <definedName name="____q4" localSheetId="3" hidden="1">{"'一覧'!$A$1:$M$28"}</definedName>
    <definedName name="____q4" localSheetId="0" hidden="1">{"'一覧'!$A$1:$M$28"}</definedName>
    <definedName name="____q4" localSheetId="6" hidden="1">{"'一覧'!$A$1:$M$28"}</definedName>
    <definedName name="____q4" hidden="1">{"'一覧'!$A$1:$M$28"}</definedName>
    <definedName name="____q5" localSheetId="11" hidden="1">{"'一覧'!$A$1:$M$28"}</definedName>
    <definedName name="____q5" localSheetId="5" hidden="1">{"'一覧'!$A$1:$M$28"}</definedName>
    <definedName name="____q5" localSheetId="3" hidden="1">{"'一覧'!$A$1:$M$28"}</definedName>
    <definedName name="____q5" localSheetId="0" hidden="1">{"'一覧'!$A$1:$M$28"}</definedName>
    <definedName name="____q5" localSheetId="6" hidden="1">{"'一覧'!$A$1:$M$28"}</definedName>
    <definedName name="____q5" hidden="1">{"'一覧'!$A$1:$M$28"}</definedName>
    <definedName name="___a6" localSheetId="11" hidden="1">{"'一覧'!$A$1:$M$28"}</definedName>
    <definedName name="___a6" localSheetId="5" hidden="1">{"'一覧'!$A$1:$M$28"}</definedName>
    <definedName name="___a6" localSheetId="3" hidden="1">{"'一覧'!$A$1:$M$28"}</definedName>
    <definedName name="___a6" localSheetId="0" hidden="1">{"'一覧'!$A$1:$M$28"}</definedName>
    <definedName name="___a6" localSheetId="6" hidden="1">{"'一覧'!$A$1:$M$28"}</definedName>
    <definedName name="___a6" hidden="1">{"'一覧'!$A$1:$M$28"}</definedName>
    <definedName name="___b1" localSheetId="11" hidden="1">{"'一覧'!$A$1:$M$28"}</definedName>
    <definedName name="___b1" localSheetId="5" hidden="1">{"'一覧'!$A$1:$M$28"}</definedName>
    <definedName name="___b1" localSheetId="3" hidden="1">{"'一覧'!$A$1:$M$28"}</definedName>
    <definedName name="___b1" localSheetId="0" hidden="1">{"'一覧'!$A$1:$M$28"}</definedName>
    <definedName name="___b1" localSheetId="6" hidden="1">{"'一覧'!$A$1:$M$28"}</definedName>
    <definedName name="___b1" hidden="1">{"'一覧'!$A$1:$M$28"}</definedName>
    <definedName name="___q1" localSheetId="11" hidden="1">{"'一覧'!$A$1:$M$28"}</definedName>
    <definedName name="___q1" localSheetId="5" hidden="1">{"'一覧'!$A$1:$M$28"}</definedName>
    <definedName name="___q1" localSheetId="3" hidden="1">{"'一覧'!$A$1:$M$28"}</definedName>
    <definedName name="___q1" localSheetId="0" hidden="1">{"'一覧'!$A$1:$M$28"}</definedName>
    <definedName name="___q1" localSheetId="6" hidden="1">{"'一覧'!$A$1:$M$28"}</definedName>
    <definedName name="___q1" hidden="1">{"'一覧'!$A$1:$M$28"}</definedName>
    <definedName name="___q3" localSheetId="11" hidden="1">{"'一覧'!$A$1:$M$28"}</definedName>
    <definedName name="___q3" localSheetId="5" hidden="1">{"'一覧'!$A$1:$M$28"}</definedName>
    <definedName name="___q3" localSheetId="3" hidden="1">{"'一覧'!$A$1:$M$28"}</definedName>
    <definedName name="___q3" localSheetId="0" hidden="1">{"'一覧'!$A$1:$M$28"}</definedName>
    <definedName name="___q3" localSheetId="6" hidden="1">{"'一覧'!$A$1:$M$28"}</definedName>
    <definedName name="___q3" hidden="1">{"'一覧'!$A$1:$M$28"}</definedName>
    <definedName name="___q4" localSheetId="11" hidden="1">{"'一覧'!$A$1:$M$28"}</definedName>
    <definedName name="___q4" localSheetId="5" hidden="1">{"'一覧'!$A$1:$M$28"}</definedName>
    <definedName name="___q4" localSheetId="3" hidden="1">{"'一覧'!$A$1:$M$28"}</definedName>
    <definedName name="___q4" localSheetId="0" hidden="1">{"'一覧'!$A$1:$M$28"}</definedName>
    <definedName name="___q4" localSheetId="6" hidden="1">{"'一覧'!$A$1:$M$28"}</definedName>
    <definedName name="___q4" hidden="1">{"'一覧'!$A$1:$M$28"}</definedName>
    <definedName name="___q5" localSheetId="11" hidden="1">{"'一覧'!$A$1:$M$28"}</definedName>
    <definedName name="___q5" localSheetId="5" hidden="1">{"'一覧'!$A$1:$M$28"}</definedName>
    <definedName name="___q5" localSheetId="3" hidden="1">{"'一覧'!$A$1:$M$28"}</definedName>
    <definedName name="___q5" localSheetId="0" hidden="1">{"'一覧'!$A$1:$M$28"}</definedName>
    <definedName name="___q5" localSheetId="6" hidden="1">{"'一覧'!$A$1:$M$28"}</definedName>
    <definedName name="___q5" hidden="1">{"'一覧'!$A$1:$M$28"}</definedName>
    <definedName name="_a6" localSheetId="11" hidden="1">{"'一覧'!$A$1:$M$28"}</definedName>
    <definedName name="_a6" localSheetId="5" hidden="1">{"'一覧'!$A$1:$M$28"}</definedName>
    <definedName name="_a6" localSheetId="3" hidden="1">{"'一覧'!$A$1:$M$28"}</definedName>
    <definedName name="_a6" localSheetId="0" hidden="1">{"'一覧'!$A$1:$M$28"}</definedName>
    <definedName name="_a6" localSheetId="6" hidden="1">{"'一覧'!$A$1:$M$28"}</definedName>
    <definedName name="_a6" hidden="1">{"'一覧'!$A$1:$M$28"}</definedName>
    <definedName name="_b1" localSheetId="11" hidden="1">{"'一覧'!$A$1:$M$28"}</definedName>
    <definedName name="_b1" localSheetId="5" hidden="1">{"'一覧'!$A$1:$M$28"}</definedName>
    <definedName name="_b1" localSheetId="3" hidden="1">{"'一覧'!$A$1:$M$28"}</definedName>
    <definedName name="_b1" localSheetId="0" hidden="1">{"'一覧'!$A$1:$M$28"}</definedName>
    <definedName name="_b1" localSheetId="6" hidden="1">{"'一覧'!$A$1:$M$28"}</definedName>
    <definedName name="_b1" hidden="1">{"'一覧'!$A$1:$M$28"}</definedName>
    <definedName name="_xlnm._FilterDatabase" localSheetId="3" hidden="1">画面項目説明書!$A$6:$EF$85</definedName>
    <definedName name="_xlnm._FilterDatabase" localSheetId="6" hidden="1">処理機能記述書!$A$5:$CI$117</definedName>
    <definedName name="_Key1" localSheetId="11" hidden="1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hidden="1">#REF!</definedName>
    <definedName name="_Order1" localSheetId="5" hidden="1">255</definedName>
    <definedName name="_Order1" hidden="1">0</definedName>
    <definedName name="_Order2" hidden="1">0</definedName>
    <definedName name="_q1" localSheetId="11" hidden="1">{"'一覧'!$A$1:$M$28"}</definedName>
    <definedName name="_q1" localSheetId="5" hidden="1">{"'一覧'!$A$1:$M$28"}</definedName>
    <definedName name="_q1" localSheetId="3" hidden="1">{"'一覧'!$A$1:$M$28"}</definedName>
    <definedName name="_q1" localSheetId="0" hidden="1">{"'一覧'!$A$1:$M$28"}</definedName>
    <definedName name="_q1" localSheetId="6" hidden="1">{"'一覧'!$A$1:$M$28"}</definedName>
    <definedName name="_q1" hidden="1">{"'一覧'!$A$1:$M$28"}</definedName>
    <definedName name="_q3" localSheetId="11" hidden="1">{"'一覧'!$A$1:$M$28"}</definedName>
    <definedName name="_q3" localSheetId="5" hidden="1">{"'一覧'!$A$1:$M$28"}</definedName>
    <definedName name="_q3" localSheetId="3" hidden="1">{"'一覧'!$A$1:$M$28"}</definedName>
    <definedName name="_q3" localSheetId="0" hidden="1">{"'一覧'!$A$1:$M$28"}</definedName>
    <definedName name="_q3" localSheetId="6" hidden="1">{"'一覧'!$A$1:$M$28"}</definedName>
    <definedName name="_q3" hidden="1">{"'一覧'!$A$1:$M$28"}</definedName>
    <definedName name="_q4" localSheetId="11" hidden="1">{"'一覧'!$A$1:$M$28"}</definedName>
    <definedName name="_q4" localSheetId="5" hidden="1">{"'一覧'!$A$1:$M$28"}</definedName>
    <definedName name="_q4" localSheetId="3" hidden="1">{"'一覧'!$A$1:$M$28"}</definedName>
    <definedName name="_q4" localSheetId="0" hidden="1">{"'一覧'!$A$1:$M$28"}</definedName>
    <definedName name="_q4" localSheetId="6" hidden="1">{"'一覧'!$A$1:$M$28"}</definedName>
    <definedName name="_q4" hidden="1">{"'一覧'!$A$1:$M$28"}</definedName>
    <definedName name="_q5" localSheetId="11" hidden="1">{"'一覧'!$A$1:$M$28"}</definedName>
    <definedName name="_q5" localSheetId="5" hidden="1">{"'一覧'!$A$1:$M$28"}</definedName>
    <definedName name="_q5" localSheetId="3" hidden="1">{"'一覧'!$A$1:$M$28"}</definedName>
    <definedName name="_q5" localSheetId="0" hidden="1">{"'一覧'!$A$1:$M$28"}</definedName>
    <definedName name="_q5" localSheetId="6" hidden="1">{"'一覧'!$A$1:$M$28"}</definedName>
    <definedName name="_q5" hidden="1">{"'一覧'!$A$1:$M$28"}</definedName>
    <definedName name="_Regression_X" localSheetId="11" hidden="1">#REF!</definedName>
    <definedName name="_Regression_X" localSheetId="5" hidden="1">#REF!</definedName>
    <definedName name="_Regression_X" localSheetId="0" hidden="1">#REF!</definedName>
    <definedName name="_Regression_X" hidden="1">#REF!</definedName>
    <definedName name="_Sort" localSheetId="5" hidden="1">#REF!</definedName>
    <definedName name="_Sor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A" localSheetId="0" hidden="1">#REF!</definedName>
    <definedName name="A" localSheetId="6" hidden="1">#REF!</definedName>
    <definedName name="A" hidden="1">#REF!</definedName>
    <definedName name="ａａａ" localSheetId="5" hidden="1">#REF!</definedName>
    <definedName name="ａａａ" localSheetId="0" hidden="1">#REF!</definedName>
    <definedName name="ａａａ" hidden="1">#REF!</definedName>
    <definedName name="aaaaaaaaaaaaaaaaaaaaaaaaa" localSheetId="11" hidden="1">{"'一覧'!$A$1:$M$28"}</definedName>
    <definedName name="aaaaaaaaaaaaaaaaaaaaaaaaa" localSheetId="5" hidden="1">{"'一覧'!$A$1:$M$28"}</definedName>
    <definedName name="aaaaaaaaaaaaaaaaaaaaaaaaa" localSheetId="3" hidden="1">{"'一覧'!$A$1:$M$28"}</definedName>
    <definedName name="aaaaaaaaaaaaaaaaaaaaaaaaa" localSheetId="0" hidden="1">{"'一覧'!$A$1:$M$28"}</definedName>
    <definedName name="aaaaaaaaaaaaaaaaaaaaaaaaa" localSheetId="6" hidden="1">{"'一覧'!$A$1:$M$28"}</definedName>
    <definedName name="aaaaaaaaaaaaaaaaaaaaaaaaa" hidden="1">{"'一覧'!$A$1:$M$28"}</definedName>
    <definedName name="Access_Button" hidden="1">"外証デー他項目管理__テーブル項目説明原紙_List"</definedName>
    <definedName name="AccessDatabase" hidden="1">"C:\My Documents\１コン関連\Taiho2_SK_list.mdb"</definedName>
    <definedName name="acd" localSheetId="11" hidden="1">{"'一覧'!$A$1:$M$28"}</definedName>
    <definedName name="acd" localSheetId="5" hidden="1">{"'一覧'!$A$1:$M$28"}</definedName>
    <definedName name="acd" localSheetId="3" hidden="1">{"'一覧'!$A$1:$M$28"}</definedName>
    <definedName name="acd" localSheetId="0" hidden="1">{"'一覧'!$A$1:$M$28"}</definedName>
    <definedName name="acd" localSheetId="6" hidden="1">{"'一覧'!$A$1:$M$28"}</definedName>
    <definedName name="acd" hidden="1">{"'一覧'!$A$1:$M$28"}</definedName>
    <definedName name="B" hidden="1">#REF!</definedName>
    <definedName name="bb" localSheetId="11" hidden="1">{"'旅費精算ＤＴ２'!$A$1:$N$40"}</definedName>
    <definedName name="bb" localSheetId="5" hidden="1">{"'旅費精算ＤＴ２'!$A$1:$N$40"}</definedName>
    <definedName name="bb" localSheetId="3" hidden="1">{"'旅費精算ＤＴ２'!$A$1:$N$40"}</definedName>
    <definedName name="bb" localSheetId="0" hidden="1">{"'旅費精算ＤＴ２'!$A$1:$N$40"}</definedName>
    <definedName name="bb" localSheetId="6" hidden="1">{"'旅費精算ＤＴ２'!$A$1:$N$40"}</definedName>
    <definedName name="bb" hidden="1">{"'旅費精算ＤＴ２'!$A$1:$N$40"}</definedName>
    <definedName name="C_TBL.C_TBL" localSheetId="11">#N/A</definedName>
    <definedName name="C_TBL.C_TBL">[0]!C_TBL.C_TBL</definedName>
    <definedName name="Cancel_DFDS" localSheetId="11">#REF!</definedName>
    <definedName name="ｃｃｃ" localSheetId="11" hidden="1">{"'一覧'!$A$1:$M$28"}</definedName>
    <definedName name="ｃｃｃ" localSheetId="5" hidden="1">{"'一覧'!$A$1:$M$28"}</definedName>
    <definedName name="ｃｃｃ" localSheetId="3" hidden="1">{"'一覧'!$A$1:$M$28"}</definedName>
    <definedName name="ｃｃｃ" localSheetId="0" hidden="1">{"'一覧'!$A$1:$M$28"}</definedName>
    <definedName name="ｃｃｃ" localSheetId="6" hidden="1">{"'一覧'!$A$1:$M$28"}</definedName>
    <definedName name="ｃｃｃ" hidden="1">{"'一覧'!$A$1:$M$28"}</definedName>
    <definedName name="CLICK_CTL7" localSheetId="11">#N/A</definedName>
    <definedName name="CLICK_CTL7">[0]!CLICK_CTL7</definedName>
    <definedName name="COLNUM" localSheetId="11">#REF!</definedName>
    <definedName name="COLSZ" localSheetId="11">#REF!</definedName>
    <definedName name="cscscscscscscs" localSheetId="11" hidden="1">{"'一覧'!$A$1:$M$28"}</definedName>
    <definedName name="cscscscscscscs" localSheetId="5" hidden="1">{"'一覧'!$A$1:$M$28"}</definedName>
    <definedName name="cscscscscscscs" localSheetId="3" hidden="1">{"'一覧'!$A$1:$M$28"}</definedName>
    <definedName name="cscscscscscscs" localSheetId="0" hidden="1">{"'一覧'!$A$1:$M$28"}</definedName>
    <definedName name="cscscscscscscs" localSheetId="6" hidden="1">{"'一覧'!$A$1:$M$28"}</definedName>
    <definedName name="cscscscscscscs" hidden="1">{"'一覧'!$A$1:$M$28"}</definedName>
    <definedName name="cxs" localSheetId="11" hidden="1">{"'一覧'!$A$1:$M$28"}</definedName>
    <definedName name="cxs" localSheetId="5" hidden="1">{"'一覧'!$A$1:$M$28"}</definedName>
    <definedName name="cxs" localSheetId="3" hidden="1">{"'一覧'!$A$1:$M$28"}</definedName>
    <definedName name="cxs" localSheetId="0" hidden="1">{"'一覧'!$A$1:$M$28"}</definedName>
    <definedName name="cxs" localSheetId="6" hidden="1">{"'一覧'!$A$1:$M$28"}</definedName>
    <definedName name="cxs" hidden="1">{"'一覧'!$A$1:$M$28"}</definedName>
    <definedName name="d" localSheetId="11" hidden="1">{"'定型検索項目'!$W$2:$AS$270"}</definedName>
    <definedName name="d" localSheetId="5" hidden="1">{"'定型検索項目'!$W$2:$AS$270"}</definedName>
    <definedName name="d" localSheetId="3" hidden="1">{"'定型検索項目'!$W$2:$AS$270"}</definedName>
    <definedName name="d" localSheetId="0" hidden="1">{"'定型検索項目'!$W$2:$AS$270"}</definedName>
    <definedName name="d" localSheetId="6" hidden="1">{"'定型検索項目'!$W$2:$AS$270"}</definedName>
    <definedName name="d" hidden="1">{"'定型検索項目'!$W$2:$AS$270"}</definedName>
    <definedName name="Form1_Show" localSheetId="11">ヘッダ!Form1_Show</definedName>
    <definedName name="Form2_Show" localSheetId="11">ヘッダ!Form2_Show</definedName>
    <definedName name="GO" localSheetId="11">#REF!</definedName>
    <definedName name="GOKEI" localSheetId="11">#REF!</definedName>
    <definedName name="ＧＷメッセージ一覧" localSheetId="5" hidden="1">#REF!</definedName>
    <definedName name="ＧＷメッセージ一覧" hidden="1">#REF!</definedName>
    <definedName name="HTML_CodePage" hidden="1">932</definedName>
    <definedName name="HTML_Control" localSheetId="11" hidden="1">{"'旅費精算ＤＴ２'!$A$1:$N$40"}</definedName>
    <definedName name="HTML_Control" localSheetId="5" hidden="1">{"'旅費精算ＤＴ２'!$A$1:$N$40"}</definedName>
    <definedName name="HTML_Control" localSheetId="3" hidden="1">{"'旅費精算ＤＴ２'!$A$1:$N$40"}</definedName>
    <definedName name="HTML_Control" localSheetId="0" hidden="1">{"'旅費精算ＤＴ２'!$A$1:$N$40"}</definedName>
    <definedName name="HTML_Control" localSheetId="6" hidden="1">{"'旅費精算ＤＴ２'!$A$1:$N$40"}</definedName>
    <definedName name="HTML_Control" hidden="1">{"'旅費精算ＤＴ２'!$A$1:$N$40"}</definedName>
    <definedName name="HTML_Description" hidden="1">""</definedName>
    <definedName name="HTML_Email" hidden="1">"kazu@mom.co.jp"</definedName>
    <definedName name="HTML_Header" hidden="1">"旅費精算ＤＴ２"</definedName>
    <definedName name="HTML_LastUpdate" hidden="1">"98/11/20"</definedName>
    <definedName name="HTML_LineAfter" hidden="1">TRUE</definedName>
    <definedName name="HTML_LineBefore" hidden="1">TRUE</definedName>
    <definedName name="HTML_Name" hidden="1">"杉山一雅"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Documents\test.htm"</definedName>
    <definedName name="HTML_PathTemplate" hidden="1">"D:\i-abe\ユーザー\関電工\db_matrix2.htm"</definedName>
    <definedName name="HTML_Title" hidden="1">"データベース設計書"</definedName>
    <definedName name="HTML1_1" hidden="1">"[勤阿部11.xls]交通費!$C$33:$O$48"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"勤阿部11.xl"</definedName>
    <definedName name="HTML1_4" hidden="1">"交通費"</definedName>
    <definedName name="HTML1_5" hidden="1">""</definedName>
    <definedName name="HTML1_6" hidden="1">-4146</definedName>
    <definedName name="HTML1_7" hidden="1">-4146</definedName>
    <definedName name="HTML1_8" hidden="1">"96/11/02"</definedName>
    <definedName name="HTML1_9" hidden="1">"東日本システム事業部"</definedName>
    <definedName name="HTML2_1" hidden="1">"[勤阿部11.xls]勤務報告!$C$8:$X$52"</definedName>
    <definedName name="HTML2_10" hidden="1">""</definedName>
    <definedName name="HTML2_11" hidden="1">-4146</definedName>
    <definedName name="HTML2_12" hidden="1">"C:\My Documents\MyHTML.htm"</definedName>
    <definedName name="HTML2_2" hidden="1">1</definedName>
    <definedName name="HTML2_3" hidden="1">"勤阿部11.xl"</definedName>
    <definedName name="HTML2_4" hidden="1">"勤務報告"</definedName>
    <definedName name="HTML2_5" hidden="1">""</definedName>
    <definedName name="HTML2_6" hidden="1">-4146</definedName>
    <definedName name="HTML2_7" hidden="1">-4146</definedName>
    <definedName name="HTML2_8" hidden="1">"96/11/02"</definedName>
    <definedName name="HTML2_9" hidden="1">"東日本システム事業部"</definedName>
    <definedName name="HTML3_1" hidden="1">"[勤阿部11.xls]Sheet15!$B$3:$J$20"</definedName>
    <definedName name="HTML3_10" hidden="1">""</definedName>
    <definedName name="HTML3_11" hidden="1">1</definedName>
    <definedName name="HTML3_12" hidden="1">"C:\My Documents\MyHTML.htm"</definedName>
    <definedName name="HTML3_2" hidden="1">1</definedName>
    <definedName name="HTML3_3" hidden="1">"勤阿部11.xl"</definedName>
    <definedName name="HTML3_4" hidden="1">"Sheet15"</definedName>
    <definedName name="HTML3_5" hidden="1">""</definedName>
    <definedName name="HTML3_6" hidden="1">-4146</definedName>
    <definedName name="HTML3_7" hidden="1">-4146</definedName>
    <definedName name="HTML3_8" hidden="1">"96/11/02"</definedName>
    <definedName name="HTML3_9" hidden="1">"東日本システム事業部"</definedName>
    <definedName name="HTML4_1" hidden="1">"'[nt.xls]ＳＣＡＴ－ＮＴ　構成表'!$A$2:$H$60"</definedName>
    <definedName name="HTML4_10" hidden="1">""</definedName>
    <definedName name="HTML4_11" hidden="1">1</definedName>
    <definedName name="HTML4_12" hidden="1">"A:\My Documents\EXCEL\MyHTML.htm"</definedName>
    <definedName name="HTML4_2" hidden="1">1</definedName>
    <definedName name="HTML4_3" hidden="1">"nt"</definedName>
    <definedName name="HTML4_4" hidden="1">"ＳＣＡＴ－ＮＴ　構成表"</definedName>
    <definedName name="HTML4_5" hidden="1">""</definedName>
    <definedName name="HTML4_6" hidden="1">-4146</definedName>
    <definedName name="HTML4_7" hidden="1">-4146</definedName>
    <definedName name="HTML4_8" hidden="1">"96/09/11"</definedName>
    <definedName name="HTML4_9" hidden="1">"岡島 達治"</definedName>
    <definedName name="HTML5_1" hidden="1">"'[nt.xls]ＳＣＡＴ－ＮＴ　構成表'!$A$1:$H$155"</definedName>
    <definedName name="HTML5_10" hidden="1">""</definedName>
    <definedName name="HTML5_11" hidden="1">1</definedName>
    <definedName name="HTML5_12" hidden="1">"A:\My Documents\EXCEL\MyHTML.htm"</definedName>
    <definedName name="HTML5_2" hidden="1">1</definedName>
    <definedName name="HTML5_3" hidden="1">"nt"</definedName>
    <definedName name="HTML5_4" hidden="1">"ＳＣＡＴ－ＮＴ　構成表"</definedName>
    <definedName name="HTML5_5" hidden="1">""</definedName>
    <definedName name="HTML5_6" hidden="1">-4146</definedName>
    <definedName name="HTML5_7" hidden="1">-4146</definedName>
    <definedName name="HTML5_8" hidden="1">"96/09/11"</definedName>
    <definedName name="HTML5_9" hidden="1">"岡島 達治"</definedName>
    <definedName name="HTML6_1" hidden="1">"'[nt.xls]ＳＣＡＴ－ＮＴ　構成表'!$A$1:$H$112"</definedName>
    <definedName name="HTML6_10" hidden="1">""</definedName>
    <definedName name="HTML6_11" hidden="1">1</definedName>
    <definedName name="HTML6_12" hidden="1">"A:\My Documents\EXCEL\MyHTML.htm"</definedName>
    <definedName name="HTML6_2" hidden="1">1</definedName>
    <definedName name="HTML6_3" hidden="1">"nt"</definedName>
    <definedName name="HTML6_4" hidden="1">"ＳＣＡＴ－ＮＴ　構成表"</definedName>
    <definedName name="HTML6_5" hidden="1">""</definedName>
    <definedName name="HTML6_6" hidden="1">-4146</definedName>
    <definedName name="HTML6_7" hidden="1">-4146</definedName>
    <definedName name="HTML6_8" hidden="1">"96/09/11"</definedName>
    <definedName name="HTML6_9" hidden="1">"岡島 達治"</definedName>
    <definedName name="HTML7_1" hidden="1">"'[nt.xls]ＳＣＡＴ－ＮＴ　構成表'!$A$1:$G$260"</definedName>
    <definedName name="HTML7_10" hidden="1">""</definedName>
    <definedName name="HTML7_11" hidden="1">1</definedName>
    <definedName name="HTML7_12" hidden="1">"A:\My Documents\EXCEL\MyHTML.htm"</definedName>
    <definedName name="HTML7_2" hidden="1">1</definedName>
    <definedName name="HTML7_3" hidden="1">""</definedName>
    <definedName name="HTML7_4" hidden="1">"ＳＣＡＴ－ＮＴ　構成表"</definedName>
    <definedName name="HTML7_5" hidden="1">""</definedName>
    <definedName name="HTML7_6" hidden="1">-4146</definedName>
    <definedName name="HTML7_7" hidden="1">-4146</definedName>
    <definedName name="HTML7_8" hidden="1">"96/09/11"</definedName>
    <definedName name="HTML7_9" hidden="1">"岡島 達治"</definedName>
    <definedName name="HTML8_1" hidden="1">"'[nt.xls]ＳＣＡＴ－ＮＴ　構成表'!$A$1:$G$250"</definedName>
    <definedName name="HTML8_10" hidden="1">""</definedName>
    <definedName name="HTML8_11" hidden="1">1</definedName>
    <definedName name="HTML8_12" hidden="1">"A:\My Documents\EXCEL\MyHTML.htm"</definedName>
    <definedName name="HTML8_2" hidden="1">1</definedName>
    <definedName name="HTML8_3" hidden="1">""</definedName>
    <definedName name="HTML8_4" hidden="1">"ＳＣＡＴ－ＮＴ　構成表"</definedName>
    <definedName name="HTML8_5" hidden="1">""</definedName>
    <definedName name="HTML8_6" hidden="1">-4146</definedName>
    <definedName name="HTML8_7" hidden="1">-4146</definedName>
    <definedName name="HTML8_8" hidden="1">"96/09/11"</definedName>
    <definedName name="HTML8_9" hidden="1">"岡島 達治"</definedName>
    <definedName name="HTMLCount" hidden="1">3</definedName>
    <definedName name="IsHoliday" localSheetId="11">[0]!UF.IsHoliday</definedName>
    <definedName name="KAGEN0" localSheetId="11">#REF!</definedName>
    <definedName name="KAGEN1" localSheetId="11">#REF!</definedName>
    <definedName name="Keta" localSheetId="11">ヘッダ!Keta</definedName>
    <definedName name="keta2" localSheetId="11">ヘッダ!keta2</definedName>
    <definedName name="KIJUNZAI" localSheetId="11">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_1ｚａｎ" localSheetId="11">#REF!</definedName>
    <definedName name="NEW" localSheetId="11">#REF!</definedName>
    <definedName name="PKNUM" localSheetId="11">#REF!</definedName>
    <definedName name="_xlnm.Print_Area" localSheetId="5">画面チェック仕様書!$A$1:$FU$25</definedName>
    <definedName name="_xlnm.Print_Area" localSheetId="4">画面機能定義書!$A$1:$BP$21</definedName>
    <definedName name="_xlnm.Print_Area" localSheetId="3">画面項目説明書!$A$1:$DX$92</definedName>
    <definedName name="_xlnm.Print_Area" localSheetId="2">画面定義書!$A$1:$BP$75</definedName>
    <definedName name="_xlnm.Print_Area" localSheetId="0">改版履歴!$A$1:$CS$37</definedName>
    <definedName name="_xlnm.Print_Area" localSheetId="6">処理機能記述書!$A$1:$BP$117</definedName>
    <definedName name="_xlnm.Print_Area" localSheetId="10">補足説明書!$A$1:$BP$76</definedName>
    <definedName name="_xlnm.Print_Titles" localSheetId="8">DB設定項目定義_汎用マスタ!$1:$9</definedName>
    <definedName name="_xlnm.Print_Titles" localSheetId="9">'DB設定項目定義_汎用マスタ（履歴）'!$1:$9</definedName>
    <definedName name="_xlnm.Print_Titles" localSheetId="7">DB設定項目定義_汎用マスタ制御マスタ!$1:$9</definedName>
    <definedName name="_xlnm.Print_Titles" localSheetId="11">#REF!</definedName>
    <definedName name="_xlnm.Print_Titles" localSheetId="5">画面チェック仕様書!$1:$6</definedName>
    <definedName name="_xlnm.Print_Titles" localSheetId="4">画面機能定義書!$1:$6</definedName>
    <definedName name="_xlnm.Print_Titles" localSheetId="3">画面項目説明書!$1:$6</definedName>
    <definedName name="_xlnm.Print_Titles" localSheetId="2">画面定義書!$1:$4</definedName>
    <definedName name="_xlnm.Print_Titles" localSheetId="0">改版履歴!$1:$4</definedName>
    <definedName name="_xlnm.Print_Titles" localSheetId="6">処理機能記述書!$1:$4</definedName>
    <definedName name="_xlnm.Print_Titles" localSheetId="10">補足説明書!$1:$4</definedName>
    <definedName name="qqq" localSheetId="11" hidden="1">{"'一覧'!$A$1:$M$28"}</definedName>
    <definedName name="qqq" localSheetId="5" hidden="1">{"'一覧'!$A$1:$M$28"}</definedName>
    <definedName name="qqq" localSheetId="3" hidden="1">{"'一覧'!$A$1:$M$28"}</definedName>
    <definedName name="qqq" localSheetId="0" hidden="1">{"'一覧'!$A$1:$M$28"}</definedName>
    <definedName name="qqq" localSheetId="6" hidden="1">{"'一覧'!$A$1:$M$28"}</definedName>
    <definedName name="qqq" hidden="1">{"'一覧'!$A$1:$M$28"}</definedName>
    <definedName name="ｒｒｒ" localSheetId="11" hidden="1">{"'一覧'!$A$1:$M$28"}</definedName>
    <definedName name="ｒｒｒ" localSheetId="5" hidden="1">{"'一覧'!$A$1:$M$28"}</definedName>
    <definedName name="ｒｒｒ" localSheetId="3" hidden="1">{"'一覧'!$A$1:$M$28"}</definedName>
    <definedName name="ｒｒｒ" localSheetId="0" hidden="1">{"'一覧'!$A$1:$M$28"}</definedName>
    <definedName name="ｒｒｒ" localSheetId="6" hidden="1">{"'一覧'!$A$1:$M$28"}</definedName>
    <definedName name="ｒｒｒ" hidden="1">{"'一覧'!$A$1:$M$28"}</definedName>
    <definedName name="ｓ" localSheetId="11">ヘッダ!ｓ</definedName>
    <definedName name="SAPBEXrevision" hidden="1">5</definedName>
    <definedName name="SAPBEXsysID" hidden="1">"SP0"</definedName>
    <definedName name="SAPBEXwbID" hidden="1">"8FO04SFRHI28A7QJSOYKXRMHP"</definedName>
    <definedName name="sasasaas" localSheetId="11">ヘッダ!sasasaas</definedName>
    <definedName name="sasasas" localSheetId="11">ヘッダ!sasasas</definedName>
    <definedName name="Save_DFEDIT" localSheetId="11">#REF!</definedName>
    <definedName name="SD" localSheetId="11" hidden="1">#REF!</definedName>
    <definedName name="SD" localSheetId="5" hidden="1">#REF!</definedName>
    <definedName name="SD" hidden="1">#REF!</definedName>
    <definedName name="sfadsfsdfsdf" localSheetId="11" hidden="1">{"'一覧'!$A$1:$M$28"}</definedName>
    <definedName name="sfadsfsdfsdf" localSheetId="5" hidden="1">{"'一覧'!$A$1:$M$28"}</definedName>
    <definedName name="sfadsfsdfsdf" localSheetId="3" hidden="1">{"'一覧'!$A$1:$M$28"}</definedName>
    <definedName name="sfadsfsdfsdf" localSheetId="0" hidden="1">{"'一覧'!$A$1:$M$28"}</definedName>
    <definedName name="sfadsfsdfsdf" localSheetId="6" hidden="1">{"'一覧'!$A$1:$M$28"}</definedName>
    <definedName name="sfadsfsdfsdf" hidden="1">{"'一覧'!$A$1:$M$28"}</definedName>
    <definedName name="ｓｓｓ" localSheetId="11" hidden="1">{"'一覧'!$A$1:$M$28"}</definedName>
    <definedName name="ｓｓｓ" localSheetId="5" hidden="1">{"'一覧'!$A$1:$M$28"}</definedName>
    <definedName name="ｓｓｓ" localSheetId="3" hidden="1">{"'一覧'!$A$1:$M$28"}</definedName>
    <definedName name="ｓｓｓ" localSheetId="0" hidden="1">{"'一覧'!$A$1:$M$28"}</definedName>
    <definedName name="ｓｓｓ" localSheetId="6" hidden="1">{"'一覧'!$A$1:$M$28"}</definedName>
    <definedName name="ｓｓｓ" hidden="1">{"'一覧'!$A$1:$M$28"}</definedName>
    <definedName name="ｓｓｓｓ" localSheetId="11" hidden="1">{"'一覧'!$A$1:$M$28"}</definedName>
    <definedName name="ｓｓｓｓ" localSheetId="5" hidden="1">{"'一覧'!$A$1:$M$28"}</definedName>
    <definedName name="ｓｓｓｓ" localSheetId="3" hidden="1">{"'一覧'!$A$1:$M$28"}</definedName>
    <definedName name="ｓｓｓｓ" localSheetId="0" hidden="1">{"'一覧'!$A$1:$M$28"}</definedName>
    <definedName name="ｓｓｓｓ" localSheetId="6" hidden="1">{"'一覧'!$A$1:$M$28"}</definedName>
    <definedName name="ｓｓｓｓ" hidden="1">{"'一覧'!$A$1:$M$28"}</definedName>
    <definedName name="ｗｗｗ" localSheetId="11" hidden="1">{"'一覧'!$A$1:$M$28"}</definedName>
    <definedName name="ｗｗｗ" localSheetId="5" hidden="1">{"'一覧'!$A$1:$M$28"}</definedName>
    <definedName name="ｗｗｗ" localSheetId="3" hidden="1">{"'一覧'!$A$1:$M$28"}</definedName>
    <definedName name="ｗｗｗ" localSheetId="0" hidden="1">{"'一覧'!$A$1:$M$28"}</definedName>
    <definedName name="ｗｗｗ" localSheetId="6" hidden="1">{"'一覧'!$A$1:$M$28"}</definedName>
    <definedName name="ｗｗｗ" hidden="1">{"'一覧'!$A$1:$M$28"}</definedName>
    <definedName name="xc" localSheetId="11" hidden="1">{"'一覧'!$A$1:$M$28"}</definedName>
    <definedName name="xc" localSheetId="5" hidden="1">{"'一覧'!$A$1:$M$28"}</definedName>
    <definedName name="xc" localSheetId="3" hidden="1">{"'一覧'!$A$1:$M$28"}</definedName>
    <definedName name="xc" localSheetId="0" hidden="1">{"'一覧'!$A$1:$M$28"}</definedName>
    <definedName name="xc" localSheetId="6" hidden="1">{"'一覧'!$A$1:$M$28"}</definedName>
    <definedName name="xc" hidden="1">{"'一覧'!$A$1:$M$28"}</definedName>
    <definedName name="ｘｘ" localSheetId="11" hidden="1">{"'旅費精算ＤＴ２'!$A$1:$N$40"}</definedName>
    <definedName name="ｘｘ" localSheetId="5" hidden="1">{"'旅費精算ＤＴ２'!$A$1:$N$40"}</definedName>
    <definedName name="ｘｘ" localSheetId="3" hidden="1">{"'旅費精算ＤＴ２'!$A$1:$N$40"}</definedName>
    <definedName name="ｘｘ" localSheetId="0" hidden="1">{"'旅費精算ＤＴ２'!$A$1:$N$40"}</definedName>
    <definedName name="ｘｘ" localSheetId="6" hidden="1">{"'旅費精算ＤＴ２'!$A$1:$N$40"}</definedName>
    <definedName name="ｘｘ" hidden="1">{"'旅費精算ＤＴ２'!$A$1:$N$40"}</definedName>
    <definedName name="ｘｘｘ" localSheetId="11" hidden="1">{"'一覧'!$A$1:$M$28"}</definedName>
    <definedName name="ｘｘｘ" localSheetId="5" hidden="1">{"'一覧'!$A$1:$M$28"}</definedName>
    <definedName name="ｘｘｘ" localSheetId="3" hidden="1">{"'一覧'!$A$1:$M$28"}</definedName>
    <definedName name="ｘｘｘ" localSheetId="0" hidden="1">{"'一覧'!$A$1:$M$28"}</definedName>
    <definedName name="ｘｘｘ" localSheetId="6" hidden="1">{"'一覧'!$A$1:$M$28"}</definedName>
    <definedName name="ｘｘｘ" hidden="1">{"'一覧'!$A$1:$M$28"}</definedName>
    <definedName name="ｙ" localSheetId="11" hidden="1">{"'一覧'!$A$1:$M$28"}</definedName>
    <definedName name="ｙ" localSheetId="5" hidden="1">{"'一覧'!$A$1:$M$28"}</definedName>
    <definedName name="ｙ" localSheetId="3" hidden="1">{"'一覧'!$A$1:$M$28"}</definedName>
    <definedName name="ｙ" localSheetId="0" hidden="1">{"'一覧'!$A$1:$M$28"}</definedName>
    <definedName name="ｙ" localSheetId="6" hidden="1">{"'一覧'!$A$1:$M$28"}</definedName>
    <definedName name="ｙ" hidden="1">{"'一覧'!$A$1:$M$28"}</definedName>
    <definedName name="Z_13280533_4350_11D5_A867_000629D8585B_.wvu.Cols" hidden="1">#REF!</definedName>
    <definedName name="Z_13280533_4350_11D5_A867_000629D8585B_.wvu.PrintArea" localSheetId="11" hidden="1">#REF!</definedName>
    <definedName name="Z_13280533_4350_11D5_A867_000629D8585B_.wvu.PrintArea" localSheetId="5" hidden="1">#REF!</definedName>
    <definedName name="Z_13280533_4350_11D5_A867_000629D8585B_.wvu.PrintArea" hidden="1">#REF!</definedName>
    <definedName name="Z_13280533_4350_11D5_A867_000629D8585B_.wvu.PrintTitles" localSheetId="5" hidden="1">#REF!</definedName>
    <definedName name="Z_13280533_4350_11D5_A867_000629D8585B_.wvu.PrintTitles" hidden="1">#REF!</definedName>
    <definedName name="Z_13280533_4350_11D5_A867_000629D8585B_.wvu.Rows" localSheetId="5" hidden="1">#REF!</definedName>
    <definedName name="Z_13280533_4350_11D5_A867_000629D8585B_.wvu.Rows" hidden="1">#REF!</definedName>
    <definedName name="Z_ECECA9E9_429F_11D5_96AC_0006291EBE14_.wvu.Cols" localSheetId="5" hidden="1">#REF!</definedName>
    <definedName name="Z_ECECA9E9_429F_11D5_96AC_0006291EBE14_.wvu.Cols" hidden="1">#REF!</definedName>
    <definedName name="Z_ECECA9E9_429F_11D5_96AC_0006291EBE14_.wvu.PrintArea" localSheetId="5" hidden="1">#REF!</definedName>
    <definedName name="Z_ECECA9E9_429F_11D5_96AC_0006291EBE14_.wvu.PrintArea" hidden="1">#REF!</definedName>
    <definedName name="Z_ECECA9E9_429F_11D5_96AC_0006291EBE14_.wvu.PrintTitles" localSheetId="5" hidden="1">#REF!</definedName>
    <definedName name="Z_ECECA9E9_429F_11D5_96AC_0006291EBE14_.wvu.PrintTitles" hidden="1">#REF!</definedName>
    <definedName name="Z_ECECA9E9_429F_11D5_96AC_0006291EBE14_.wvu.Rows" localSheetId="5" hidden="1">#REF!</definedName>
    <definedName name="Z_ECECA9E9_429F_11D5_96AC_0006291EBE14_.wvu.Rows" hidden="1">#REF!</definedName>
    <definedName name="Z_ECECAA35_429F_11D5_96AC_0006291EBE14_.wvu.Cols" localSheetId="5" hidden="1">#REF!</definedName>
    <definedName name="Z_ECECAA35_429F_11D5_96AC_0006291EBE14_.wvu.Cols" hidden="1">#REF!</definedName>
    <definedName name="Z_ECECAA35_429F_11D5_96AC_0006291EBE14_.wvu.PrintArea" localSheetId="5" hidden="1">#REF!</definedName>
    <definedName name="Z_ECECAA35_429F_11D5_96AC_0006291EBE14_.wvu.PrintArea" hidden="1">#REF!</definedName>
    <definedName name="Z_ECECAA35_429F_11D5_96AC_0006291EBE14_.wvu.PrintTitles" localSheetId="5" hidden="1">#REF!</definedName>
    <definedName name="Z_ECECAA35_429F_11D5_96AC_0006291EBE14_.wvu.PrintTitles" hidden="1">#REF!</definedName>
    <definedName name="Z_ECECAA35_429F_11D5_96AC_0006291EBE14_.wvu.Rows" localSheetId="5" hidden="1">#REF!</definedName>
    <definedName name="Z_ECECAA35_429F_11D5_96AC_0006291EBE14_.wvu.Rows" hidden="1">#REF!</definedName>
    <definedName name="あ" localSheetId="6" hidden="1">#REF!</definedName>
    <definedName name="あ" hidden="1">#REF!</definedName>
    <definedName name="ああaaa" localSheetId="11" hidden="1">{"'一覧'!$A$1:$M$28"}</definedName>
    <definedName name="ああaaa" localSheetId="5" hidden="1">{"'一覧'!$A$1:$M$28"}</definedName>
    <definedName name="ああaaa" localSheetId="3" hidden="1">{"'一覧'!$A$1:$M$28"}</definedName>
    <definedName name="ああaaa" localSheetId="0" hidden="1">{"'一覧'!$A$1:$M$28"}</definedName>
    <definedName name="ああaaa" localSheetId="6" hidden="1">{"'一覧'!$A$1:$M$28"}</definedName>
    <definedName name="ああaaa" hidden="1">{"'一覧'!$A$1:$M$28"}</definedName>
    <definedName name="あああ" hidden="1">#REF!</definedName>
    <definedName name="ああああ" localSheetId="11" hidden="1">{"'一覧'!$A$1:$M$28"}</definedName>
    <definedName name="ああああ" localSheetId="5" hidden="1">{"'一覧'!$A$1:$M$28"}</definedName>
    <definedName name="ああああ" localSheetId="3" hidden="1">{"'一覧'!$A$1:$M$28"}</definedName>
    <definedName name="ああああ" localSheetId="0" hidden="1">{"'一覧'!$A$1:$M$28"}</definedName>
    <definedName name="ああああ" localSheetId="6" hidden="1">{"'一覧'!$A$1:$M$28"}</definedName>
    <definedName name="ああああ" hidden="1">{"'一覧'!$A$1:$M$28"}</definedName>
    <definedName name="あああああ" localSheetId="11" hidden="1">{"'一覧'!$A$1:$M$28"}</definedName>
    <definedName name="あああああ" localSheetId="5" hidden="1">{"'一覧'!$A$1:$M$28"}</definedName>
    <definedName name="あああああ" localSheetId="3" hidden="1">{"'一覧'!$A$1:$M$28"}</definedName>
    <definedName name="あああああ" localSheetId="0" hidden="1">{"'一覧'!$A$1:$M$28"}</definedName>
    <definedName name="あああああ" localSheetId="6" hidden="1">{"'一覧'!$A$1:$M$28"}</definedName>
    <definedName name="あああああ" hidden="1">{"'一覧'!$A$1:$M$28"}</definedName>
    <definedName name="ああああああ" hidden="1">#REF!</definedName>
    <definedName name="い" hidden="1">#REF!</definedName>
    <definedName name="いいいい" localSheetId="11" hidden="1">{"'一覧'!$A$1:$M$28"}</definedName>
    <definedName name="いいいい" localSheetId="5" hidden="1">{"'一覧'!$A$1:$M$28"}</definedName>
    <definedName name="いいいい" localSheetId="3" hidden="1">{"'一覧'!$A$1:$M$28"}</definedName>
    <definedName name="いいいい" localSheetId="0" hidden="1">{"'一覧'!$A$1:$M$28"}</definedName>
    <definedName name="いいいい" localSheetId="6" hidden="1">{"'一覧'!$A$1:$M$28"}</definedName>
    <definedName name="いいいい" hidden="1">{"'一覧'!$A$1:$M$28"}</definedName>
    <definedName name="えええ" localSheetId="11" hidden="1">{"'一覧'!$A$1:$M$28"}</definedName>
    <definedName name="えええ" localSheetId="5" hidden="1">{"'一覧'!$A$1:$M$28"}</definedName>
    <definedName name="えええ" localSheetId="3" hidden="1">{"'一覧'!$A$1:$M$28"}</definedName>
    <definedName name="えええ" localSheetId="0" hidden="1">{"'一覧'!$A$1:$M$28"}</definedName>
    <definedName name="えええ" localSheetId="6" hidden="1">{"'一覧'!$A$1:$M$28"}</definedName>
    <definedName name="えええ" hidden="1">{"'一覧'!$A$1:$M$28"}</definedName>
    <definedName name="すすす" localSheetId="11" hidden="1">{"'旅費精算ＤＴ２'!$A$1:$N$40"}</definedName>
    <definedName name="すすす" localSheetId="5" hidden="1">{"'旅費精算ＤＴ２'!$A$1:$N$40"}</definedName>
    <definedName name="すすす" localSheetId="3" hidden="1">{"'旅費精算ＤＴ２'!$A$1:$N$40"}</definedName>
    <definedName name="すすす" localSheetId="0" hidden="1">{"'旅費精算ＤＴ２'!$A$1:$N$40"}</definedName>
    <definedName name="すすす" localSheetId="6" hidden="1">{"'旅費精算ＤＴ２'!$A$1:$N$40"}</definedName>
    <definedName name="すすす" hidden="1">{"'旅費精算ＤＴ２'!$A$1:$N$40"}</definedName>
    <definedName name="ち" localSheetId="11" hidden="1">{"'旅費精算ＤＴ２'!$A$1:$N$40"}</definedName>
    <definedName name="ち" localSheetId="5" hidden="1">{"'旅費精算ＤＴ２'!$A$1:$N$40"}</definedName>
    <definedName name="ち" localSheetId="3" hidden="1">{"'旅費精算ＤＴ２'!$A$1:$N$40"}</definedName>
    <definedName name="ち" localSheetId="0" hidden="1">{"'旅費精算ＤＴ２'!$A$1:$N$40"}</definedName>
    <definedName name="ち" localSheetId="6" hidden="1">{"'旅費精算ＤＴ２'!$A$1:$N$40"}</definedName>
    <definedName name="ち" hidden="1">{"'旅費精算ＤＴ２'!$A$1:$N$40"}</definedName>
    <definedName name="ちち" localSheetId="11" hidden="1">{"'旅費精算ＤＴ２'!$A$1:$N$40"}</definedName>
    <definedName name="ちち" localSheetId="5" hidden="1">{"'旅費精算ＤＴ２'!$A$1:$N$40"}</definedName>
    <definedName name="ちち" localSheetId="3" hidden="1">{"'旅費精算ＤＴ２'!$A$1:$N$40"}</definedName>
    <definedName name="ちち" localSheetId="0" hidden="1">{"'旅費精算ＤＴ２'!$A$1:$N$40"}</definedName>
    <definedName name="ちち" localSheetId="6" hidden="1">{"'旅費精算ＤＴ２'!$A$1:$N$40"}</definedName>
    <definedName name="ちち" hidden="1">{"'旅費精算ＤＴ２'!$A$1:$N$40"}</definedName>
    <definedName name="ちちち" localSheetId="11" hidden="1">{"'旅費精算ＤＴ２'!$A$1:$N$40"}</definedName>
    <definedName name="ちちち" localSheetId="5" hidden="1">{"'旅費精算ＤＴ２'!$A$1:$N$40"}</definedName>
    <definedName name="ちちち" localSheetId="3" hidden="1">{"'旅費精算ＤＴ２'!$A$1:$N$40"}</definedName>
    <definedName name="ちちち" localSheetId="0" hidden="1">{"'旅費精算ＤＴ２'!$A$1:$N$40"}</definedName>
    <definedName name="ちちち" localSheetId="6" hidden="1">{"'旅費精算ＤＴ２'!$A$1:$N$40"}</definedName>
    <definedName name="ちちち" hidden="1">{"'旅費精算ＤＴ２'!$A$1:$N$40"}</definedName>
    <definedName name="っっっっｇ" localSheetId="11" hidden="1">{"'一覧'!$A$1:$M$28"}</definedName>
    <definedName name="っっっっｇ" localSheetId="5" hidden="1">{"'一覧'!$A$1:$M$28"}</definedName>
    <definedName name="っっっっｇ" localSheetId="3" hidden="1">{"'一覧'!$A$1:$M$28"}</definedName>
    <definedName name="っっっっｇ" localSheetId="0" hidden="1">{"'一覧'!$A$1:$M$28"}</definedName>
    <definedName name="っっっっｇ" localSheetId="6" hidden="1">{"'一覧'!$A$1:$M$28"}</definedName>
    <definedName name="っっっっｇ" hidden="1">{"'一覧'!$A$1:$M$28"}</definedName>
    <definedName name="な" localSheetId="11" hidden="1">{"'旅費精算ＤＴ２'!$A$1:$N$40"}</definedName>
    <definedName name="な" localSheetId="5" hidden="1">{"'旅費精算ＤＴ２'!$A$1:$N$40"}</definedName>
    <definedName name="な" localSheetId="3" hidden="1">{"'旅費精算ＤＴ２'!$A$1:$N$40"}</definedName>
    <definedName name="な" localSheetId="0" hidden="1">{"'旅費精算ＤＴ２'!$A$1:$N$40"}</definedName>
    <definedName name="な" localSheetId="6" hidden="1">{"'旅費精算ＤＴ２'!$A$1:$N$40"}</definedName>
    <definedName name="な" hidden="1">{"'旅費精算ＤＴ２'!$A$1:$N$40"}</definedName>
    <definedName name="プロジェクトコスト計画" localSheetId="11" hidden="1">{"'一覧'!$A$1:$M$28"}</definedName>
    <definedName name="プロジェクトコスト計画" localSheetId="5" hidden="1">{"'一覧'!$A$1:$M$28"}</definedName>
    <definedName name="プロジェクトコスト計画" localSheetId="3" hidden="1">{"'一覧'!$A$1:$M$28"}</definedName>
    <definedName name="プロジェクトコスト計画" localSheetId="0" hidden="1">{"'一覧'!$A$1:$M$28"}</definedName>
    <definedName name="プロジェクトコスト計画" localSheetId="6" hidden="1">{"'一覧'!$A$1:$M$28"}</definedName>
    <definedName name="プロジェクトコスト計画" hidden="1">{"'一覧'!$A$1:$M$28"}</definedName>
    <definedName name="プロジェクトコスト計画ｂ" localSheetId="11" hidden="1">{"'一覧'!$A$1:$M$28"}</definedName>
    <definedName name="プロジェクトコスト計画ｂ" localSheetId="5" hidden="1">{"'一覧'!$A$1:$M$28"}</definedName>
    <definedName name="プロジェクトコスト計画ｂ" localSheetId="3" hidden="1">{"'一覧'!$A$1:$M$28"}</definedName>
    <definedName name="プロジェクトコスト計画ｂ" localSheetId="0" hidden="1">{"'一覧'!$A$1:$M$28"}</definedName>
    <definedName name="プロジェクトコスト計画ｂ" localSheetId="6" hidden="1">{"'一覧'!$A$1:$M$28"}</definedName>
    <definedName name="プロジェクトコスト計画ｂ" hidden="1">{"'一覧'!$A$1:$M$28"}</definedName>
    <definedName name="レイアウト検討要" localSheetId="11">#REF!</definedName>
    <definedName name="安藤" localSheetId="5" hidden="1">#REF!</definedName>
    <definedName name="安藤" localSheetId="0" hidden="1">#REF!</definedName>
    <definedName name="安藤" hidden="1">#REF!</definedName>
    <definedName name="関連表" localSheetId="5" hidden="1">#REF!</definedName>
    <definedName name="関連表" localSheetId="0" hidden="1">#REF!</definedName>
    <definedName name="関連表" hidden="1">#REF!</definedName>
    <definedName name="共通" localSheetId="11">ヘッダ!共通</definedName>
    <definedName name="共通">[0]!共通</definedName>
    <definedName name="項目一覧NEW" localSheetId="11">#REF!</definedName>
    <definedName name="種別1" localSheetId="11">#REF!</definedName>
    <definedName name="新業務4" localSheetId="11" hidden="1">{"'旅費精算ＤＴ２'!$A$1:$N$40"}</definedName>
    <definedName name="新業務4" localSheetId="5" hidden="1">{"'旅費精算ＤＴ２'!$A$1:$N$40"}</definedName>
    <definedName name="新業務4" localSheetId="3" hidden="1">{"'旅費精算ＤＴ２'!$A$1:$N$40"}</definedName>
    <definedName name="新業務4" localSheetId="0" hidden="1">{"'旅費精算ＤＴ２'!$A$1:$N$40"}</definedName>
    <definedName name="新業務4" localSheetId="6" hidden="1">{"'旅費精算ＤＴ２'!$A$1:$N$40"}</definedName>
    <definedName name="新業務4" hidden="1">{"'旅費精算ＤＴ２'!$A$1:$N$40"}</definedName>
    <definedName name="束原" hidden="1">#REF!</definedName>
    <definedName name="帳票種別" localSheetId="11">#REF!</definedName>
    <definedName name="目次１" localSheetId="11" hidden="1">{"'一覧'!$A$1:$M$28"}</definedName>
    <definedName name="目次１" localSheetId="5" hidden="1">{"'一覧'!$A$1:$M$28"}</definedName>
    <definedName name="目次１" localSheetId="3" hidden="1">{"'一覧'!$A$1:$M$28"}</definedName>
    <definedName name="目次１" localSheetId="0" hidden="1">{"'一覧'!$A$1:$M$28"}</definedName>
    <definedName name="目次１" localSheetId="6" hidden="1">{"'一覧'!$A$1:$M$28"}</definedName>
    <definedName name="目次１" hidden="1">{"'一覧'!$A$1:$M$28"}</definedName>
    <definedName name="目次１１" localSheetId="11" hidden="1">{"'一覧'!$A$1:$M$28"}</definedName>
    <definedName name="目次１１" localSheetId="5" hidden="1">{"'一覧'!$A$1:$M$28"}</definedName>
    <definedName name="目次１１" localSheetId="3" hidden="1">{"'一覧'!$A$1:$M$28"}</definedName>
    <definedName name="目次１１" localSheetId="0" hidden="1">{"'一覧'!$A$1:$M$28"}</definedName>
    <definedName name="目次１１" localSheetId="6" hidden="1">{"'一覧'!$A$1:$M$28"}</definedName>
    <definedName name="目次１１" hidden="1">{"'一覧'!$A$1:$M$28"}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2" i="17" l="1"/>
  <c r="A91" i="17" l="1"/>
  <c r="A90" i="17"/>
  <c r="A89" i="17"/>
  <c r="A88" i="17"/>
  <c r="A87" i="17"/>
  <c r="A86" i="17"/>
  <c r="A84" i="17"/>
  <c r="A11" i="5" l="1"/>
  <c r="A55" i="17" l="1"/>
  <c r="A25" i="30"/>
  <c r="A24" i="30"/>
  <c r="A61" i="17" l="1"/>
  <c r="A54" i="17"/>
  <c r="A7" i="30" l="1"/>
  <c r="A8" i="30" l="1"/>
  <c r="A9" i="30" s="1"/>
  <c r="A39" i="17" l="1"/>
  <c r="A38" i="17"/>
  <c r="A37" i="17"/>
  <c r="A53" i="17" l="1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62" i="17" l="1"/>
  <c r="A10" i="30" l="1"/>
  <c r="A11" i="30" l="1"/>
  <c r="A12" i="30" s="1"/>
  <c r="A13" i="30" l="1"/>
  <c r="A14" i="30" l="1"/>
  <c r="A15" i="30" s="1"/>
  <c r="A16" i="30" l="1"/>
  <c r="A17" i="30" s="1"/>
  <c r="A19" i="30" s="1"/>
  <c r="A81" i="17"/>
  <c r="A18" i="30" l="1"/>
  <c r="A20" i="30"/>
  <c r="A21" i="30" s="1"/>
  <c r="A83" i="17"/>
  <c r="A80" i="17"/>
  <c r="A79" i="17"/>
  <c r="A78" i="17"/>
  <c r="A77" i="17"/>
  <c r="A76" i="17"/>
  <c r="A75" i="17"/>
  <c r="A23" i="30" l="1"/>
  <c r="A13" i="5"/>
  <c r="A14" i="5"/>
  <c r="A15" i="5"/>
  <c r="A16" i="5"/>
  <c r="A17" i="5"/>
  <c r="A18" i="5"/>
  <c r="A19" i="5"/>
  <c r="A20" i="5"/>
  <c r="A21" i="5"/>
  <c r="A12" i="5"/>
  <c r="A7" i="5"/>
  <c r="A8" i="5" s="1"/>
  <c r="A9" i="5" l="1"/>
  <c r="A10" i="5" s="1"/>
  <c r="A63" i="17"/>
  <c r="A64" i="17"/>
  <c r="A65" i="17"/>
  <c r="A66" i="17"/>
  <c r="A67" i="17"/>
  <c r="A68" i="17"/>
  <c r="A69" i="17"/>
  <c r="A70" i="17"/>
  <c r="A71" i="17"/>
  <c r="A72" i="17"/>
  <c r="A73" i="17"/>
  <c r="A74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57" i="17"/>
  <c r="A58" i="17"/>
  <c r="A59" i="17"/>
  <c r="A60" i="17"/>
  <c r="A8" i="17"/>
  <c r="AT43" i="31" l="1"/>
  <c r="AM43" i="31"/>
  <c r="AH43" i="31"/>
  <c r="AB43" i="31"/>
  <c r="AT38" i="31"/>
  <c r="AM38" i="31"/>
  <c r="AH38" i="31"/>
  <c r="AB38" i="31"/>
  <c r="AT33" i="31"/>
  <c r="AM33" i="31"/>
  <c r="AH33" i="31"/>
  <c r="AB33" i="31"/>
  <c r="AT28" i="31"/>
  <c r="AM28" i="31"/>
  <c r="AH28" i="31"/>
  <c r="AB28" i="31"/>
  <c r="AT23" i="31"/>
  <c r="AM23" i="31"/>
  <c r="AH23" i="31"/>
  <c r="AB23" i="31"/>
  <c r="AT18" i="31"/>
  <c r="AM18" i="31"/>
  <c r="AH18" i="31"/>
  <c r="AB18" i="31"/>
  <c r="AT13" i="31"/>
  <c r="AM13" i="31"/>
  <c r="AH13" i="31"/>
  <c r="AB13" i="31"/>
  <c r="AT8" i="31"/>
  <c r="AM8" i="31"/>
  <c r="AH8" i="31"/>
  <c r="AB8" i="31"/>
  <c r="P28" i="31"/>
  <c r="K28" i="31"/>
  <c r="F28" i="31"/>
  <c r="A28" i="31"/>
  <c r="P43" i="31"/>
  <c r="K43" i="31"/>
  <c r="F43" i="31"/>
  <c r="A43" i="31"/>
  <c r="P38" i="31"/>
  <c r="K38" i="31"/>
  <c r="F38" i="31"/>
  <c r="A38" i="31"/>
  <c r="P33" i="31"/>
  <c r="K33" i="31"/>
  <c r="F33" i="31"/>
  <c r="A33" i="31"/>
  <c r="P23" i="31"/>
  <c r="K23" i="31"/>
  <c r="F23" i="31"/>
  <c r="A23" i="31"/>
  <c r="P18" i="31"/>
  <c r="K18" i="31"/>
  <c r="F18" i="31"/>
  <c r="A18" i="31"/>
  <c r="P13" i="31"/>
  <c r="K13" i="31"/>
  <c r="F13" i="31"/>
  <c r="A13" i="31"/>
  <c r="P8" i="31"/>
  <c r="K8" i="31"/>
  <c r="F8" i="31"/>
  <c r="A8" i="31"/>
  <c r="AT3" i="31"/>
  <c r="AM3" i="31"/>
  <c r="AH3" i="31"/>
  <c r="AB3" i="31"/>
  <c r="P3" i="31"/>
  <c r="K3" i="31"/>
  <c r="F3" i="31"/>
  <c r="A3" i="31"/>
  <c r="CM2" i="15" l="1"/>
  <c r="CM1" i="15"/>
  <c r="CM3" i="15"/>
  <c r="CQ3" i="15"/>
  <c r="CM4" i="15"/>
  <c r="BU41" i="31" l="1"/>
  <c r="BU21" i="31"/>
  <c r="BU1" i="31"/>
  <c r="BU36" i="31"/>
  <c r="BU16" i="31"/>
  <c r="BU11" i="31"/>
  <c r="BU6" i="31"/>
  <c r="BU31" i="31"/>
  <c r="BU26" i="31"/>
  <c r="BU42" i="31"/>
  <c r="BU22" i="31"/>
  <c r="BU2" i="31"/>
  <c r="BU37" i="31"/>
  <c r="BU17" i="31"/>
  <c r="BU12" i="31"/>
  <c r="BU7" i="31"/>
  <c r="BU32" i="31"/>
  <c r="BU27" i="31"/>
  <c r="BU43" i="31"/>
  <c r="BU44" i="31"/>
  <c r="BY43" i="31"/>
  <c r="BU38" i="31"/>
  <c r="BU39" i="31"/>
  <c r="BY38" i="31"/>
  <c r="BU33" i="31"/>
  <c r="BU34" i="31"/>
  <c r="BY33" i="31"/>
  <c r="BU28" i="31"/>
  <c r="BU29" i="31"/>
  <c r="BY28" i="31"/>
  <c r="BU23" i="31"/>
  <c r="BU24" i="31"/>
  <c r="BY23" i="31"/>
  <c r="BU18" i="31"/>
  <c r="BU19" i="31"/>
  <c r="BY18" i="31"/>
  <c r="BU13" i="31"/>
  <c r="BU14" i="31"/>
  <c r="BY13" i="31"/>
  <c r="BU8" i="31"/>
  <c r="BU9" i="31"/>
  <c r="BY8" i="31"/>
  <c r="BY3" i="31"/>
  <c r="BU4" i="31"/>
  <c r="BU3" i="31"/>
</calcChain>
</file>

<file path=xl/sharedStrings.xml><?xml version="1.0" encoding="utf-8"?>
<sst xmlns="http://schemas.openxmlformats.org/spreadsheetml/2006/main" count="1647" uniqueCount="612">
  <si>
    <t>システム</t>
    <phoneticPr fontId="3"/>
  </si>
  <si>
    <t>サブシステム</t>
    <phoneticPr fontId="3"/>
  </si>
  <si>
    <t>フェーズ</t>
    <phoneticPr fontId="3"/>
  </si>
  <si>
    <t>ドキュメント名</t>
    <rPh sb="6" eb="7">
      <t>メイ</t>
    </rPh>
    <phoneticPr fontId="3"/>
  </si>
  <si>
    <t>機能分類</t>
    <rPh sb="0" eb="4">
      <t>キノウブンルイ</t>
    </rPh>
    <phoneticPr fontId="3"/>
  </si>
  <si>
    <t>機能ID</t>
    <rPh sb="0" eb="2">
      <t>キノウ</t>
    </rPh>
    <phoneticPr fontId="3"/>
  </si>
  <si>
    <t>画面ID</t>
    <rPh sb="0" eb="2">
      <t>ガメン</t>
    </rPh>
    <phoneticPr fontId="9"/>
  </si>
  <si>
    <t>画面名</t>
    <rPh sb="0" eb="3">
      <t>ガメンメイ</t>
    </rPh>
    <phoneticPr fontId="3"/>
  </si>
  <si>
    <t>作成者</t>
    <rPh sb="0" eb="3">
      <t>サクセイシャ</t>
    </rPh>
    <phoneticPr fontId="3"/>
  </si>
  <si>
    <t>版</t>
    <rPh sb="0" eb="1">
      <t>ハン</t>
    </rPh>
    <phoneticPr fontId="3"/>
  </si>
  <si>
    <t>作成日</t>
    <rPh sb="0" eb="2">
      <t>サクセイ</t>
    </rPh>
    <phoneticPr fontId="3"/>
  </si>
  <si>
    <t>NICCS</t>
    <phoneticPr fontId="3"/>
  </si>
  <si>
    <t>画面設計書</t>
    <rPh sb="0" eb="5">
      <t>ガメンセッケイショ</t>
    </rPh>
    <phoneticPr fontId="9"/>
  </si>
  <si>
    <t>更新者</t>
    <rPh sb="0" eb="3">
      <t>コウシンシャ</t>
    </rPh>
    <phoneticPr fontId="3"/>
  </si>
  <si>
    <t>更新日</t>
    <rPh sb="0" eb="3">
      <t>コウシンビ</t>
    </rPh>
    <phoneticPr fontId="3"/>
  </si>
  <si>
    <t>■改版履歴一覧</t>
    <phoneticPr fontId="3"/>
  </si>
  <si>
    <t>版数</t>
    <rPh sb="0" eb="2">
      <t>ハンスウ</t>
    </rPh>
    <phoneticPr fontId="3"/>
  </si>
  <si>
    <t>作成日</t>
    <rPh sb="0" eb="3">
      <t>サクセイビ</t>
    </rPh>
    <phoneticPr fontId="3"/>
  </si>
  <si>
    <t>変更シート</t>
    <rPh sb="0" eb="2">
      <t>ヘンコウ</t>
    </rPh>
    <phoneticPr fontId="3"/>
  </si>
  <si>
    <t>変更内容</t>
    <rPh sb="0" eb="2">
      <t>ヘンコウ</t>
    </rPh>
    <rPh sb="2" eb="4">
      <t>ナイヨウ</t>
    </rPh>
    <phoneticPr fontId="3"/>
  </si>
  <si>
    <t>画面項目説明書</t>
    <rPh sb="0" eb="2">
      <t>ガメン</t>
    </rPh>
    <rPh sb="2" eb="7">
      <t>コウモクセツメイショ</t>
    </rPh>
    <phoneticPr fontId="6"/>
  </si>
  <si>
    <t>画面チェック仕様書</t>
    <rPh sb="0" eb="2">
      <t>ガメン</t>
    </rPh>
    <rPh sb="6" eb="8">
      <t>シヨウ</t>
    </rPh>
    <rPh sb="8" eb="9">
      <t>ショ</t>
    </rPh>
    <phoneticPr fontId="6"/>
  </si>
  <si>
    <t>CSVレイアウト</t>
    <phoneticPr fontId="6"/>
  </si>
  <si>
    <t>属性</t>
    <phoneticPr fontId="3"/>
  </si>
  <si>
    <t>必須</t>
    <rPh sb="0" eb="2">
      <t>ヒッス</t>
    </rPh>
    <phoneticPr fontId="6"/>
  </si>
  <si>
    <t>表示</t>
    <rPh sb="0" eb="2">
      <t>ヒョウジ</t>
    </rPh>
    <phoneticPr fontId="6"/>
  </si>
  <si>
    <t>I/O</t>
    <phoneticPr fontId="3"/>
  </si>
  <si>
    <t>エラー種別</t>
    <rPh sb="3" eb="5">
      <t>シュベツ</t>
    </rPh>
    <phoneticPr fontId="6"/>
  </si>
  <si>
    <t>WPエラー種別</t>
    <rPh sb="5" eb="7">
      <t>シュベツ</t>
    </rPh>
    <phoneticPr fontId="6"/>
  </si>
  <si>
    <t>属性</t>
    <rPh sb="0" eb="2">
      <t>ゾクセイ</t>
    </rPh>
    <phoneticPr fontId="6"/>
  </si>
  <si>
    <t>CODE</t>
    <phoneticPr fontId="3"/>
  </si>
  <si>
    <t>○</t>
    <phoneticPr fontId="3"/>
  </si>
  <si>
    <t>非表示</t>
    <rPh sb="0" eb="3">
      <t>ヒヒョウジ</t>
    </rPh>
    <phoneticPr fontId="6"/>
  </si>
  <si>
    <t>IO入出力</t>
    <rPh sb="2" eb="5">
      <t>ニュウシュツリョク</t>
    </rPh>
    <phoneticPr fontId="3"/>
  </si>
  <si>
    <t>エラー</t>
    <phoneticPr fontId="6"/>
  </si>
  <si>
    <t>IO</t>
    <phoneticPr fontId="6"/>
  </si>
  <si>
    <t>TEXT</t>
    <phoneticPr fontId="3"/>
  </si>
  <si>
    <t>I入力</t>
    <rPh sb="1" eb="3">
      <t>ニュウリョク</t>
    </rPh>
    <phoneticPr fontId="3"/>
  </si>
  <si>
    <t>ワーニング</t>
    <phoneticPr fontId="6"/>
  </si>
  <si>
    <t>BP</t>
    <phoneticPr fontId="6"/>
  </si>
  <si>
    <t>NUM</t>
    <phoneticPr fontId="3"/>
  </si>
  <si>
    <t>O出力</t>
    <rPh sb="1" eb="3">
      <t>シュツリョク</t>
    </rPh>
    <phoneticPr fontId="3"/>
  </si>
  <si>
    <t>DATE</t>
    <phoneticPr fontId="3"/>
  </si>
  <si>
    <t>Aアクション</t>
    <phoneticPr fontId="3"/>
  </si>
  <si>
    <t>TIME</t>
    <phoneticPr fontId="3"/>
  </si>
  <si>
    <t>Gグループ</t>
    <phoneticPr fontId="3"/>
  </si>
  <si>
    <t>BOOL</t>
    <phoneticPr fontId="3"/>
  </si>
  <si>
    <t>-</t>
    <phoneticPr fontId="3"/>
  </si>
  <si>
    <t>FILE</t>
    <phoneticPr fontId="3"/>
  </si>
  <si>
    <t>DM</t>
    <phoneticPr fontId="6"/>
  </si>
  <si>
    <t>概要</t>
    <rPh sb="0" eb="2">
      <t>ガイヨウ</t>
    </rPh>
    <phoneticPr fontId="7"/>
  </si>
  <si>
    <t>対象条件</t>
    <rPh sb="0" eb="2">
      <t>タイショウ</t>
    </rPh>
    <rPh sb="2" eb="4">
      <t>ジョウケン</t>
    </rPh>
    <phoneticPr fontId="7"/>
  </si>
  <si>
    <t>論理名称</t>
    <rPh sb="0" eb="2">
      <t>ロンリ</t>
    </rPh>
    <rPh sb="2" eb="4">
      <t>メイショウ</t>
    </rPh>
    <phoneticPr fontId="7"/>
  </si>
  <si>
    <t>物理名称</t>
    <rPh sb="0" eb="2">
      <t>ブツリ</t>
    </rPh>
    <rPh sb="2" eb="4">
      <t>メイショウ</t>
    </rPh>
    <phoneticPr fontId="7"/>
  </si>
  <si>
    <t>CRUD</t>
    <phoneticPr fontId="6"/>
  </si>
  <si>
    <t>入出力タイプ</t>
    <rPh sb="0" eb="3">
      <t>ニュウシュツリョク</t>
    </rPh>
    <phoneticPr fontId="7"/>
  </si>
  <si>
    <t>外部ファイル</t>
    <rPh sb="0" eb="2">
      <t>ガイブ</t>
    </rPh>
    <phoneticPr fontId="3"/>
  </si>
  <si>
    <t>部分入出力</t>
    <rPh sb="0" eb="2">
      <t>ブブン</t>
    </rPh>
    <rPh sb="2" eb="5">
      <t>ニュウシュツリョク</t>
    </rPh>
    <phoneticPr fontId="7"/>
  </si>
  <si>
    <t>欄外</t>
    <rPh sb="0" eb="2">
      <t>ランガイ</t>
    </rPh>
    <phoneticPr fontId="9"/>
  </si>
  <si>
    <t>項番</t>
    <rPh sb="0" eb="1">
      <t>コウ</t>
    </rPh>
    <rPh sb="1" eb="2">
      <t>バン</t>
    </rPh>
    <phoneticPr fontId="7"/>
  </si>
  <si>
    <t>入出力仕様</t>
    <rPh sb="0" eb="3">
      <t>ニュウシュツリョク</t>
    </rPh>
    <rPh sb="3" eb="5">
      <t>シヨウ</t>
    </rPh>
    <phoneticPr fontId="7"/>
  </si>
  <si>
    <t>対象データモデル情報</t>
    <rPh sb="0" eb="2">
      <t>タイショウ</t>
    </rPh>
    <rPh sb="8" eb="10">
      <t>ジョウホウ</t>
    </rPh>
    <phoneticPr fontId="7"/>
  </si>
  <si>
    <t>フォーマット</t>
    <phoneticPr fontId="7"/>
  </si>
  <si>
    <t>編集仕様</t>
    <rPh sb="0" eb="2">
      <t>ヘンシュウ</t>
    </rPh>
    <rPh sb="2" eb="4">
      <t>シヨウ</t>
    </rPh>
    <phoneticPr fontId="7"/>
  </si>
  <si>
    <t>加工式</t>
    <rPh sb="0" eb="2">
      <t>カコウ</t>
    </rPh>
    <rPh sb="2" eb="3">
      <t>シキ</t>
    </rPh>
    <phoneticPr fontId="7"/>
  </si>
  <si>
    <t>選択リスト</t>
    <rPh sb="0" eb="2">
      <t>センタク</t>
    </rPh>
    <phoneticPr fontId="7"/>
  </si>
  <si>
    <t>表示条件</t>
    <rPh sb="0" eb="2">
      <t>ヒョウジ</t>
    </rPh>
    <rPh sb="2" eb="4">
      <t>ジョウケン</t>
    </rPh>
    <phoneticPr fontId="7"/>
  </si>
  <si>
    <t>備考</t>
    <rPh sb="0" eb="2">
      <t>ビコウ</t>
    </rPh>
    <phoneticPr fontId="7"/>
  </si>
  <si>
    <t>項目名</t>
    <rPh sb="0" eb="2">
      <t>コウモク</t>
    </rPh>
    <rPh sb="2" eb="3">
      <t>メイ</t>
    </rPh>
    <phoneticPr fontId="7"/>
  </si>
  <si>
    <t>I/O</t>
    <phoneticPr fontId="7"/>
  </si>
  <si>
    <t>必須</t>
    <rPh sb="0" eb="2">
      <t>ヒッス</t>
    </rPh>
    <phoneticPr fontId="7"/>
  </si>
  <si>
    <t>表示</t>
    <rPh sb="0" eb="2">
      <t>ヒョウジ</t>
    </rPh>
    <phoneticPr fontId="7"/>
  </si>
  <si>
    <t>属性(WP)</t>
    <rPh sb="0" eb="2">
      <t>ゾクセイ</t>
    </rPh>
    <phoneticPr fontId="7"/>
  </si>
  <si>
    <t>属性</t>
    <rPh sb="0" eb="2">
      <t>ゾクセイ</t>
    </rPh>
    <phoneticPr fontId="7"/>
  </si>
  <si>
    <t>桁数(WP)</t>
    <rPh sb="0" eb="2">
      <t>ケタスウ</t>
    </rPh>
    <phoneticPr fontId="7"/>
  </si>
  <si>
    <t>桁数</t>
    <rPh sb="0" eb="2">
      <t>ケタスウ</t>
    </rPh>
    <phoneticPr fontId="7"/>
  </si>
  <si>
    <t>ソート順</t>
    <rPh sb="3" eb="4">
      <t>ジュン</t>
    </rPh>
    <phoneticPr fontId="7"/>
  </si>
  <si>
    <t>データモデル名</t>
    <rPh sb="6" eb="7">
      <t>メイ</t>
    </rPh>
    <phoneticPr fontId="7"/>
  </si>
  <si>
    <t>WP項目名</t>
    <rPh sb="2" eb="4">
      <t>コウモク</t>
    </rPh>
    <rPh sb="4" eb="5">
      <t>メイ</t>
    </rPh>
    <phoneticPr fontId="7"/>
  </si>
  <si>
    <t>機能名</t>
    <phoneticPr fontId="7"/>
  </si>
  <si>
    <t>機能説明</t>
    <rPh sb="0" eb="2">
      <t>キノウ</t>
    </rPh>
    <rPh sb="2" eb="4">
      <t>セツメイ</t>
    </rPh>
    <phoneticPr fontId="7"/>
  </si>
  <si>
    <t>項目名</t>
    <rPh sb="0" eb="3">
      <t>コウモクメイ</t>
    </rPh>
    <phoneticPr fontId="7"/>
  </si>
  <si>
    <t>実装メモ</t>
    <rPh sb="0" eb="2">
      <t>ジッソウ</t>
    </rPh>
    <phoneticPr fontId="7"/>
  </si>
  <si>
    <t>チェック名</t>
    <rPh sb="4" eb="5">
      <t>メイ</t>
    </rPh>
    <phoneticPr fontId="7"/>
  </si>
  <si>
    <t>種別</t>
    <rPh sb="0" eb="2">
      <t>シュベツ</t>
    </rPh>
    <phoneticPr fontId="9"/>
  </si>
  <si>
    <t>チェック仕様</t>
    <rPh sb="4" eb="6">
      <t>シヨウ</t>
    </rPh>
    <phoneticPr fontId="7"/>
  </si>
  <si>
    <t>チェックアクション</t>
    <phoneticPr fontId="7"/>
  </si>
  <si>
    <t>メッセージID</t>
  </si>
  <si>
    <t>メッセージ内容</t>
    <rPh sb="5" eb="7">
      <t>ナイヨウ</t>
    </rPh>
    <phoneticPr fontId="3"/>
  </si>
  <si>
    <t>パラメータ</t>
    <phoneticPr fontId="3"/>
  </si>
  <si>
    <t>備考</t>
    <rPh sb="0" eb="2">
      <t>ビコウ</t>
    </rPh>
    <phoneticPr fontId="3"/>
  </si>
  <si>
    <t>IO,BP,ワーニング</t>
    <phoneticPr fontId="9"/>
  </si>
  <si>
    <t>e-bas
実装有無</t>
    <rPh sb="6" eb="8">
      <t>ジッソウ</t>
    </rPh>
    <rPh sb="8" eb="10">
      <t>ウム</t>
    </rPh>
    <phoneticPr fontId="3"/>
  </si>
  <si>
    <t>NICCS
実装要否</t>
    <rPh sb="6" eb="10">
      <t>ジッソウヨウヒ</t>
    </rPh>
    <phoneticPr fontId="3"/>
  </si>
  <si>
    <t>メモ</t>
    <phoneticPr fontId="7"/>
  </si>
  <si>
    <t>{1}</t>
    <phoneticPr fontId="3"/>
  </si>
  <si>
    <t>{2}</t>
    <phoneticPr fontId="3"/>
  </si>
  <si>
    <t>{3}</t>
    <phoneticPr fontId="3"/>
  </si>
  <si>
    <t>{4}</t>
    <phoneticPr fontId="3"/>
  </si>
  <si>
    <t>{5}</t>
    <phoneticPr fontId="3"/>
  </si>
  <si>
    <t>●</t>
  </si>
  <si>
    <t>●</t>
    <phoneticPr fontId="3"/>
  </si>
  <si>
    <t>項目</t>
    <rPh sb="0" eb="2">
      <t>コウモク</t>
    </rPh>
    <phoneticPr fontId="7"/>
  </si>
  <si>
    <t>データモデル</t>
    <phoneticPr fontId="7"/>
  </si>
  <si>
    <t>操作</t>
    <rPh sb="0" eb="2">
      <t>ソウサ</t>
    </rPh>
    <phoneticPr fontId="7"/>
  </si>
  <si>
    <t>DB設定項目</t>
    <rPh sb="2" eb="4">
      <t>セッテイ</t>
    </rPh>
    <rPh sb="4" eb="6">
      <t>コウモク</t>
    </rPh>
    <phoneticPr fontId="7"/>
  </si>
  <si>
    <t>設定内容</t>
    <rPh sb="0" eb="2">
      <t>セッテイ</t>
    </rPh>
    <rPh sb="2" eb="4">
      <t>ナイヨウ</t>
    </rPh>
    <phoneticPr fontId="7"/>
  </si>
  <si>
    <t>補足説明</t>
    <rPh sb="0" eb="2">
      <t>ホソク</t>
    </rPh>
    <rPh sb="2" eb="4">
      <t>セツメイ</t>
    </rPh>
    <phoneticPr fontId="7"/>
  </si>
  <si>
    <t>シート名</t>
    <rPh sb="3" eb="4">
      <t>メイ</t>
    </rPh>
    <phoneticPr fontId="3"/>
  </si>
  <si>
    <t>画面ID</t>
    <rPh sb="0" eb="2">
      <t>ガメン</t>
    </rPh>
    <phoneticPr fontId="3"/>
  </si>
  <si>
    <t>凡例</t>
    <rPh sb="0" eb="2">
      <t>ハンレイ</t>
    </rPh>
    <phoneticPr fontId="9"/>
  </si>
  <si>
    <t>画面定義書</t>
    <rPh sb="0" eb="2">
      <t>ガメン</t>
    </rPh>
    <rPh sb="2" eb="5">
      <t>テイギショ</t>
    </rPh>
    <phoneticPr fontId="9"/>
  </si>
  <si>
    <t>画面項目説明書</t>
    <rPh sb="0" eb="2">
      <t>ガメン</t>
    </rPh>
    <rPh sb="2" eb="7">
      <t>コウモクセツメイショ</t>
    </rPh>
    <phoneticPr fontId="9"/>
  </si>
  <si>
    <t>画面機能定義書</t>
    <rPh sb="0" eb="2">
      <t>ガメン</t>
    </rPh>
    <rPh sb="2" eb="7">
      <t>キノウテイギショ</t>
    </rPh>
    <phoneticPr fontId="9"/>
  </si>
  <si>
    <t>画面チェック仕様書</t>
    <rPh sb="0" eb="2">
      <t>ガメン</t>
    </rPh>
    <rPh sb="6" eb="8">
      <t>シヨウ</t>
    </rPh>
    <rPh sb="8" eb="9">
      <t>ショ</t>
    </rPh>
    <phoneticPr fontId="9"/>
  </si>
  <si>
    <t>CSVレイアウト</t>
    <phoneticPr fontId="9"/>
  </si>
  <si>
    <t>処理機能記述書</t>
    <rPh sb="0" eb="7">
      <t>ショリキノウキジュツショ</t>
    </rPh>
    <phoneticPr fontId="9"/>
  </si>
  <si>
    <t>DB設定項目定義</t>
    <rPh sb="2" eb="8">
      <t>セッテイコウモクテイギ</t>
    </rPh>
    <phoneticPr fontId="9"/>
  </si>
  <si>
    <t>補足説明書</t>
    <rPh sb="0" eb="5">
      <t>ホソクセツメイショ</t>
    </rPh>
    <phoneticPr fontId="9"/>
  </si>
  <si>
    <t>－</t>
    <phoneticPr fontId="3"/>
  </si>
  <si>
    <t>対象データモデル</t>
    <rPh sb="0" eb="2">
      <t>タイショウ</t>
    </rPh>
    <phoneticPr fontId="7"/>
  </si>
  <si>
    <t>処理対象データモデル</t>
    <rPh sb="0" eb="2">
      <t>ショリ</t>
    </rPh>
    <rPh sb="2" eb="4">
      <t>タイショウ</t>
    </rPh>
    <phoneticPr fontId="7"/>
  </si>
  <si>
    <t>操作コード</t>
    <rPh sb="0" eb="2">
      <t>ソウサ</t>
    </rPh>
    <phoneticPr fontId="7"/>
  </si>
  <si>
    <t>名前</t>
    <rPh sb="0" eb="2">
      <t>ナマエ</t>
    </rPh>
    <phoneticPr fontId="7"/>
  </si>
  <si>
    <t>項目名</t>
    <rPh sb="0" eb="2">
      <t>コウモク</t>
    </rPh>
    <rPh sb="2" eb="3">
      <t>メイ</t>
    </rPh>
    <phoneticPr fontId="9"/>
  </si>
  <si>
    <t>順</t>
    <rPh sb="0" eb="1">
      <t>ジュン</t>
    </rPh>
    <phoneticPr fontId="7"/>
  </si>
  <si>
    <t>1</t>
    <phoneticPr fontId="9"/>
  </si>
  <si>
    <t>初期表示処理</t>
    <rPh sb="0" eb="2">
      <t>ショキ</t>
    </rPh>
    <rPh sb="2" eb="4">
      <t>ヒョウジ</t>
    </rPh>
    <rPh sb="4" eb="6">
      <t>ショリ</t>
    </rPh>
    <phoneticPr fontId="3"/>
  </si>
  <si>
    <t>「更新」ボタン押下処理</t>
    <rPh sb="1" eb="3">
      <t>コウシン</t>
    </rPh>
    <rPh sb="7" eb="9">
      <t>オウカ</t>
    </rPh>
    <rPh sb="9" eb="11">
      <t>ショリ</t>
    </rPh>
    <phoneticPr fontId="3"/>
  </si>
  <si>
    <t>1)</t>
    <phoneticPr fontId="3"/>
  </si>
  <si>
    <t>メッセージ</t>
    <phoneticPr fontId="3"/>
  </si>
  <si>
    <t>事前メッセージ</t>
  </si>
  <si>
    <t>：</t>
  </si>
  <si>
    <t>OKメッセージ</t>
    <phoneticPr fontId="3"/>
  </si>
  <si>
    <t>NGメッセージ</t>
    <phoneticPr fontId="3"/>
  </si>
  <si>
    <t>なし</t>
    <phoneticPr fontId="9"/>
  </si>
  <si>
    <t>2)</t>
    <phoneticPr fontId="3"/>
  </si>
  <si>
    <t>次画面遷移</t>
    <phoneticPr fontId="3"/>
  </si>
  <si>
    <t>変更破棄確認</t>
    <rPh sb="0" eb="2">
      <t>ヘンコウ</t>
    </rPh>
    <rPh sb="2" eb="4">
      <t>ハキ</t>
    </rPh>
    <rPh sb="4" eb="6">
      <t>カクニン</t>
    </rPh>
    <phoneticPr fontId="3"/>
  </si>
  <si>
    <t>：</t>
    <phoneticPr fontId="3"/>
  </si>
  <si>
    <t>次入出力</t>
    <rPh sb="0" eb="1">
      <t>ツギ</t>
    </rPh>
    <rPh sb="1" eb="4">
      <t>ニュウシュツリョク</t>
    </rPh>
    <phoneticPr fontId="3"/>
  </si>
  <si>
    <t>3)</t>
    <phoneticPr fontId="3"/>
  </si>
  <si>
    <t>処理内容</t>
    <rPh sb="0" eb="2">
      <t>ショリ</t>
    </rPh>
    <rPh sb="2" eb="4">
      <t>ナイヨウ</t>
    </rPh>
    <phoneticPr fontId="3"/>
  </si>
  <si>
    <t>なし</t>
    <phoneticPr fontId="3"/>
  </si>
  <si>
    <t>アクション</t>
    <phoneticPr fontId="9"/>
  </si>
  <si>
    <t>Aアクション</t>
  </si>
  <si>
    <t>MTM5210_GNRL_CTRL</t>
  </si>
  <si>
    <t>全体</t>
    <phoneticPr fontId="9"/>
  </si>
  <si>
    <t>新規作成</t>
    <phoneticPr fontId="9"/>
  </si>
  <si>
    <t>マスタ</t>
    <phoneticPr fontId="9"/>
  </si>
  <si>
    <t>一般マスタ管理</t>
    <phoneticPr fontId="9"/>
  </si>
  <si>
    <t>MTI350</t>
    <phoneticPr fontId="9"/>
  </si>
  <si>
    <t>F1 戻る</t>
    <phoneticPr fontId="9"/>
  </si>
  <si>
    <t>汎用データ区分</t>
  </si>
  <si>
    <t>制御区分</t>
    <rPh sb="0" eb="2">
      <t>セイギョ</t>
    </rPh>
    <rPh sb="2" eb="4">
      <t>クブン</t>
    </rPh>
    <phoneticPr fontId="11"/>
  </si>
  <si>
    <t>汎用CD属性</t>
  </si>
  <si>
    <t>汎用CD属性名</t>
    <rPh sb="6" eb="7">
      <t>メイ</t>
    </rPh>
    <phoneticPr fontId="11"/>
  </si>
  <si>
    <t>汎用CD桁数</t>
  </si>
  <si>
    <t>汎用CD最大値</t>
  </si>
  <si>
    <t>汎用CD最小値</t>
  </si>
  <si>
    <t>汎用名属性</t>
  </si>
  <si>
    <t>汎用名属性名</t>
    <rPh sb="5" eb="6">
      <t>メイ</t>
    </rPh>
    <phoneticPr fontId="11"/>
  </si>
  <si>
    <t>汎用名称桁数</t>
  </si>
  <si>
    <t>汎用名称カナ桁数</t>
  </si>
  <si>
    <t>汎用区分1制御FLG</t>
  </si>
  <si>
    <t>汎用数値1制御FLG</t>
  </si>
  <si>
    <t>汎用文字1制御FLG</t>
  </si>
  <si>
    <t>汎用区分2制御FLG</t>
  </si>
  <si>
    <t>汎用数値2制御FLG</t>
  </si>
  <si>
    <t>汎用文字2制御FLG</t>
  </si>
  <si>
    <t>汎用区分3制御FLG</t>
  </si>
  <si>
    <t>汎用数値3制御FLG</t>
  </si>
  <si>
    <t>汎用文字3制御FLG</t>
  </si>
  <si>
    <t>汎用区分4制御FLG</t>
  </si>
  <si>
    <t>汎用数値4制御FLG</t>
  </si>
  <si>
    <t>汎用文字4制御FLG</t>
  </si>
  <si>
    <t>汎用区分5制御FLG</t>
  </si>
  <si>
    <t>汎用数値5制御FLG</t>
  </si>
  <si>
    <t>汎用文字5制御FLG</t>
  </si>
  <si>
    <t>ヘッダ</t>
    <phoneticPr fontId="9"/>
  </si>
  <si>
    <t>総件数</t>
    <rPh sb="0" eb="3">
      <t>ソウケンスウ</t>
    </rPh>
    <phoneticPr fontId="11"/>
  </si>
  <si>
    <t>件</t>
    <rPh sb="0" eb="1">
      <t>ケン</t>
    </rPh>
    <phoneticPr fontId="11"/>
  </si>
  <si>
    <t>汎用テーブル情報</t>
  </si>
  <si>
    <t>汎用コード</t>
  </si>
  <si>
    <t>汎用名</t>
  </si>
  <si>
    <t>汎用名カナ</t>
  </si>
  <si>
    <t>表示順</t>
  </si>
  <si>
    <t>汎用区分1</t>
  </si>
  <si>
    <t>汎用数値1</t>
  </si>
  <si>
    <t>汎用文字1</t>
  </si>
  <si>
    <t>汎用区分2</t>
  </si>
  <si>
    <t>汎用数値2</t>
  </si>
  <si>
    <t>汎用文字2</t>
  </si>
  <si>
    <t>汎用区分3</t>
  </si>
  <si>
    <t>汎用数値3</t>
  </si>
  <si>
    <t>汎用文字3</t>
  </si>
  <si>
    <t>汎用区分4</t>
  </si>
  <si>
    <t>汎用数値4</t>
  </si>
  <si>
    <t>汎用文字4</t>
  </si>
  <si>
    <t>汎用区分5</t>
  </si>
  <si>
    <t>汎用数値5</t>
  </si>
  <si>
    <t>汎用文字5</t>
  </si>
  <si>
    <t>F1 戻る</t>
    <rPh sb="3" eb="4">
      <t>モド</t>
    </rPh>
    <phoneticPr fontId="11"/>
  </si>
  <si>
    <t>F5 更新</t>
    <rPh sb="3" eb="5">
      <t>コウシン</t>
    </rPh>
    <phoneticPr fontId="11"/>
  </si>
  <si>
    <t>IO入出力</t>
    <rPh sb="2" eb="5">
      <t>ニュウシュツリョク</t>
    </rPh>
    <phoneticPr fontId="5"/>
  </si>
  <si>
    <t>O出力</t>
    <rPh sb="1" eb="3">
      <t>シュツリョク</t>
    </rPh>
    <phoneticPr fontId="5"/>
  </si>
  <si>
    <t>Gグループ</t>
  </si>
  <si>
    <t>DM</t>
  </si>
  <si>
    <t>CODE</t>
  </si>
  <si>
    <t>TEXT</t>
  </si>
  <si>
    <t>NUM</t>
  </si>
  <si>
    <t>非表示</t>
    <rPh sb="0" eb="3">
      <t>ヒヒョウジ</t>
    </rPh>
    <phoneticPr fontId="5"/>
  </si>
  <si>
    <t>非表示</t>
    <rPh sb="0" eb="3">
      <t>ヒヒョウジ</t>
    </rPh>
    <phoneticPr fontId="8"/>
  </si>
  <si>
    <t>2
昇順</t>
    <rPh sb="2" eb="4">
      <t>ショウジュン</t>
    </rPh>
    <phoneticPr fontId="11"/>
  </si>
  <si>
    <t>1
昇順</t>
    <rPh sb="2" eb="4">
      <t>ショウジュン</t>
    </rPh>
    <phoneticPr fontId="11"/>
  </si>
  <si>
    <t>制御区分</t>
    <rPh sb="0" eb="4">
      <t>セイギョクブン</t>
    </rPh>
    <phoneticPr fontId="11"/>
  </si>
  <si>
    <t>汎用CD属性</t>
    <rPh sb="0" eb="2">
      <t>ハンヨウ</t>
    </rPh>
    <rPh sb="4" eb="6">
      <t>ゾクセイ</t>
    </rPh>
    <phoneticPr fontId="11"/>
  </si>
  <si>
    <t>汎用CD桁数</t>
    <rPh sb="0" eb="2">
      <t>ハンヨウ</t>
    </rPh>
    <rPh sb="4" eb="6">
      <t>ケタスウ</t>
    </rPh>
    <phoneticPr fontId="11"/>
  </si>
  <si>
    <t>汎用CD最大値</t>
    <rPh sb="0" eb="2">
      <t>ハンヨウ</t>
    </rPh>
    <rPh sb="4" eb="6">
      <t>サイダイ</t>
    </rPh>
    <rPh sb="6" eb="7">
      <t>チ</t>
    </rPh>
    <phoneticPr fontId="11"/>
  </si>
  <si>
    <t>汎用CD最小値</t>
    <rPh sb="0" eb="2">
      <t>ハンヨウ</t>
    </rPh>
    <rPh sb="4" eb="7">
      <t>サイショウチ</t>
    </rPh>
    <phoneticPr fontId="11"/>
  </si>
  <si>
    <t>汎用名属性</t>
    <rPh sb="0" eb="2">
      <t>ハンヨウ</t>
    </rPh>
    <rPh sb="2" eb="3">
      <t>メイ</t>
    </rPh>
    <rPh sb="3" eb="5">
      <t>ゾクセイ</t>
    </rPh>
    <phoneticPr fontId="11"/>
  </si>
  <si>
    <t>汎用名称桁数</t>
    <rPh sb="0" eb="2">
      <t>ハンヨウ</t>
    </rPh>
    <rPh sb="2" eb="4">
      <t>メイショウ</t>
    </rPh>
    <rPh sb="4" eb="6">
      <t>ケタスウ</t>
    </rPh>
    <phoneticPr fontId="11"/>
  </si>
  <si>
    <t>汎用名称カナ桁数</t>
    <rPh sb="0" eb="2">
      <t>ハンヨウ</t>
    </rPh>
    <rPh sb="2" eb="4">
      <t>メイショウ</t>
    </rPh>
    <rPh sb="6" eb="8">
      <t>ケタスウ</t>
    </rPh>
    <phoneticPr fontId="11"/>
  </si>
  <si>
    <t>汎用CD</t>
  </si>
  <si>
    <t>パラメータ.汎用データ区分</t>
    <phoneticPr fontId="9"/>
  </si>
  <si>
    <t>・行追加：あり
・行削除：あり
・チェックボックス：あり
・全選択チェックボックス：なし
・縦スクロールバー：あり
・横スクロールバー：あり</t>
  </si>
  <si>
    <t>ラベル付加：FALSE</t>
    <rPh sb="3" eb="4">
      <t>ツ</t>
    </rPh>
    <rPh sb="4" eb="5">
      <t>カ</t>
    </rPh>
    <phoneticPr fontId="11"/>
  </si>
  <si>
    <t>初期表示（更新）</t>
    <rPh sb="0" eb="4">
      <t>ショキヒョウジ</t>
    </rPh>
    <phoneticPr fontId="5"/>
  </si>
  <si>
    <t>初期表示（照会）</t>
    <rPh sb="0" eb="2">
      <t>ショキ</t>
    </rPh>
    <rPh sb="2" eb="4">
      <t>ヒョウジ</t>
    </rPh>
    <rPh sb="5" eb="7">
      <t>ショウカイ</t>
    </rPh>
    <phoneticPr fontId="5"/>
  </si>
  <si>
    <t>更新</t>
    <rPh sb="0" eb="2">
      <t>コウシン</t>
    </rPh>
    <phoneticPr fontId="8"/>
  </si>
  <si>
    <t>-</t>
  </si>
  <si>
    <t>排他チェック</t>
    <rPh sb="0" eb="2">
      <t>ハイタ</t>
    </rPh>
    <phoneticPr fontId="11"/>
  </si>
  <si>
    <t>エラー</t>
  </si>
  <si>
    <t>〇</t>
  </si>
  <si>
    <t>〇</t>
    <phoneticPr fontId="9"/>
  </si>
  <si>
    <t>{1}は{2}で入力してください。</t>
  </si>
  <si>
    <t>{1}は{2}できません。</t>
  </si>
  <si>
    <t>BP</t>
  </si>
  <si>
    <t>汎用データ区分</t>
    <phoneticPr fontId="9"/>
  </si>
  <si>
    <t>ー</t>
    <phoneticPr fontId="9"/>
  </si>
  <si>
    <t>=</t>
    <phoneticPr fontId="9"/>
  </si>
  <si>
    <t>IO</t>
    <phoneticPr fontId="9"/>
  </si>
  <si>
    <t>更新数</t>
    <rPh sb="0" eb="3">
      <t>コウシンスウ</t>
    </rPh>
    <phoneticPr fontId="9"/>
  </si>
  <si>
    <t>汎用マスタ</t>
    <rPh sb="0" eb="2">
      <t>ハンヨウ</t>
    </rPh>
    <phoneticPr fontId="11"/>
  </si>
  <si>
    <t>汎用マスタ制御マスタ</t>
    <phoneticPr fontId="9"/>
  </si>
  <si>
    <t>DM</t>
    <phoneticPr fontId="9"/>
  </si>
  <si>
    <t>汎用マスタ</t>
    <phoneticPr fontId="9"/>
  </si>
  <si>
    <t>汎用名</t>
    <rPh sb="2" eb="3">
      <t>メイ</t>
    </rPh>
    <phoneticPr fontId="9"/>
  </si>
  <si>
    <t>初期値</t>
    <rPh sb="0" eb="3">
      <t>ショキチ</t>
    </rPh>
    <phoneticPr fontId="7"/>
  </si>
  <si>
    <t>○</t>
  </si>
  <si>
    <t>15,3</t>
    <phoneticPr fontId="9"/>
  </si>
  <si>
    <t>[表示値]
　一覧件数</t>
    <rPh sb="7" eb="9">
      <t>イチラン</t>
    </rPh>
    <rPh sb="9" eb="11">
      <t>ケンスウ</t>
    </rPh>
    <phoneticPr fontId="11"/>
  </si>
  <si>
    <t>BOOL</t>
  </si>
  <si>
    <t>F1 戻る</t>
    <phoneticPr fontId="6"/>
  </si>
  <si>
    <t>F5 更新</t>
    <rPh sb="3" eb="5">
      <t>コウシン</t>
    </rPh>
    <phoneticPr fontId="8"/>
  </si>
  <si>
    <t>汎用コード</t>
    <phoneticPr fontId="9"/>
  </si>
  <si>
    <t>汎用名</t>
    <phoneticPr fontId="9"/>
  </si>
  <si>
    <t>汎用名カナ</t>
    <phoneticPr fontId="9"/>
  </si>
  <si>
    <t>汎用コードが未入力の場合エラーとする</t>
    <rPh sb="6" eb="9">
      <t>ミニュウリョク</t>
    </rPh>
    <rPh sb="10" eb="12">
      <t>バアイ</t>
    </rPh>
    <phoneticPr fontId="11"/>
  </si>
  <si>
    <t>制御区分</t>
    <phoneticPr fontId="9"/>
  </si>
  <si>
    <t>{1}を入力してください。</t>
    <phoneticPr fontId="9"/>
  </si>
  <si>
    <t>汎用名が未入力の場合エラーとする</t>
    <rPh sb="2" eb="3">
      <t>メイ</t>
    </rPh>
    <phoneticPr fontId="11"/>
  </si>
  <si>
    <t>表示順</t>
    <rPh sb="0" eb="3">
      <t>ヒョウジジュン</t>
    </rPh>
    <phoneticPr fontId="9"/>
  </si>
  <si>
    <t>表示順が未入力の場合エラーとする</t>
    <phoneticPr fontId="11"/>
  </si>
  <si>
    <t>表示順</t>
    <phoneticPr fontId="9"/>
  </si>
  <si>
    <t>汎用データ区分コード</t>
    <phoneticPr fontId="9"/>
  </si>
  <si>
    <t>「戻る」ボタン押下処理</t>
    <rPh sb="1" eb="2">
      <t>モド</t>
    </rPh>
    <phoneticPr fontId="9"/>
  </si>
  <si>
    <t>1)</t>
  </si>
  <si>
    <t>メッセージ</t>
  </si>
  <si>
    <t>なし</t>
  </si>
  <si>
    <t>OKメッセージ</t>
  </si>
  <si>
    <t>NGメッセージ</t>
  </si>
  <si>
    <t>2)</t>
  </si>
  <si>
    <t>次画面遷移</t>
  </si>
  <si>
    <t>変更破棄確認</t>
    <rPh sb="0" eb="2">
      <t>ヘンコウ</t>
    </rPh>
    <rPh sb="2" eb="4">
      <t>ハキ</t>
    </rPh>
    <rPh sb="4" eb="6">
      <t>カクニン</t>
    </rPh>
    <phoneticPr fontId="2"/>
  </si>
  <si>
    <t>あり</t>
  </si>
  <si>
    <t>次入出力</t>
    <rPh sb="0" eb="1">
      <t>ツギ</t>
    </rPh>
    <rPh sb="1" eb="4">
      <t>ニュウシュツリョク</t>
    </rPh>
    <phoneticPr fontId="2"/>
  </si>
  <si>
    <t>3)</t>
  </si>
  <si>
    <t>処理内容</t>
    <rPh sb="0" eb="2">
      <t>ショリ</t>
    </rPh>
    <rPh sb="2" eb="4">
      <t>ナイヨウ</t>
    </rPh>
    <phoneticPr fontId="2"/>
  </si>
  <si>
    <t>(1) 入力チェック</t>
    <rPh sb="4" eb="6">
      <t>ニュウリョク</t>
    </rPh>
    <phoneticPr fontId="3"/>
  </si>
  <si>
    <t>行番号表示：WHOLE</t>
    <phoneticPr fontId="9"/>
  </si>
  <si>
    <t>1.</t>
  </si>
  <si>
    <t>2.</t>
  </si>
  <si>
    <t>3.</t>
  </si>
  <si>
    <t>4.</t>
  </si>
  <si>
    <t>(必須チェック)表示順</t>
    <rPh sb="1" eb="3">
      <t>ヒッス</t>
    </rPh>
    <phoneticPr fontId="11"/>
  </si>
  <si>
    <t>(必須チェック)汎用コード</t>
  </si>
  <si>
    <t>(桁数チェック)汎用コード</t>
  </si>
  <si>
    <t>(最大値チェック)汎用コード</t>
    <rPh sb="1" eb="4">
      <t>サイダイチ</t>
    </rPh>
    <rPh sb="9" eb="11">
      <t>ハンヨウ</t>
    </rPh>
    <phoneticPr fontId="11"/>
  </si>
  <si>
    <t>(最小値チェック)汎用コード</t>
    <rPh sb="9" eb="11">
      <t>ハンヨウ</t>
    </rPh>
    <phoneticPr fontId="11"/>
  </si>
  <si>
    <t>(重複チェック)汎用コード</t>
    <rPh sb="1" eb="3">
      <t>ジュウフク</t>
    </rPh>
    <rPh sb="8" eb="10">
      <t>ハンヨウ</t>
    </rPh>
    <phoneticPr fontId="11"/>
  </si>
  <si>
    <t>(必須チェック)汎用名</t>
    <rPh sb="1" eb="3">
      <t>ヒッス</t>
    </rPh>
    <phoneticPr fontId="11"/>
  </si>
  <si>
    <t>(桁数チェック)汎用名</t>
  </si>
  <si>
    <t>(桁数チェック)汎用名カナ</t>
  </si>
  <si>
    <t>(追加範囲外チェック)制御区分</t>
    <rPh sb="13" eb="15">
      <t>クブン</t>
    </rPh>
    <phoneticPr fontId="9"/>
  </si>
  <si>
    <t>(削除範囲外チェック)制御区分</t>
  </si>
  <si>
    <t>汎用マスタ制御マスタ.汎用データ区分</t>
    <rPh sb="0" eb="2">
      <t>ハンヨウ</t>
    </rPh>
    <rPh sb="5" eb="7">
      <t>セイギョ</t>
    </rPh>
    <phoneticPr fontId="9"/>
  </si>
  <si>
    <t>汎用データ区分</t>
    <rPh sb="0" eb="2">
      <t>ハンヨウ</t>
    </rPh>
    <rPh sb="5" eb="7">
      <t>クブン</t>
    </rPh>
    <phoneticPr fontId="3"/>
  </si>
  <si>
    <t>汎用テーブル情報一覧</t>
    <phoneticPr fontId="9"/>
  </si>
  <si>
    <t>画面遷移（戻る）</t>
    <rPh sb="0" eb="2">
      <t>ガメン</t>
    </rPh>
    <rPh sb="2" eb="4">
      <t>センイ</t>
    </rPh>
    <rPh sb="5" eb="6">
      <t>モド</t>
    </rPh>
    <phoneticPr fontId="5"/>
  </si>
  <si>
    <t>アクションボタン</t>
    <phoneticPr fontId="6"/>
  </si>
  <si>
    <t>汎用テーブル一覧画面へ画面遷移する。</t>
    <rPh sb="0" eb="2">
      <t>ハンヨウ</t>
    </rPh>
    <rPh sb="6" eb="8">
      <t>イチラン</t>
    </rPh>
    <phoneticPr fontId="8"/>
  </si>
  <si>
    <t>汎用マスタ制御マスタ</t>
    <rPh sb="0" eb="2">
      <t>ハンヨウ</t>
    </rPh>
    <rPh sb="5" eb="7">
      <t>セイギョ</t>
    </rPh>
    <phoneticPr fontId="9"/>
  </si>
  <si>
    <t>MTM5210_GNRL_CTRL</t>
    <phoneticPr fontId="9"/>
  </si>
  <si>
    <t>汎用区分1見出し</t>
  </si>
  <si>
    <t>汎用数値1見出し</t>
  </si>
  <si>
    <t>汎用文字1見出し</t>
  </si>
  <si>
    <t>汎用区分2見出し</t>
  </si>
  <si>
    <t>汎用数値2見出し</t>
  </si>
  <si>
    <t>汎用文字2見出し</t>
  </si>
  <si>
    <t>汎用区分3見出し</t>
  </si>
  <si>
    <t>汎用数値3見出し</t>
  </si>
  <si>
    <t>汎用文字3見出し</t>
  </si>
  <si>
    <t>汎用区分4見出し</t>
  </si>
  <si>
    <t>汎用数値4見出し</t>
  </si>
  <si>
    <t>汎用文字4見出し</t>
  </si>
  <si>
    <t>汎用区分5見出し</t>
  </si>
  <si>
    <t>汎用数値5見出し</t>
  </si>
  <si>
    <t>汎用文字5見出し</t>
  </si>
  <si>
    <t>汎用CD見出し</t>
    <phoneticPr fontId="9"/>
  </si>
  <si>
    <t>汎用名見出し</t>
    <phoneticPr fontId="9"/>
  </si>
  <si>
    <t>汎用名カナ見出し</t>
    <phoneticPr fontId="9"/>
  </si>
  <si>
    <t>パラメータ.汎用データ区分</t>
  </si>
  <si>
    <t>NO.</t>
  </si>
  <si>
    <t>-###0.#</t>
  </si>
  <si>
    <t>ラベル式：画面.汎用名見出し
（未設定時、"汎用名"を表示）</t>
    <rPh sb="3" eb="4">
      <t>シキ</t>
    </rPh>
    <rPh sb="5" eb="7">
      <t>ガメン</t>
    </rPh>
    <phoneticPr fontId="11"/>
  </si>
  <si>
    <t>ラベル式：画面.汎用名カナ見出し
（未設定時、"汎用名カナ"を表示）</t>
    <rPh sb="3" eb="4">
      <t>シキ</t>
    </rPh>
    <rPh sb="5" eb="7">
      <t>ガメン</t>
    </rPh>
    <phoneticPr fontId="11"/>
  </si>
  <si>
    <t>[活性/非活性条件]
画面.汎用区分1制御FLGがTRUEの場合は活性、FALSEの場合は非活性</t>
    <rPh sb="11" eb="13">
      <t>ガメン</t>
    </rPh>
    <rPh sb="14" eb="16">
      <t>ハンヨウ</t>
    </rPh>
    <rPh sb="16" eb="18">
      <t>クブン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</si>
  <si>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画面.汎用数値1制御FLGがTRUEの場合は活性、FALSEの場合は非活性</t>
    <rPh sb="11" eb="13">
      <t>ガメン</t>
    </rPh>
    <rPh sb="14" eb="16">
      <t>ハンヨウ</t>
    </rPh>
    <rPh sb="16" eb="18">
      <t>スウチ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</si>
  <si>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画面.汎用文字1制御FLGがTRUEの場合は活性、FALSEの場合は非活性</t>
    <rPh sb="11" eb="13">
      <t>ガメン</t>
    </rPh>
    <rPh sb="14" eb="16">
      <t>ハンヨウ</t>
    </rPh>
    <rPh sb="16" eb="18">
      <t>モジ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</si>
  <si>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画面.汎用区分2制御FLGがTRUEの場合は活性、FALSEの場合は非活性</t>
    <rPh sb="11" eb="13">
      <t>ガメン</t>
    </rPh>
    <rPh sb="14" eb="16">
      <t>ハンヨウ</t>
    </rPh>
    <rPh sb="16" eb="18">
      <t>クブン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</si>
  <si>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画面.汎用数値2制御FLGがTRUEの場合は活性、FALSEの場合は非活性</t>
    <rPh sb="11" eb="13">
      <t>ガメン</t>
    </rPh>
    <rPh sb="14" eb="16">
      <t>ハンヨウ</t>
    </rPh>
    <rPh sb="16" eb="18">
      <t>スウチ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</si>
  <si>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画面.汎用文字2制御FLGがTRUEの場合は活性、FALSEの場合は非活性</t>
    <rPh sb="11" eb="13">
      <t>ガメン</t>
    </rPh>
    <rPh sb="14" eb="16">
      <t>ハンヨウ</t>
    </rPh>
    <rPh sb="16" eb="18">
      <t>モジ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</si>
  <si>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画面.汎用区分3制御FLGがTRUEの場合は活性、FALSEの場合は非活性</t>
    <rPh sb="11" eb="13">
      <t>ガメン</t>
    </rPh>
    <rPh sb="14" eb="16">
      <t>ハンヨウ</t>
    </rPh>
    <rPh sb="16" eb="18">
      <t>クブン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</si>
  <si>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画面.汎用数値3制御FLGがTRUEの場合は活性、FALSEの場合は非活性</t>
    <rPh sb="11" eb="13">
      <t>ガメン</t>
    </rPh>
    <rPh sb="14" eb="16">
      <t>ハンヨウ</t>
    </rPh>
    <rPh sb="16" eb="18">
      <t>スウチ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</si>
  <si>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画面.汎用文字3制御FLGがTRUEの場合は活性、FALSEの場合は非活性</t>
    <rPh sb="11" eb="13">
      <t>ガメン</t>
    </rPh>
    <rPh sb="14" eb="16">
      <t>ハンヨウ</t>
    </rPh>
    <rPh sb="16" eb="18">
      <t>モジ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</si>
  <si>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画面.汎用区分4制御FLGがTRUEの場合は活性、FALSEの場合は非活性</t>
    <rPh sb="11" eb="13">
      <t>ガメン</t>
    </rPh>
    <rPh sb="14" eb="16">
      <t>ハンヨウ</t>
    </rPh>
    <rPh sb="16" eb="18">
      <t>クブン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</si>
  <si>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画面.汎用数値4制御FLGがTRUEの場合は活性、FALSEの場合は非活性</t>
    <rPh sb="11" eb="13">
      <t>ガメン</t>
    </rPh>
    <rPh sb="14" eb="16">
      <t>ハンヨウ</t>
    </rPh>
    <rPh sb="16" eb="18">
      <t>スウチ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</si>
  <si>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画面.汎用文字4制御FLGがTRUEの場合は活性、FALSEの場合は非活性</t>
    <rPh sb="11" eb="13">
      <t>ガメン</t>
    </rPh>
    <rPh sb="14" eb="16">
      <t>ハンヨウ</t>
    </rPh>
    <rPh sb="16" eb="18">
      <t>モジ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</si>
  <si>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画面.汎用区分5制御FLGがTRUEの場合は活性、FALSEの場合は非活性</t>
    <rPh sb="11" eb="13">
      <t>ガメン</t>
    </rPh>
    <rPh sb="14" eb="16">
      <t>ハンヨウ</t>
    </rPh>
    <rPh sb="16" eb="18">
      <t>クブン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</si>
  <si>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画面.汎用数値5制御FLGがTRUEの場合は活性、FALSEの場合は非活性</t>
    <rPh sb="11" eb="13">
      <t>ガメン</t>
    </rPh>
    <rPh sb="14" eb="16">
      <t>ハンヨウ</t>
    </rPh>
    <rPh sb="16" eb="18">
      <t>スウチ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</si>
  <si>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[活性/非活性条件]
画面.汎用文字5制御FLGがTRUEの場合は活性、FALSEの場合は非活性</t>
    <rPh sb="11" eb="13">
      <t>ガメン</t>
    </rPh>
    <rPh sb="14" eb="16">
      <t>ハンヨウ</t>
    </rPh>
    <rPh sb="16" eb="18">
      <t>モジ</t>
    </rPh>
    <rPh sb="19" eb="21">
      <t>セイギョ</t>
    </rPh>
    <rPh sb="30" eb="32">
      <t>バアイ</t>
    </rPh>
    <rPh sb="33" eb="35">
      <t>カッセイ</t>
    </rPh>
    <rPh sb="42" eb="44">
      <t>バアイ</t>
    </rPh>
    <rPh sb="45" eb="48">
      <t>ヒカッセイ</t>
    </rPh>
    <phoneticPr fontId="11"/>
  </si>
  <si>
    <t>ラベル式：画面.汎用区分1見出し
（未設定時、ブランク表示）</t>
    <rPh sb="3" eb="4">
      <t>シキ</t>
    </rPh>
    <rPh sb="18" eb="21">
      <t>ミセッテイ</t>
    </rPh>
    <rPh sb="21" eb="22">
      <t>ジ</t>
    </rPh>
    <rPh sb="27" eb="29">
      <t>ヒョウジ</t>
    </rPh>
    <phoneticPr fontId="11"/>
  </si>
  <si>
    <t>ラベル式：画面.汎用数値1見出し
（未設定時、ブランク表示）</t>
    <rPh sb="3" eb="4">
      <t>シキ</t>
    </rPh>
    <phoneticPr fontId="11"/>
  </si>
  <si>
    <t>ラベル式：画面.汎用文字1見出し
（未設定時、ブランク表示）</t>
    <rPh sb="3" eb="4">
      <t>シキ</t>
    </rPh>
    <phoneticPr fontId="11"/>
  </si>
  <si>
    <t>ラベル式：画面.汎用区分2見出し
（未設定時、ブランク表示）</t>
    <rPh sb="3" eb="4">
      <t>シキ</t>
    </rPh>
    <phoneticPr fontId="11"/>
  </si>
  <si>
    <t>ラベル式：画面.汎用数値2見出し
（未設定時、ブランク表示）</t>
    <rPh sb="3" eb="4">
      <t>シキ</t>
    </rPh>
    <phoneticPr fontId="11"/>
  </si>
  <si>
    <t>ラベル式：画面.汎用文字2見出し
（未設定時、ブランク表示）</t>
    <rPh sb="3" eb="4">
      <t>シキ</t>
    </rPh>
    <phoneticPr fontId="11"/>
  </si>
  <si>
    <t>ラベル式：画面.汎用区分3見出し
（未設定時、ブランク表示）</t>
    <rPh sb="3" eb="4">
      <t>シキ</t>
    </rPh>
    <phoneticPr fontId="11"/>
  </si>
  <si>
    <t>ラベル式：画面.汎用数値3見出し
（未設定時、ブランク表示）</t>
    <rPh sb="3" eb="4">
      <t>シキ</t>
    </rPh>
    <phoneticPr fontId="11"/>
  </si>
  <si>
    <t>ラベル式：画面.汎用文字3見出し
（未設定時、ブランク表示）</t>
    <rPh sb="3" eb="4">
      <t>シキ</t>
    </rPh>
    <phoneticPr fontId="11"/>
  </si>
  <si>
    <t>ラベル式：画面.汎用区分4見出し
（未設定時、ブランク表示）</t>
    <rPh sb="3" eb="4">
      <t>シキ</t>
    </rPh>
    <phoneticPr fontId="11"/>
  </si>
  <si>
    <t>ラベル式：画面.汎用数値4見出し
（未設定時、ブランク表示）</t>
    <rPh sb="3" eb="4">
      <t>シキ</t>
    </rPh>
    <phoneticPr fontId="11"/>
  </si>
  <si>
    <t>ラベル式：画面.汎用文字4見出し
（未設定時、ブランク表示）</t>
    <rPh sb="3" eb="4">
      <t>シキ</t>
    </rPh>
    <phoneticPr fontId="11"/>
  </si>
  <si>
    <t>ラベル式：画面.汎用区分5見出し
（未設定時、ブランク表示）</t>
    <rPh sb="3" eb="4">
      <t>シキ</t>
    </rPh>
    <phoneticPr fontId="11"/>
  </si>
  <si>
    <t>ラベル式：画面.汎用数値5見出し
（未設定時、ブランク表示）</t>
    <rPh sb="3" eb="4">
      <t>シキ</t>
    </rPh>
    <phoneticPr fontId="11"/>
  </si>
  <si>
    <t>ラベル式：画面.汎用文字5見出し
（未設定時、ブランク表示）</t>
    <rPh sb="3" eb="4">
      <t>シキ</t>
    </rPh>
    <phoneticPr fontId="11"/>
  </si>
  <si>
    <t>－</t>
  </si>
  <si>
    <t>－</t>
    <phoneticPr fontId="9"/>
  </si>
  <si>
    <t>画面.汎用CD桁数</t>
    <rPh sb="0" eb="2">
      <t>ガメン</t>
    </rPh>
    <phoneticPr fontId="9"/>
  </si>
  <si>
    <t>画面.汎用CD属性名</t>
    <phoneticPr fontId="9"/>
  </si>
  <si>
    <t>画面.汎用CD桁数がNULL以外で、画面.汎用CD桁数≠汎用コードの桁数の場合エラーとする</t>
    <rPh sb="0" eb="2">
      <t>ガメン</t>
    </rPh>
    <rPh sb="14" eb="16">
      <t>イガイ</t>
    </rPh>
    <rPh sb="18" eb="20">
      <t>ガメン</t>
    </rPh>
    <rPh sb="28" eb="30">
      <t>ハンヨウ</t>
    </rPh>
    <phoneticPr fontId="9"/>
  </si>
  <si>
    <t>画面.汎用CD最大値がNULL以外で、画面.汎用CD最大値＜汎用コードの場合エラーとする</t>
    <rPh sb="0" eb="2">
      <t>ガメン</t>
    </rPh>
    <rPh sb="15" eb="17">
      <t>イガイ</t>
    </rPh>
    <rPh sb="19" eb="21">
      <t>ガメン</t>
    </rPh>
    <rPh sb="30" eb="32">
      <t>ハンヨウ</t>
    </rPh>
    <rPh sb="37" eb="39">
      <t>バアイ</t>
    </rPh>
    <phoneticPr fontId="11"/>
  </si>
  <si>
    <t>画面.汎用CD最小値がNULL以外、画面.汎用CD最小値＞汎用コードの場合エラーとする</t>
    <rPh sb="0" eb="2">
      <t>ガメン</t>
    </rPh>
    <rPh sb="15" eb="17">
      <t>イガイ</t>
    </rPh>
    <rPh sb="18" eb="20">
      <t>ガメン</t>
    </rPh>
    <rPh sb="29" eb="31">
      <t>ハンヨウ</t>
    </rPh>
    <phoneticPr fontId="9"/>
  </si>
  <si>
    <t>一覧内の入力汎用コードが重複している場合エラーとする</t>
    <rPh sb="0" eb="2">
      <t>イチラン</t>
    </rPh>
    <rPh sb="2" eb="3">
      <t>ナイ</t>
    </rPh>
    <rPh sb="4" eb="6">
      <t>ニュウリョク</t>
    </rPh>
    <rPh sb="6" eb="8">
      <t>ハンヨウ</t>
    </rPh>
    <rPh sb="12" eb="14">
      <t>ジュウフク</t>
    </rPh>
    <rPh sb="18" eb="20">
      <t>バアイ</t>
    </rPh>
    <phoneticPr fontId="9"/>
  </si>
  <si>
    <t>画面.汎用名称桁数がNULL以外で、汎用名称桁数≠汎用名の桁数の場合エラーとする</t>
    <rPh sb="0" eb="2">
      <t>ガメン</t>
    </rPh>
    <rPh sb="14" eb="16">
      <t>イガイ</t>
    </rPh>
    <rPh sb="25" eb="28">
      <t>ハンヨウメイ</t>
    </rPh>
    <phoneticPr fontId="11"/>
  </si>
  <si>
    <t>(文字種チェック)汎用名</t>
    <rPh sb="1" eb="4">
      <t>モジシュ</t>
    </rPh>
    <phoneticPr fontId="9"/>
  </si>
  <si>
    <t>(文字種チェック)汎用コード</t>
    <rPh sb="1" eb="4">
      <t>モジシュ</t>
    </rPh>
    <phoneticPr fontId="9"/>
  </si>
  <si>
    <t>画面.制御区分≠"3"（追加変更可）で、削除行が存在する場合エラーとする</t>
    <rPh sb="0" eb="2">
      <t>ガメン</t>
    </rPh>
    <rPh sb="20" eb="23">
      <t>サクジョギョウ</t>
    </rPh>
    <rPh sb="24" eb="26">
      <t>ソンザイ</t>
    </rPh>
    <phoneticPr fontId="9"/>
  </si>
  <si>
    <t>画面.制御区分≠"3"（追加変更可）で、追加行が存在する場合エラーとする</t>
    <rPh sb="0" eb="2">
      <t>ガメン</t>
    </rPh>
    <rPh sb="3" eb="5">
      <t>セイギョ</t>
    </rPh>
    <rPh sb="5" eb="7">
      <t>クブン</t>
    </rPh>
    <rPh sb="12" eb="14">
      <t>ツイカ</t>
    </rPh>
    <rPh sb="14" eb="16">
      <t>ヘンコウ</t>
    </rPh>
    <rPh sb="16" eb="17">
      <t>カ</t>
    </rPh>
    <rPh sb="20" eb="22">
      <t>ツイカ</t>
    </rPh>
    <rPh sb="22" eb="23">
      <t>ギョウ</t>
    </rPh>
    <rPh sb="24" eb="26">
      <t>ソンザイ</t>
    </rPh>
    <phoneticPr fontId="11"/>
  </si>
  <si>
    <t>行</t>
    <rPh sb="0" eb="1">
      <t>ギョウ</t>
    </rPh>
    <phoneticPr fontId="9"/>
  </si>
  <si>
    <t>画面.汎用名属性名</t>
    <rPh sb="0" eb="2">
      <t>ガメン</t>
    </rPh>
    <phoneticPr fontId="9"/>
  </si>
  <si>
    <t>削除</t>
    <phoneticPr fontId="9"/>
  </si>
  <si>
    <t>追加</t>
    <phoneticPr fontId="9"/>
  </si>
  <si>
    <t>MZZG0101</t>
    <phoneticPr fontId="9"/>
  </si>
  <si>
    <t>MZZG0301</t>
    <phoneticPr fontId="9"/>
  </si>
  <si>
    <t>{1}は{2}桁で入力してください。</t>
    <rPh sb="7" eb="8">
      <t>ケタ</t>
    </rPh>
    <phoneticPr fontId="9"/>
  </si>
  <si>
    <t>画面.汎用名称桁数</t>
    <rPh sb="0" eb="2">
      <t>ガメン</t>
    </rPh>
    <phoneticPr fontId="9"/>
  </si>
  <si>
    <t>MZZG0201</t>
    <phoneticPr fontId="9"/>
  </si>
  <si>
    <t>{1}は{2}以上の値で入力してください。</t>
    <phoneticPr fontId="9"/>
  </si>
  <si>
    <t>画面.汎用コード最小値</t>
    <phoneticPr fontId="9"/>
  </si>
  <si>
    <t>MZZG0401</t>
    <phoneticPr fontId="9"/>
  </si>
  <si>
    <t>{1}は{2}以下の値で入力してください。</t>
    <phoneticPr fontId="9"/>
  </si>
  <si>
    <t>MZZG0402</t>
    <phoneticPr fontId="9"/>
  </si>
  <si>
    <t>{1}が重複しています。</t>
    <phoneticPr fontId="9"/>
  </si>
  <si>
    <t>画面.汎用名称カナ桁数が設定されて、画面.汎用名称カナ桁数≠汎用名カナの桁数の場合エラーとする</t>
    <rPh sb="0" eb="2">
      <t>ガメン</t>
    </rPh>
    <rPh sb="18" eb="20">
      <t>ガメン</t>
    </rPh>
    <rPh sb="30" eb="33">
      <t>ハンヨウメイ</t>
    </rPh>
    <rPh sb="36" eb="38">
      <t>ケタスウ</t>
    </rPh>
    <phoneticPr fontId="11"/>
  </si>
  <si>
    <t>MZZG0801</t>
    <phoneticPr fontId="9"/>
  </si>
  <si>
    <t>画面.汎用コード最大値</t>
    <rPh sb="9" eb="10">
      <t>ダイ</t>
    </rPh>
    <phoneticPr fontId="11"/>
  </si>
  <si>
    <t>画面.汎用名称カナ桁数</t>
    <rPh sb="0" eb="2">
      <t>ガメン</t>
    </rPh>
    <phoneticPr fontId="9"/>
  </si>
  <si>
    <t>F5 更新</t>
    <phoneticPr fontId="9"/>
  </si>
  <si>
    <t>BPチェック</t>
    <phoneticPr fontId="9"/>
  </si>
  <si>
    <t>汎用データ区分</t>
    <rPh sb="5" eb="7">
      <t>クブン</t>
    </rPh>
    <phoneticPr fontId="9"/>
  </si>
  <si>
    <t>(存在チェック)汎用データ区分</t>
    <rPh sb="1" eb="3">
      <t>ソンザイ</t>
    </rPh>
    <rPh sb="8" eb="10">
      <t>ハンヨウ</t>
    </rPh>
    <rPh sb="13" eb="15">
      <t>クブン</t>
    </rPh>
    <phoneticPr fontId="11"/>
  </si>
  <si>
    <t>汎用データ区分が入力されていて、汎用マスタに存在しない場合エラーとする
以下内容でデータ件数を検索し、０件の場合エラーとする
[検索]
DM：汎用マスタ
条件：汎用データ区分＝画面.汎用データ区分</t>
    <rPh sb="0" eb="2">
      <t>ハンヨウ</t>
    </rPh>
    <rPh sb="5" eb="7">
      <t>クブン</t>
    </rPh>
    <rPh sb="72" eb="74">
      <t>ハンヨウ</t>
    </rPh>
    <rPh sb="81" eb="83">
      <t>ハンヨウ</t>
    </rPh>
    <rPh sb="86" eb="88">
      <t>クブン</t>
    </rPh>
    <rPh sb="92" eb="94">
      <t>ハンヨウ</t>
    </rPh>
    <rPh sb="97" eb="99">
      <t>クブン</t>
    </rPh>
    <phoneticPr fontId="9"/>
  </si>
  <si>
    <t>MZZG0601</t>
    <phoneticPr fontId="9"/>
  </si>
  <si>
    <t>{1}は存在しません。</t>
    <phoneticPr fontId="9"/>
  </si>
  <si>
    <t>汎用マスタ</t>
    <rPh sb="0" eb="2">
      <t>ハンヨウ</t>
    </rPh>
    <phoneticPr fontId="9"/>
  </si>
  <si>
    <t>更新</t>
    <rPh sb="0" eb="2">
      <t>コウシン</t>
    </rPh>
    <phoneticPr fontId="9"/>
  </si>
  <si>
    <t>MTI350S01_U010</t>
    <phoneticPr fontId="9"/>
  </si>
  <si>
    <t>GENERAL_DATA_KBN</t>
  </si>
  <si>
    <t>ユーザ操作用更新日時</t>
  </si>
  <si>
    <t>ユーザ操作用更新ユーザCD</t>
  </si>
  <si>
    <t>ユーザ操作用更新機能CD</t>
  </si>
  <si>
    <t>作成日時</t>
  </si>
  <si>
    <t>作成ユーザCD</t>
  </si>
  <si>
    <t>作成機能CD</t>
  </si>
  <si>
    <t>更新日時</t>
  </si>
  <si>
    <t>更新ユーザCD</t>
  </si>
  <si>
    <t>更新機能CD</t>
  </si>
  <si>
    <t>更新数</t>
  </si>
  <si>
    <t>USR_UPDATED_DATE</t>
  </si>
  <si>
    <t>USR_UPDATED_USR_CD</t>
  </si>
  <si>
    <t>USR_UPDATED_PRG_CD</t>
  </si>
  <si>
    <t>CREATED_DATE</t>
  </si>
  <si>
    <t>CREATED_USR_CD</t>
  </si>
  <si>
    <t>CREATED_PRG_CD</t>
  </si>
  <si>
    <t>UPDATED_DATE</t>
  </si>
  <si>
    <t>UPDATED_USR_CD</t>
  </si>
  <si>
    <t>UPDATED_PRG_CD</t>
  </si>
  <si>
    <t>MODIFY_COUNT</t>
  </si>
  <si>
    <t>画面.汎用データ区分</t>
    <rPh sb="0" eb="2">
      <t>ガメン</t>
    </rPh>
    <rPh sb="3" eb="5">
      <t>ハンヨウ</t>
    </rPh>
    <rPh sb="8" eb="10">
      <t>クブン</t>
    </rPh>
    <phoneticPr fontId="9"/>
  </si>
  <si>
    <t>@SYSNOW</t>
    <phoneticPr fontId="9"/>
  </si>
  <si>
    <t>＠USER</t>
    <phoneticPr fontId="9"/>
  </si>
  <si>
    <t>＠IOCODE</t>
    <phoneticPr fontId="9"/>
  </si>
  <si>
    <t>汎用テーブル詳細_更新</t>
    <phoneticPr fontId="9"/>
  </si>
  <si>
    <t>GENERAL_CD</t>
  </si>
  <si>
    <t>GENERAL_NAME</t>
  </si>
  <si>
    <t>GENERAL_NAME_KANA</t>
  </si>
  <si>
    <t>DISPLAY_ORDER_NO</t>
  </si>
  <si>
    <t>GENERAL_KBN1</t>
  </si>
  <si>
    <t>GENERAL_KBN2</t>
  </si>
  <si>
    <t>GENERAL_KBN3</t>
  </si>
  <si>
    <t>GENERAL_KBN4</t>
  </si>
  <si>
    <t>GENERAL_KBN5</t>
  </si>
  <si>
    <t>GENERAL_VARCHAR1</t>
  </si>
  <si>
    <t>GENERAL_VARCHAR2</t>
  </si>
  <si>
    <t>GENERAL_VARCHAR3</t>
  </si>
  <si>
    <t>GENERAL_VARCHAR4</t>
  </si>
  <si>
    <t>GENERAL_VARCHAR5</t>
  </si>
  <si>
    <t>GENERAL_NUMERIC1</t>
  </si>
  <si>
    <t>GENERAL_NUMERIC2</t>
  </si>
  <si>
    <t>GENERAL_NUMERIC3</t>
  </si>
  <si>
    <t>GENERAL_NUMERIC4</t>
  </si>
  <si>
    <t>GENERAL_NUMERIC5</t>
  </si>
  <si>
    <t>登録</t>
    <rPh sb="0" eb="2">
      <t>トウロク</t>
    </rPh>
    <phoneticPr fontId="9"/>
  </si>
  <si>
    <t>汎用テーブル詳細_登録</t>
    <rPh sb="9" eb="11">
      <t>トウロク</t>
    </rPh>
    <phoneticPr fontId="9"/>
  </si>
  <si>
    <t>MTI350S01_I010</t>
    <phoneticPr fontId="9"/>
  </si>
  <si>
    <t>画面.汎用名</t>
  </si>
  <si>
    <t>画面.汎用名カナ</t>
  </si>
  <si>
    <t>画面.表示順</t>
  </si>
  <si>
    <t>画面.汎用区分1</t>
  </si>
  <si>
    <t>画面.汎用区分2</t>
  </si>
  <si>
    <t>画面.汎用区分3</t>
  </si>
  <si>
    <t>画面.汎用区分4</t>
  </si>
  <si>
    <t>画面.汎用区分5</t>
  </si>
  <si>
    <t>画面.汎用文字1</t>
  </si>
  <si>
    <t>画面.汎用文字2</t>
  </si>
  <si>
    <t>画面.汎用文字3</t>
  </si>
  <si>
    <t>画面.汎用文字4</t>
  </si>
  <si>
    <t>画面.汎用文字5</t>
  </si>
  <si>
    <t>画面.汎用数値1</t>
  </si>
  <si>
    <t>画面.汎用数値2</t>
  </si>
  <si>
    <t>画面.汎用数値3</t>
  </si>
  <si>
    <t>画面.汎用数値4</t>
  </si>
  <si>
    <t>画面.汎用数値5</t>
  </si>
  <si>
    <t>画面.汎用CD</t>
    <rPh sb="0" eb="2">
      <t>ガメン</t>
    </rPh>
    <rPh sb="3" eb="5">
      <t>ハンヨウ</t>
    </rPh>
    <phoneticPr fontId="9"/>
  </si>
  <si>
    <t>画面.更新数＋１</t>
    <rPh sb="0" eb="2">
      <t>ガメン</t>
    </rPh>
    <rPh sb="3" eb="6">
      <t>コウシンスウ</t>
    </rPh>
    <phoneticPr fontId="9"/>
  </si>
  <si>
    <t>一覧画面より渡されたキー項目に該当するデータを表示する。</t>
    <phoneticPr fontId="6"/>
  </si>
  <si>
    <t>一覧画面より渡されたキー項目に該当するデータを表示する。</t>
    <phoneticPr fontId="8"/>
  </si>
  <si>
    <t>画面表示されている汎用データ区分に該当する汎用マスタ情報を登録、更新、削除し、汎用テーブル一覧へ画面遷移する。</t>
    <rPh sb="0" eb="2">
      <t>ガメン</t>
    </rPh>
    <rPh sb="2" eb="4">
      <t>ヒョウジ</t>
    </rPh>
    <rPh sb="9" eb="11">
      <t>ハンヨウ</t>
    </rPh>
    <rPh sb="14" eb="16">
      <t>クブン</t>
    </rPh>
    <rPh sb="17" eb="19">
      <t>ガイトウ</t>
    </rPh>
    <rPh sb="39" eb="41">
      <t>ハンヨウ</t>
    </rPh>
    <phoneticPr fontId="6"/>
  </si>
  <si>
    <t>MZZG0003</t>
    <phoneticPr fontId="9"/>
  </si>
  <si>
    <t>更新しました。{1}</t>
    <phoneticPr fontId="9"/>
  </si>
  <si>
    <t>MZZG0004</t>
    <phoneticPr fontId="9"/>
  </si>
  <si>
    <t>RU</t>
    <phoneticPr fontId="9"/>
  </si>
  <si>
    <t>汎用マスタ制御マスタの更新、汎用マスタ情報の登録・更新・削除、汎用マスタ（履歴）の登録を行う。</t>
    <rPh sb="0" eb="2">
      <t>ハンヨウ</t>
    </rPh>
    <rPh sb="5" eb="7">
      <t>セイギョ</t>
    </rPh>
    <rPh sb="11" eb="13">
      <t>コウシン</t>
    </rPh>
    <rPh sb="31" eb="33">
      <t>ハンヨウ</t>
    </rPh>
    <rPh sb="37" eb="39">
      <t>リレキ</t>
    </rPh>
    <rPh sb="41" eb="43">
      <t>トウロク</t>
    </rPh>
    <rPh sb="44" eb="45">
      <t>オコナ</t>
    </rPh>
    <phoneticPr fontId="9"/>
  </si>
  <si>
    <t>★汎用マスタ制御マスタ</t>
    <phoneticPr fontId="9"/>
  </si>
  <si>
    <t>汎用マスタ（履歴）</t>
    <rPh sb="0" eb="2">
      <t>ハンヨウ</t>
    </rPh>
    <rPh sb="6" eb="8">
      <t>リレキ</t>
    </rPh>
    <phoneticPr fontId="9"/>
  </si>
  <si>
    <t>プルーフ番号</t>
  </si>
  <si>
    <t>プルーフ枝番</t>
  </si>
  <si>
    <t>履歴データ種別</t>
  </si>
  <si>
    <t>操作種別</t>
  </si>
  <si>
    <t>汎用データ区分名</t>
  </si>
  <si>
    <t>PROOF_NO</t>
  </si>
  <si>
    <t>PROOF_BRANCH</t>
  </si>
  <si>
    <t>HIST_DATA_TYPE</t>
  </si>
  <si>
    <t>OPERATE_TYPE</t>
  </si>
  <si>
    <t>GENERAL_DATA_KBN_NAME</t>
  </si>
  <si>
    <t>汎用マスタ.汎用データ区分</t>
  </si>
  <si>
    <t>汎用マスタ.汎用データ区分名</t>
  </si>
  <si>
    <t>汎用マスタ.汎用CD</t>
  </si>
  <si>
    <t>汎用マスタ.汎用名</t>
  </si>
  <si>
    <t>汎用マスタ.汎用名カナ</t>
  </si>
  <si>
    <t>汎用マスタ.表示順</t>
  </si>
  <si>
    <t>汎用マスタ.汎用区分1</t>
  </si>
  <si>
    <t>汎用マスタ.汎用区分2</t>
  </si>
  <si>
    <t>汎用マスタ.汎用区分3</t>
  </si>
  <si>
    <t>汎用マスタ.汎用区分4</t>
  </si>
  <si>
    <t>汎用マスタ.汎用区分5</t>
  </si>
  <si>
    <t>汎用マスタ.汎用文字1</t>
  </si>
  <si>
    <t>汎用マスタ.汎用文字2</t>
  </si>
  <si>
    <t>汎用マスタ.汎用文字3</t>
  </si>
  <si>
    <t>汎用マスタ.汎用文字4</t>
  </si>
  <si>
    <t>汎用マスタ.汎用文字5</t>
  </si>
  <si>
    <t>汎用マスタ.汎用数値1</t>
  </si>
  <si>
    <t>汎用マスタ.汎用数値2</t>
  </si>
  <si>
    <t>汎用マスタ.汎用数値3</t>
  </si>
  <si>
    <t>汎用マスタ.汎用数値4</t>
  </si>
  <si>
    <t>汎用マスタ.汎用数値5</t>
  </si>
  <si>
    <t>汎用マスタ.ユーザ操作用更新日時</t>
  </si>
  <si>
    <t>汎用マスタ.ユーザ操作用更新ユーザCD</t>
  </si>
  <si>
    <t>汎用マスタ.ユーザ操作用更新機能CD</t>
  </si>
  <si>
    <t>汎用マスタ.作成日時</t>
  </si>
  <si>
    <t>汎用マスタ.作成ユーザCD</t>
  </si>
  <si>
    <t>汎用マスタ.作成機能CD</t>
  </si>
  <si>
    <t>汎用マスタ.更新日時</t>
  </si>
  <si>
    <t>汎用マスタ.更新ユーザCD</t>
  </si>
  <si>
    <t>汎用マスタ.更新機能CD</t>
  </si>
  <si>
    <t>汎用マスタ.更新数</t>
  </si>
  <si>
    <t>2：修正前情報（修正時のみ作成）</t>
    <phoneticPr fontId="9"/>
  </si>
  <si>
    <t>SEQ_MTR5200</t>
    <phoneticPr fontId="9"/>
  </si>
  <si>
    <t>（Oracleシーケンスで採番）</t>
    <rPh sb="13" eb="15">
      <t>サイバン</t>
    </rPh>
    <phoneticPr fontId="9"/>
  </si>
  <si>
    <t>（明細データの件数をカウントアップ）</t>
    <rPh sb="1" eb="3">
      <t>メイサイ</t>
    </rPh>
    <rPh sb="7" eb="9">
      <t>ケンスウ</t>
    </rPh>
    <phoneticPr fontId="9"/>
  </si>
  <si>
    <t>固定値：2</t>
    <rPh sb="0" eb="3">
      <t>コテイチ</t>
    </rPh>
    <phoneticPr fontId="9"/>
  </si>
  <si>
    <t>固定値：@NULL</t>
    <rPh sb="0" eb="3">
      <t>コテイチ</t>
    </rPh>
    <phoneticPr fontId="9"/>
  </si>
  <si>
    <t>内部設計</t>
    <rPh sb="0" eb="4">
      <t>ナイブセッケイ</t>
    </rPh>
    <phoneticPr fontId="3"/>
  </si>
  <si>
    <t>ⅰ．データモデル</t>
    <phoneticPr fontId="9"/>
  </si>
  <si>
    <t>ⅱ．対象条件</t>
    <rPh sb="2" eb="4">
      <t>タイショウ</t>
    </rPh>
    <rPh sb="4" eb="6">
      <t>ジョウケン</t>
    </rPh>
    <phoneticPr fontId="9"/>
  </si>
  <si>
    <t>＝</t>
    <phoneticPr fontId="9"/>
  </si>
  <si>
    <t>①汎用マスタを取得する</t>
    <phoneticPr fontId="9"/>
  </si>
  <si>
    <t>汎用データ区分</t>
    <rPh sb="0" eb="2">
      <t>ハンヨウ</t>
    </rPh>
    <rPh sb="5" eb="7">
      <t>クブン</t>
    </rPh>
    <phoneticPr fontId="9"/>
  </si>
  <si>
    <t>画面.汎用データ区分</t>
    <rPh sb="3" eb="5">
      <t>ハンヨウ</t>
    </rPh>
    <rPh sb="8" eb="10">
      <t>クブン</t>
    </rPh>
    <phoneticPr fontId="9"/>
  </si>
  <si>
    <t>②汎用マスタ（履歴）へ登録する</t>
    <rPh sb="7" eb="9">
      <t>リレキ</t>
    </rPh>
    <rPh sb="11" eb="13">
      <t>トウロク</t>
    </rPh>
    <phoneticPr fontId="9"/>
  </si>
  <si>
    <t>①で取得した件数分、以下の登録処理を繰り返し行う</t>
    <rPh sb="2" eb="4">
      <t>シュトク</t>
    </rPh>
    <phoneticPr fontId="9"/>
  </si>
  <si>
    <t>ⅱ．登録内容</t>
    <rPh sb="2" eb="4">
      <t>トウロク</t>
    </rPh>
    <rPh sb="4" eb="6">
      <t>ナイヨウ</t>
    </rPh>
    <phoneticPr fontId="9"/>
  </si>
  <si>
    <t>DB設定項目定義_汎用マスタ（履歴）</t>
    <phoneticPr fontId="9"/>
  </si>
  <si>
    <t>更新数</t>
    <rPh sb="0" eb="2">
      <t>コウシン</t>
    </rPh>
    <rPh sb="2" eb="3">
      <t>スウ</t>
    </rPh>
    <phoneticPr fontId="9"/>
  </si>
  <si>
    <t>画面.更新数＋１</t>
    <rPh sb="0" eb="2">
      <t>ガメン</t>
    </rPh>
    <rPh sb="3" eb="5">
      <t>コウシン</t>
    </rPh>
    <rPh sb="5" eb="6">
      <t>スウ</t>
    </rPh>
    <phoneticPr fontId="9"/>
  </si>
  <si>
    <t>①汎用マスタ制御マスタをロックする</t>
    <rPh sb="1" eb="3">
      <t>ハンヨウ</t>
    </rPh>
    <rPh sb="6" eb="8">
      <t>セイギョ</t>
    </rPh>
    <phoneticPr fontId="9"/>
  </si>
  <si>
    <t>②汎用マスタ制御マスタを更新する</t>
    <rPh sb="1" eb="3">
      <t>ハンヨウ</t>
    </rPh>
    <rPh sb="6" eb="8">
      <t>セイギョ</t>
    </rPh>
    <rPh sb="12" eb="14">
      <t>コウシン</t>
    </rPh>
    <phoneticPr fontId="9"/>
  </si>
  <si>
    <t>ⅲ．更新内容</t>
    <rPh sb="2" eb="4">
      <t>コウシン</t>
    </rPh>
    <rPh sb="4" eb="6">
      <t>ナイヨウ</t>
    </rPh>
    <phoneticPr fontId="9"/>
  </si>
  <si>
    <t>DB設定項目定義_汎用マスタ制御マスタ</t>
    <phoneticPr fontId="9"/>
  </si>
  <si>
    <t>更新（更新数カウントアップ）</t>
    <rPh sb="0" eb="2">
      <t>コウシン</t>
    </rPh>
    <rPh sb="3" eb="6">
      <t>コウシンスウ</t>
    </rPh>
    <phoneticPr fontId="9"/>
  </si>
  <si>
    <t>操作コード：MTI350S01_I010</t>
    <rPh sb="0" eb="2">
      <t>ソウサ</t>
    </rPh>
    <phoneticPr fontId="9"/>
  </si>
  <si>
    <t>操作コード：MTI350S01_U010</t>
    <rPh sb="0" eb="2">
      <t>ソウサ</t>
    </rPh>
    <phoneticPr fontId="9"/>
  </si>
  <si>
    <t>一覧の行数分以下の処理を行う</t>
    <rPh sb="0" eb="2">
      <t>イチラン</t>
    </rPh>
    <rPh sb="3" eb="6">
      <t>ギョウスウブン</t>
    </rPh>
    <rPh sb="6" eb="8">
      <t>イカ</t>
    </rPh>
    <rPh sb="9" eb="11">
      <t>ショリ</t>
    </rPh>
    <rPh sb="12" eb="13">
      <t>オコナ</t>
    </rPh>
    <phoneticPr fontId="9"/>
  </si>
  <si>
    <t>a.行ステータスが「追加」の場合、汎用マスタへ登録する</t>
    <rPh sb="2" eb="3">
      <t>ギョウ</t>
    </rPh>
    <rPh sb="10" eb="12">
      <t>ツイカ</t>
    </rPh>
    <rPh sb="14" eb="16">
      <t>バアイ</t>
    </rPh>
    <rPh sb="17" eb="19">
      <t>ハンヨウ</t>
    </rPh>
    <rPh sb="23" eb="25">
      <t>トウロク</t>
    </rPh>
    <phoneticPr fontId="9"/>
  </si>
  <si>
    <t>DB設定項目定義_汎用マスタ</t>
    <phoneticPr fontId="9"/>
  </si>
  <si>
    <t>b.行ステータスが「削除」の場合、汎用マスタのデータを削除する</t>
    <rPh sb="2" eb="3">
      <t>ギョウ</t>
    </rPh>
    <rPh sb="10" eb="12">
      <t>サクジョ</t>
    </rPh>
    <rPh sb="14" eb="16">
      <t>バアイ</t>
    </rPh>
    <rPh sb="17" eb="19">
      <t>ハンヨウ</t>
    </rPh>
    <rPh sb="27" eb="29">
      <t>サクジョ</t>
    </rPh>
    <phoneticPr fontId="9"/>
  </si>
  <si>
    <t>汎用CD</t>
    <rPh sb="0" eb="2">
      <t>ハンヨウ</t>
    </rPh>
    <phoneticPr fontId="9"/>
  </si>
  <si>
    <t>画面.汎用コード</t>
    <rPh sb="3" eb="5">
      <t>ハンヨウ</t>
    </rPh>
    <phoneticPr fontId="9"/>
  </si>
  <si>
    <t>AND</t>
    <phoneticPr fontId="9"/>
  </si>
  <si>
    <t>c.上記以外の場合、汎用マスタを更新する</t>
    <rPh sb="2" eb="4">
      <t>ジョウキ</t>
    </rPh>
    <rPh sb="4" eb="6">
      <t>イガイ</t>
    </rPh>
    <rPh sb="7" eb="9">
      <t>バアイ</t>
    </rPh>
    <rPh sb="10" eb="12">
      <t>ハンヨウ</t>
    </rPh>
    <rPh sb="16" eb="18">
      <t>コウシン</t>
    </rPh>
    <phoneticPr fontId="9"/>
  </si>
  <si>
    <t>-#,##0.#</t>
    <phoneticPr fontId="9"/>
  </si>
  <si>
    <t>汎用コード（更新前情報）</t>
    <rPh sb="6" eb="8">
      <t>コウシン</t>
    </rPh>
    <rPh sb="8" eb="9">
      <t>マエ</t>
    </rPh>
    <rPh sb="9" eb="11">
      <t>ジョウホウ</t>
    </rPh>
    <phoneticPr fontId="9"/>
  </si>
  <si>
    <t>汎用コード（表示用）</t>
    <rPh sb="6" eb="8">
      <t>ヒョウジ</t>
    </rPh>
    <rPh sb="8" eb="9">
      <t>ヨウ</t>
    </rPh>
    <phoneticPr fontId="9"/>
  </si>
  <si>
    <t>Javascript</t>
    <phoneticPr fontId="9"/>
  </si>
  <si>
    <t>CSS</t>
    <phoneticPr fontId="9"/>
  </si>
  <si>
    <t>画面.汎用コードの件数</t>
    <rPh sb="0" eb="2">
      <t>ガメン</t>
    </rPh>
    <rPh sb="3" eb="5">
      <t>ハンヨウ</t>
    </rPh>
    <rPh sb="9" eb="11">
      <t>ケンスウ</t>
    </rPh>
    <phoneticPr fontId="9"/>
  </si>
  <si>
    <t>固定値：件</t>
    <rPh sb="0" eb="3">
      <t>コテイチ</t>
    </rPh>
    <rPh sb="4" eb="5">
      <t>ケン</t>
    </rPh>
    <phoneticPr fontId="9"/>
  </si>
  <si>
    <t>[DM]汎用マスタ
[条件]汎用データ区分＝"MT206"（汎用名属性名）
[項目]汎用名</t>
    <rPh sb="4" eb="6">
      <t>ハンヨウ</t>
    </rPh>
    <rPh sb="14" eb="16">
      <t>ハンヨウ</t>
    </rPh>
    <rPh sb="19" eb="21">
      <t>クブン</t>
    </rPh>
    <rPh sb="30" eb="33">
      <t>ハンヨウメイ</t>
    </rPh>
    <rPh sb="33" eb="35">
      <t>ゾクセイ</t>
    </rPh>
    <rPh sb="35" eb="36">
      <t>メイ</t>
    </rPh>
    <rPh sb="42" eb="44">
      <t>ハンヨウ</t>
    </rPh>
    <rPh sb="44" eb="45">
      <t>メイ</t>
    </rPh>
    <phoneticPr fontId="9"/>
  </si>
  <si>
    <t>MMTG9999</t>
    <phoneticPr fontId="9"/>
  </si>
  <si>
    <t>画面表示時に取得した汎用マスタ制御マスタの更新数と、ボタン押下時のDBの更新数が異なる場合はエラーとする</t>
    <rPh sb="0" eb="2">
      <t>ガメン</t>
    </rPh>
    <rPh sb="2" eb="4">
      <t>ヒョウジ</t>
    </rPh>
    <rPh sb="4" eb="5">
      <t>ジ</t>
    </rPh>
    <rPh sb="6" eb="8">
      <t>シュトク</t>
    </rPh>
    <rPh sb="10" eb="12">
      <t>ハンヨウ</t>
    </rPh>
    <rPh sb="15" eb="17">
      <t>セイギョ</t>
    </rPh>
    <rPh sb="21" eb="23">
      <t>コウシン</t>
    </rPh>
    <rPh sb="23" eb="24">
      <t>スウ</t>
    </rPh>
    <rPh sb="29" eb="31">
      <t>オウカ</t>
    </rPh>
    <rPh sb="31" eb="32">
      <t>ジ</t>
    </rPh>
    <rPh sb="36" eb="38">
      <t>コウシン</t>
    </rPh>
    <rPh sb="38" eb="39">
      <t>スウ</t>
    </rPh>
    <rPh sb="40" eb="41">
      <t>コト</t>
    </rPh>
    <rPh sb="43" eb="45">
      <t>バアイ</t>
    </rPh>
    <phoneticPr fontId="11"/>
  </si>
  <si>
    <t>{1}：画面.汎用データ区分</t>
    <rPh sb="4" eb="6">
      <t>ガメン</t>
    </rPh>
    <rPh sb="7" eb="9">
      <t>ハンヨウ</t>
    </rPh>
    <rPh sb="12" eb="14">
      <t>クブン</t>
    </rPh>
    <phoneticPr fontId="9"/>
  </si>
  <si>
    <t>CITS佐藤</t>
    <rPh sb="4" eb="6">
      <t>サトウ</t>
    </rPh>
    <phoneticPr fontId="9"/>
  </si>
  <si>
    <t>MTI350S01B02</t>
    <phoneticPr fontId="9"/>
  </si>
  <si>
    <t>汎用テーブル詳細（登録）</t>
    <rPh sb="9" eb="11">
      <t>トウロク</t>
    </rPh>
    <phoneticPr fontId="9"/>
  </si>
  <si>
    <t>汎用データ区分名</t>
    <rPh sb="7" eb="8">
      <t>メイ</t>
    </rPh>
    <phoneticPr fontId="9"/>
  </si>
  <si>
    <t>(2) 汎用マスタ制御マスタ更新処理</t>
    <rPh sb="4" eb="6">
      <t>ハンヨウ</t>
    </rPh>
    <rPh sb="9" eb="11">
      <t>セイギョ</t>
    </rPh>
    <phoneticPr fontId="9"/>
  </si>
  <si>
    <t>操作コード：MTI350S01_L010</t>
    <rPh sb="0" eb="2">
      <t>ソウサ</t>
    </rPh>
    <phoneticPr fontId="9"/>
  </si>
  <si>
    <t>(3) 汎用マスタ履歴登録処理</t>
    <rPh sb="4" eb="6">
      <t>ハンヨウ</t>
    </rPh>
    <rPh sb="9" eb="11">
      <t>リレキ</t>
    </rPh>
    <rPh sb="11" eb="13">
      <t>トウロク</t>
    </rPh>
    <rPh sb="13" eb="15">
      <t>ショリ</t>
    </rPh>
    <phoneticPr fontId="9"/>
  </si>
  <si>
    <t>①汎用マスタを登録・更新・削除する</t>
    <rPh sb="1" eb="3">
      <t>ハンヨウ</t>
    </rPh>
    <rPh sb="7" eb="9">
      <t>トウロク</t>
    </rPh>
    <rPh sb="10" eb="12">
      <t>コウシン</t>
    </rPh>
    <rPh sb="13" eb="15">
      <t>サクジョ</t>
    </rPh>
    <phoneticPr fontId="9"/>
  </si>
  <si>
    <t>(4) 汎用マスタ更新処理</t>
    <rPh sb="4" eb="6">
      <t>ハンヨウ</t>
    </rPh>
    <phoneticPr fontId="9"/>
  </si>
  <si>
    <t>操作コード：ZZ_D_PK</t>
    <rPh sb="0" eb="2">
      <t>ソウサ</t>
    </rPh>
    <phoneticPr fontId="9"/>
  </si>
  <si>
    <t>操作コード：ZZ_R_DATA_KBN</t>
    <rPh sb="0" eb="2">
      <t>ソウサ</t>
    </rPh>
    <phoneticPr fontId="9"/>
  </si>
  <si>
    <t>画面.汎用コード（更新前情報）&lt;&gt;@NULL</t>
    <phoneticPr fontId="9"/>
  </si>
  <si>
    <t>画面.汎用CD属性がNULL以外で、画面.汎用CD属性≠汎用コードの文字種の場合エラーとする
以下マクロを呼び出し、戻り値がFALSEの場合にエラーとする。
[マクロ]
コード：MT_CHK_GNRL1（汎用コード文字種チェック）
パラメータ：画面.汎用CD属性、画面.汎用コード</t>
    <rPh sb="14" eb="16">
      <t>イガイ</t>
    </rPh>
    <rPh sb="18" eb="20">
      <t>ガメン</t>
    </rPh>
    <rPh sb="28" eb="30">
      <t>ハンヨウ</t>
    </rPh>
    <rPh sb="34" eb="37">
      <t>モジシュ</t>
    </rPh>
    <rPh sb="48" eb="50">
      <t>イカ</t>
    </rPh>
    <rPh sb="54" eb="55">
      <t>ヨ</t>
    </rPh>
    <rPh sb="56" eb="57">
      <t>ダ</t>
    </rPh>
    <rPh sb="59" eb="60">
      <t>モド</t>
    </rPh>
    <rPh sb="61" eb="62">
      <t>チ</t>
    </rPh>
    <rPh sb="69" eb="71">
      <t>バアイ</t>
    </rPh>
    <rPh sb="103" eb="105">
      <t>ハンヨウ</t>
    </rPh>
    <rPh sb="108" eb="111">
      <t>モジシュ</t>
    </rPh>
    <rPh sb="123" eb="125">
      <t>ガメン</t>
    </rPh>
    <rPh sb="126" eb="128">
      <t>ハンヨウ</t>
    </rPh>
    <rPh sb="130" eb="132">
      <t>ゾクセイ</t>
    </rPh>
    <rPh sb="133" eb="135">
      <t>ガメン</t>
    </rPh>
    <rPh sb="136" eb="138">
      <t>ハンヨウ</t>
    </rPh>
    <phoneticPr fontId="11"/>
  </si>
  <si>
    <t>画面.汎用コード（更新前情報）＝@NULL</t>
    <phoneticPr fontId="9"/>
  </si>
  <si>
    <t>[表示/非表示]
画面.汎用コード（更新前情報）がNULL以外の場合に表示</t>
    <rPh sb="1" eb="3">
      <t>ヒョウジ</t>
    </rPh>
    <rPh sb="4" eb="7">
      <t>ヒヒョウジ</t>
    </rPh>
    <rPh sb="9" eb="11">
      <t>ガメン</t>
    </rPh>
    <rPh sb="12" eb="14">
      <t>ハンヨウ</t>
    </rPh>
    <rPh sb="18" eb="20">
      <t>コウシン</t>
    </rPh>
    <rPh sb="20" eb="21">
      <t>マエ</t>
    </rPh>
    <rPh sb="21" eb="23">
      <t>ジョウホウ</t>
    </rPh>
    <rPh sb="29" eb="31">
      <t>イガイ</t>
    </rPh>
    <rPh sb="32" eb="34">
      <t>バアイ</t>
    </rPh>
    <rPh sb="35" eb="37">
      <t>ヒョウジ</t>
    </rPh>
    <phoneticPr fontId="9"/>
  </si>
  <si>
    <t>[表示/非表示]
画面.汎用コード（更新前情報）がNULLの場合に表示</t>
    <rPh sb="1" eb="3">
      <t>ヒョウジ</t>
    </rPh>
    <rPh sb="4" eb="7">
      <t>ヒヒョウジ</t>
    </rPh>
    <rPh sb="9" eb="11">
      <t>ガメン</t>
    </rPh>
    <rPh sb="12" eb="14">
      <t>ハンヨウ</t>
    </rPh>
    <rPh sb="18" eb="20">
      <t>コウシン</t>
    </rPh>
    <rPh sb="20" eb="21">
      <t>マエ</t>
    </rPh>
    <rPh sb="21" eb="23">
      <t>ジョウホウ</t>
    </rPh>
    <rPh sb="30" eb="32">
      <t>バアイ</t>
    </rPh>
    <rPh sb="33" eb="35">
      <t>ヒョウジ</t>
    </rPh>
    <phoneticPr fontId="9"/>
  </si>
  <si>
    <t>画面.汎用名属性がNULL以外で、画面.汎用名属性≠汎用名の文字種の場合エラーとする
以下マクロを呼び出し、戻り値がFALSEの場合にエラーとする。
[マクロ]
コード：MT_CHK_GNRL2（汎用名文字種チェック）
パラメータ：画面.汎用名属性、画面.汎用名</t>
    <rPh sb="5" eb="6">
      <t>メイ</t>
    </rPh>
    <rPh sb="13" eb="15">
      <t>イガイ</t>
    </rPh>
    <rPh sb="17" eb="19">
      <t>ガメン</t>
    </rPh>
    <rPh sb="22" eb="23">
      <t>メイ</t>
    </rPh>
    <rPh sb="26" eb="28">
      <t>ハンヨウ</t>
    </rPh>
    <rPh sb="28" eb="29">
      <t>メイ</t>
    </rPh>
    <rPh sb="30" eb="33">
      <t>モジシュ</t>
    </rPh>
    <rPh sb="44" eb="46">
      <t>イカ</t>
    </rPh>
    <rPh sb="50" eb="51">
      <t>ヨ</t>
    </rPh>
    <rPh sb="52" eb="53">
      <t>ダ</t>
    </rPh>
    <rPh sb="55" eb="56">
      <t>モド</t>
    </rPh>
    <rPh sb="57" eb="58">
      <t>チ</t>
    </rPh>
    <rPh sb="65" eb="67">
      <t>バアイ</t>
    </rPh>
    <rPh sb="101" eb="102">
      <t>メイ</t>
    </rPh>
    <rPh sb="117" eb="119">
      <t>ガメン</t>
    </rPh>
    <rPh sb="120" eb="122">
      <t>ハンヨウ</t>
    </rPh>
    <rPh sb="122" eb="123">
      <t>メイ</t>
    </rPh>
    <rPh sb="123" eb="125">
      <t>ゾクセイ</t>
    </rPh>
    <rPh sb="126" eb="128">
      <t>ガメン</t>
    </rPh>
    <rPh sb="129" eb="131">
      <t>ハンヨウ</t>
    </rPh>
    <rPh sb="131" eb="132">
      <t>メイ</t>
    </rPh>
    <phoneticPr fontId="11"/>
  </si>
  <si>
    <t>画面.汎用名カナがNULL以外で、文字種が全角カナ、全角英数字以外の文字種の場合エラーとする
以下マクロを呼び出し、戻り値がFALSEの場合にエラーとする。
[マクロ]
コード：MT_CHK_GNRL3（汎用名カナ文字種チェック）
パラメータ：画面.汎用名カナ</t>
    <rPh sb="5" eb="6">
      <t>メイ</t>
    </rPh>
    <rPh sb="13" eb="15">
      <t>イガイ</t>
    </rPh>
    <rPh sb="17" eb="20">
      <t>モジシュ</t>
    </rPh>
    <rPh sb="21" eb="23">
      <t>ゼンカク</t>
    </rPh>
    <rPh sb="26" eb="28">
      <t>ゼンカク</t>
    </rPh>
    <rPh sb="28" eb="31">
      <t>エイスウジ</t>
    </rPh>
    <rPh sb="31" eb="33">
      <t>イガイ</t>
    </rPh>
    <rPh sb="34" eb="37">
      <t>モジシュ</t>
    </rPh>
    <rPh sb="48" eb="50">
      <t>イカ</t>
    </rPh>
    <rPh sb="54" eb="55">
      <t>ヨ</t>
    </rPh>
    <rPh sb="56" eb="57">
      <t>ダ</t>
    </rPh>
    <rPh sb="59" eb="60">
      <t>モド</t>
    </rPh>
    <rPh sb="61" eb="62">
      <t>チ</t>
    </rPh>
    <rPh sb="69" eb="71">
      <t>バアイ</t>
    </rPh>
    <rPh sb="105" eb="106">
      <t>メイ</t>
    </rPh>
    <rPh sb="123" eb="125">
      <t>ガメン</t>
    </rPh>
    <rPh sb="126" eb="128">
      <t>ハンヨウ</t>
    </rPh>
    <rPh sb="128" eb="129">
      <t>メイ</t>
    </rPh>
    <phoneticPr fontId="11"/>
  </si>
  <si>
    <t>CITS李（佳）</t>
    <phoneticPr fontId="9"/>
  </si>
  <si>
    <t>正式版作成</t>
    <rPh sb="0" eb="3">
      <t>セイシキバン</t>
    </rPh>
    <rPh sb="3" eb="5">
      <t>サクセイ</t>
    </rPh>
    <phoneticPr fontId="9"/>
  </si>
  <si>
    <t>内部設計書　新規作成</t>
    <rPh sb="0" eb="2">
      <t>ナイブ</t>
    </rPh>
    <rPh sb="2" eb="5">
      <t>セッケイショ</t>
    </rPh>
    <phoneticPr fontId="9"/>
  </si>
  <si>
    <t>MZZG0605</t>
    <phoneticPr fontId="9"/>
  </si>
  <si>
    <t>他ユーザにより更新されています。画面を再度開きなおしてください。</t>
    <phoneticPr fontId="9"/>
  </si>
  <si>
    <t>更新してもよろしいですか？</t>
    <phoneticPr fontId="9"/>
  </si>
  <si>
    <t>★汎用マスタ</t>
    <phoneticPr fontId="9"/>
  </si>
  <si>
    <t>and 汎用マスタ. 汎用区分 =  パラメータ.汎用データ区分</t>
    <phoneticPr fontId="9"/>
  </si>
  <si>
    <t>非表示項目</t>
    <rPh sb="0" eb="3">
      <t>ヒヒョウジ</t>
    </rPh>
    <rPh sb="3" eb="5">
      <t>コウモク</t>
    </rPh>
    <phoneticPr fontId="9"/>
  </si>
  <si>
    <t>業務日付</t>
    <rPh sb="0" eb="4">
      <t>ギョウムヒヅケ</t>
    </rPh>
    <phoneticPr fontId="9"/>
  </si>
  <si>
    <t>非表示</t>
    <rPh sb="0" eb="3">
      <t>ヒヒョウジ</t>
    </rPh>
    <phoneticPr fontId="3"/>
  </si>
  <si>
    <t>DATE</t>
  </si>
  <si>
    <t>-</t>
    <phoneticPr fontId="9"/>
  </si>
  <si>
    <t>セッション.業務日付</t>
    <rPh sb="6" eb="8">
      <t>ギョウム</t>
    </rPh>
    <rPh sb="8" eb="10">
      <t>ヒヅケ</t>
    </rPh>
    <phoneticPr fontId="9"/>
  </si>
  <si>
    <t>業務日付（-6か月）</t>
    <rPh sb="0" eb="4">
      <t>ギョウムヒヅケ</t>
    </rPh>
    <rPh sb="8" eb="9">
      <t>ゲツ</t>
    </rPh>
    <phoneticPr fontId="9"/>
  </si>
  <si>
    <t>画面.業務日付－6ヶ月</t>
    <rPh sb="0" eb="2">
      <t>ガメン</t>
    </rPh>
    <rPh sb="3" eb="7">
      <t>ギョウムヒヅケ</t>
    </rPh>
    <rPh sb="10" eb="11">
      <t>ゲツ</t>
    </rPh>
    <phoneticPr fontId="9"/>
  </si>
  <si>
    <t>ワーニングメッセージ１
（契約締結年月）</t>
    <rPh sb="13" eb="15">
      <t>ケイヤク</t>
    </rPh>
    <rPh sb="15" eb="17">
      <t>テイケツ</t>
    </rPh>
    <rPh sb="17" eb="19">
      <t>ネンゲツ</t>
    </rPh>
    <phoneticPr fontId="9"/>
  </si>
  <si>
    <t>[条件]
画面.契約締結年月＜ 画面.業務日付-6ヶ月(年月)
[設定値]
true：契約締結年月に6ヶ月以上前の過去日付が指定されています。
false：@NULL</t>
    <rPh sb="1" eb="3">
      <t>ジョウケン</t>
    </rPh>
    <rPh sb="5" eb="7">
      <t>ガメン</t>
    </rPh>
    <rPh sb="8" eb="12">
      <t>ケイヤクテイケツ</t>
    </rPh>
    <rPh sb="12" eb="14">
      <t>ネンゲツ</t>
    </rPh>
    <rPh sb="16" eb="18">
      <t>ガメン</t>
    </rPh>
    <rPh sb="19" eb="23">
      <t>ギョウムヒヅケ</t>
    </rPh>
    <rPh sb="26" eb="27">
      <t>ゲツ</t>
    </rPh>
    <rPh sb="28" eb="30">
      <t>ネンゲツ</t>
    </rPh>
    <rPh sb="33" eb="36">
      <t>セッテイチ</t>
    </rPh>
    <rPh sb="43" eb="47">
      <t>ケイヤクテイケツ</t>
    </rPh>
    <rPh sb="47" eb="49">
      <t>ネンゲツ</t>
    </rPh>
    <phoneticPr fontId="9"/>
  </si>
  <si>
    <t>ワーニングメッセージ２
（リース開始日）</t>
    <rPh sb="16" eb="19">
      <t>カイシビ</t>
    </rPh>
    <phoneticPr fontId="9"/>
  </si>
  <si>
    <t>[条件]
画面.リース開始日＜ 画面.業務日付-6ヶ月
[設定値]
true：リース開始日に6ヶ月以上前の過去日付が指定されています。
false：@NULL</t>
    <rPh sb="1" eb="3">
      <t>ジョウケン</t>
    </rPh>
    <rPh sb="5" eb="7">
      <t>ガメン</t>
    </rPh>
    <rPh sb="11" eb="13">
      <t>カイシ</t>
    </rPh>
    <rPh sb="13" eb="14">
      <t>ビ</t>
    </rPh>
    <rPh sb="16" eb="18">
      <t>ガメン</t>
    </rPh>
    <rPh sb="19" eb="23">
      <t>ギョウムヒヅケ</t>
    </rPh>
    <rPh sb="26" eb="27">
      <t>ゲツ</t>
    </rPh>
    <rPh sb="29" eb="32">
      <t>セッテイチ</t>
    </rPh>
    <rPh sb="42" eb="44">
      <t>カイシ</t>
    </rPh>
    <rPh sb="44" eb="45">
      <t>ビ</t>
    </rPh>
    <rPh sb="48" eb="51">
      <t>ゲツイジョウ</t>
    </rPh>
    <rPh sb="51" eb="52">
      <t>マエ</t>
    </rPh>
    <rPh sb="53" eb="55">
      <t>カコ</t>
    </rPh>
    <rPh sb="55" eb="57">
      <t>ヒヅケ</t>
    </rPh>
    <rPh sb="58" eb="60">
      <t>シテイ</t>
    </rPh>
    <phoneticPr fontId="9"/>
  </si>
  <si>
    <t>ワーニングメッセージ３
（リース終了日）</t>
    <rPh sb="16" eb="19">
      <t>シュウリョウビ</t>
    </rPh>
    <phoneticPr fontId="9"/>
  </si>
  <si>
    <t>[条件]
画面.リース終了日＜ 画面.業務日付-6ヶ月
[設定値]
true：リース終了日に6ヶ月以上前の過去日付が指定されています。
false：@NULL</t>
    <rPh sb="1" eb="3">
      <t>ジョウケン</t>
    </rPh>
    <rPh sb="5" eb="7">
      <t>ガメン</t>
    </rPh>
    <rPh sb="11" eb="13">
      <t>シュウリョウ</t>
    </rPh>
    <rPh sb="13" eb="14">
      <t>ヒ</t>
    </rPh>
    <rPh sb="16" eb="18">
      <t>ガメン</t>
    </rPh>
    <rPh sb="19" eb="23">
      <t>ギョウムヒヅケ</t>
    </rPh>
    <rPh sb="26" eb="27">
      <t>ゲツ</t>
    </rPh>
    <rPh sb="29" eb="32">
      <t>セッテイチ</t>
    </rPh>
    <rPh sb="42" eb="44">
      <t>シュウリョウ</t>
    </rPh>
    <rPh sb="44" eb="45">
      <t>ビ</t>
    </rPh>
    <rPh sb="48" eb="51">
      <t>ゲツイジョウ</t>
    </rPh>
    <rPh sb="51" eb="52">
      <t>マエ</t>
    </rPh>
    <rPh sb="53" eb="55">
      <t>カコ</t>
    </rPh>
    <rPh sb="55" eb="57">
      <t>ヒヅケ</t>
    </rPh>
    <rPh sb="58" eb="60">
      <t>シテイ</t>
    </rPh>
    <phoneticPr fontId="9"/>
  </si>
  <si>
    <t>ワーニングメッセージ４
（CSV出力済）</t>
    <rPh sb="16" eb="19">
      <t>シュツリョクスミ</t>
    </rPh>
    <phoneticPr fontId="9"/>
  </si>
  <si>
    <t>[条件]
画面.CSV出力フラグ＝@TRUE
[設定値]
true：CSVが出力済です。
false：@NULL</t>
    <rPh sb="1" eb="3">
      <t>ジョウケン</t>
    </rPh>
    <rPh sb="5" eb="7">
      <t>ガメン</t>
    </rPh>
    <rPh sb="11" eb="13">
      <t>シュツリョク</t>
    </rPh>
    <rPh sb="23" eb="26">
      <t>セッテイチ</t>
    </rPh>
    <phoneticPr fontId="9"/>
  </si>
  <si>
    <t>ステータス（ドロップダウン形式）</t>
    <phoneticPr fontId="9"/>
  </si>
  <si>
    <r>
      <t>パラメータ</t>
    </r>
    <r>
      <rPr>
        <sz val="9"/>
        <color rgb="FFFF0000"/>
        <rFont val="Microsoft YaHei"/>
        <family val="3"/>
        <charset val="134"/>
      </rPr>
      <t>.汎用CD</t>
    </r>
    <phoneticPr fontId="9"/>
  </si>
  <si>
    <t>[固定値]:未選択
[DM]汎用マスタ
[条件]
汎用データ区分="SK293"
[値]汎用CD
[名称]汎用名
[ソート順]表示順
[ソートタイプ]昇順</t>
    <phoneticPr fontId="9"/>
  </si>
  <si>
    <t>@BACK</t>
    <phoneticPr fontId="9"/>
  </si>
  <si>
    <t>○</t>
    <phoneticPr fontId="9"/>
  </si>
  <si>
    <t>[DM]汎用マスタ
[条件]汎用データ区分＝"MT205"
[項目]汎用名</t>
    <rPh sb="4" eb="6">
      <t>ハンヨウ</t>
    </rPh>
    <rPh sb="14" eb="16">
      <t>ハンヨウ</t>
    </rPh>
    <rPh sb="19" eb="21">
      <t>クブン</t>
    </rPh>
    <rPh sb="34" eb="36">
      <t>ハンヨウ</t>
    </rPh>
    <rPh sb="36" eb="37">
      <t>メイ</t>
    </rPh>
    <phoneticPr fontId="9"/>
  </si>
  <si>
    <t>ラベル式：
[条件]
画面.汎用CD見出し&lt;&gt;@NULL
[設定値]
true：画面.汎用CD見出し
false：画面.汎用コード</t>
    <rPh sb="3" eb="4">
      <t>シキ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</si>
</sst>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/mm/dd"/>
    <numFmt numFmtId="177" formatCode="0.0"/>
    <numFmt numFmtId="178" formatCode="0_ ;[Red]\-0\ "/>
  </numFmts>
  <fonts count="29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Osaka"/>
      <family val="3"/>
      <charset val="128"/>
    </font>
    <font>
      <sz val="6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trike/>
      <sz val="9"/>
      <name val="Meiryo UI"/>
      <family val="3"/>
      <charset val="128"/>
    </font>
    <font>
      <sz val="9"/>
      <name val="Microsoft JhengHei"/>
      <family val="3"/>
    </font>
    <font>
      <u/>
      <sz val="11"/>
      <color theme="10"/>
      <name val="ＭＳ Ｐゴシック"/>
      <family val="3"/>
      <charset val="128"/>
      <scheme val="minor"/>
    </font>
    <font>
      <u/>
      <sz val="9"/>
      <color theme="10"/>
      <name val="Meiryo UI"/>
      <family val="3"/>
      <charset val="128"/>
    </font>
    <font>
      <sz val="9"/>
      <name val="Microsoft YaHei"/>
      <family val="3"/>
      <charset val="134"/>
    </font>
    <font>
      <sz val="9"/>
      <color rgb="FF000000"/>
      <name val="Meiryo UI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8"/>
      <color rgb="FF000000"/>
      <name val="Meiryo UI"/>
      <family val="3"/>
      <charset val="128"/>
    </font>
    <font>
      <sz val="9"/>
      <color rgb="FFFF0000"/>
      <name val="Microsoft YaHei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5">
    <xf numFmtId="0" fontId="0" fillId="0" borderId="0">
      <alignment vertical="center"/>
    </xf>
    <xf numFmtId="0" fontId="4" fillId="0" borderId="0"/>
    <xf numFmtId="0" fontId="5" fillId="0" borderId="0"/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top"/>
    </xf>
    <xf numFmtId="0" fontId="10" fillId="0" borderId="0"/>
    <xf numFmtId="0" fontId="4" fillId="0" borderId="0">
      <alignment vertical="center"/>
    </xf>
    <xf numFmtId="0" fontId="8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89">
    <xf numFmtId="0" fontId="0" fillId="0" borderId="0" xfId="0">
      <alignment vertical="center"/>
    </xf>
    <xf numFmtId="0" fontId="0" fillId="0" borderId="0" xfId="0" applyAlignment="1"/>
    <xf numFmtId="0" fontId="13" fillId="0" borderId="4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9" fontId="13" fillId="0" borderId="7" xfId="2" applyNumberFormat="1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8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3" fillId="0" borderId="0" xfId="1" applyFont="1" applyAlignment="1">
      <alignment vertical="top"/>
    </xf>
    <xf numFmtId="14" fontId="13" fillId="0" borderId="0" xfId="2" applyNumberFormat="1" applyFont="1" applyAlignment="1">
      <alignment vertical="center"/>
    </xf>
    <xf numFmtId="0" fontId="13" fillId="0" borderId="0" xfId="2" quotePrefix="1" applyFont="1" applyAlignment="1">
      <alignment vertical="center"/>
    </xf>
    <xf numFmtId="0" fontId="13" fillId="0" borderId="6" xfId="1" applyFont="1" applyBorder="1" applyAlignment="1">
      <alignment vertical="top"/>
    </xf>
    <xf numFmtId="0" fontId="11" fillId="0" borderId="0" xfId="5" applyAlignment="1">
      <alignment vertical="center"/>
    </xf>
    <xf numFmtId="176" fontId="11" fillId="0" borderId="0" xfId="5" applyNumberFormat="1" applyAlignment="1">
      <alignment vertical="center"/>
    </xf>
    <xf numFmtId="0" fontId="11" fillId="0" borderId="0" xfId="5">
      <alignment vertical="top"/>
    </xf>
    <xf numFmtId="0" fontId="11" fillId="4" borderId="0" xfId="7" applyFont="1" applyFill="1">
      <alignment vertical="center"/>
    </xf>
    <xf numFmtId="176" fontId="11" fillId="4" borderId="0" xfId="7" applyNumberFormat="1" applyFont="1" applyFill="1">
      <alignment vertical="center"/>
    </xf>
    <xf numFmtId="0" fontId="11" fillId="5" borderId="20" xfId="7" applyFont="1" applyFill="1" applyBorder="1">
      <alignment vertical="center"/>
    </xf>
    <xf numFmtId="0" fontId="11" fillId="5" borderId="22" xfId="7" applyFont="1" applyFill="1" applyBorder="1">
      <alignment vertical="center"/>
    </xf>
    <xf numFmtId="0" fontId="11" fillId="5" borderId="21" xfId="7" applyFont="1" applyFill="1" applyBorder="1">
      <alignment vertical="center"/>
    </xf>
    <xf numFmtId="0" fontId="11" fillId="0" borderId="0" xfId="5" applyAlignment="1">
      <alignment horizontal="center" vertical="center"/>
    </xf>
    <xf numFmtId="176" fontId="11" fillId="0" borderId="0" xfId="5" applyNumberFormat="1" applyAlignment="1">
      <alignment horizontal="center" vertical="center"/>
    </xf>
    <xf numFmtId="0" fontId="11" fillId="0" borderId="0" xfId="5" applyAlignment="1">
      <alignment wrapText="1"/>
    </xf>
    <xf numFmtId="0" fontId="12" fillId="3" borderId="20" xfId="2" applyFont="1" applyFill="1" applyBorder="1" applyAlignment="1">
      <alignment vertical="center"/>
    </xf>
    <xf numFmtId="0" fontId="12" fillId="3" borderId="22" xfId="2" applyFont="1" applyFill="1" applyBorder="1" applyAlignment="1">
      <alignment vertical="center"/>
    </xf>
    <xf numFmtId="0" fontId="12" fillId="3" borderId="21" xfId="2" applyFont="1" applyFill="1" applyBorder="1" applyAlignment="1">
      <alignment vertical="center"/>
    </xf>
    <xf numFmtId="0" fontId="13" fillId="0" borderId="6" xfId="2" applyFont="1" applyBorder="1" applyAlignment="1">
      <alignment vertical="center"/>
    </xf>
    <xf numFmtId="0" fontId="13" fillId="0" borderId="17" xfId="2" applyFont="1" applyBorder="1" applyAlignment="1">
      <alignment vertical="center"/>
    </xf>
    <xf numFmtId="0" fontId="13" fillId="0" borderId="18" xfId="2" quotePrefix="1" applyFont="1" applyBorder="1" applyAlignment="1">
      <alignment vertical="center"/>
    </xf>
    <xf numFmtId="0" fontId="13" fillId="0" borderId="18" xfId="2" applyFont="1" applyBorder="1" applyAlignment="1">
      <alignment vertical="center"/>
    </xf>
    <xf numFmtId="0" fontId="13" fillId="0" borderId="9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8" fillId="0" borderId="0" xfId="2" quotePrefix="1" applyFont="1" applyAlignment="1">
      <alignment vertical="center"/>
    </xf>
    <xf numFmtId="0" fontId="18" fillId="0" borderId="74" xfId="2" applyFont="1" applyBorder="1" applyAlignment="1">
      <alignment horizontal="center" vertical="center"/>
    </xf>
    <xf numFmtId="0" fontId="13" fillId="5" borderId="0" xfId="2" applyFont="1" applyFill="1" applyAlignment="1">
      <alignment vertical="center"/>
    </xf>
    <xf numFmtId="14" fontId="13" fillId="5" borderId="0" xfId="2" applyNumberFormat="1" applyFont="1" applyFill="1" applyAlignment="1">
      <alignment vertical="center"/>
    </xf>
    <xf numFmtId="0" fontId="0" fillId="9" borderId="0" xfId="0" applyFill="1">
      <alignment vertical="center"/>
    </xf>
    <xf numFmtId="0" fontId="18" fillId="0" borderId="74" xfId="2" applyFont="1" applyBorder="1" applyAlignment="1">
      <alignment vertical="center"/>
    </xf>
    <xf numFmtId="0" fontId="12" fillId="6" borderId="20" xfId="2" applyFont="1" applyFill="1" applyBorder="1" applyAlignment="1">
      <alignment vertical="center"/>
    </xf>
    <xf numFmtId="0" fontId="12" fillId="6" borderId="22" xfId="2" applyFont="1" applyFill="1" applyBorder="1" applyAlignment="1">
      <alignment vertical="center"/>
    </xf>
    <xf numFmtId="0" fontId="12" fillId="6" borderId="21" xfId="2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0" fontId="13" fillId="0" borderId="10" xfId="2" applyFont="1" applyFill="1" applyBorder="1" applyAlignment="1">
      <alignment vertical="center"/>
    </xf>
    <xf numFmtId="0" fontId="13" fillId="0" borderId="12" xfId="2" applyFont="1" applyFill="1" applyBorder="1" applyAlignment="1">
      <alignment vertical="center"/>
    </xf>
    <xf numFmtId="0" fontId="13" fillId="0" borderId="5" xfId="2" applyFont="1" applyFill="1" applyBorder="1" applyAlignment="1">
      <alignment vertical="center"/>
    </xf>
    <xf numFmtId="0" fontId="13" fillId="0" borderId="7" xfId="2" applyFont="1" applyFill="1" applyBorder="1" applyAlignment="1">
      <alignment vertical="center"/>
    </xf>
    <xf numFmtId="0" fontId="13" fillId="0" borderId="8" xfId="2" applyFont="1" applyFill="1" applyBorder="1" applyAlignment="1">
      <alignment vertical="center"/>
    </xf>
    <xf numFmtId="0" fontId="20" fillId="0" borderId="0" xfId="2" quotePrefix="1" applyFont="1" applyAlignment="1">
      <alignment vertical="center"/>
    </xf>
    <xf numFmtId="0" fontId="20" fillId="0" borderId="0" xfId="2" applyFont="1" applyAlignment="1">
      <alignment vertical="center"/>
    </xf>
    <xf numFmtId="0" fontId="13" fillId="0" borderId="18" xfId="2" applyFont="1" applyFill="1" applyBorder="1" applyAlignment="1">
      <alignment vertical="center"/>
    </xf>
    <xf numFmtId="49" fontId="13" fillId="0" borderId="7" xfId="2" applyNumberFormat="1" applyFont="1" applyFill="1" applyBorder="1" applyAlignment="1">
      <alignment vertical="center"/>
    </xf>
    <xf numFmtId="0" fontId="11" fillId="0" borderId="0" xfId="0" applyFont="1" applyFill="1" applyAlignment="1">
      <alignment horizontal="left" vertical="center" readingOrder="1"/>
    </xf>
    <xf numFmtId="56" fontId="13" fillId="0" borderId="0" xfId="1" quotePrefix="1" applyNumberFormat="1" applyFont="1" applyFill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0" fontId="13" fillId="0" borderId="0" xfId="1" applyFont="1" applyFill="1" applyAlignment="1">
      <alignment horizontal="left" vertical="top"/>
    </xf>
    <xf numFmtId="0" fontId="13" fillId="0" borderId="0" xfId="1" applyFont="1" applyFill="1" applyAlignment="1">
      <alignment vertical="center"/>
    </xf>
    <xf numFmtId="0" fontId="13" fillId="10" borderId="29" xfId="2" applyFont="1" applyFill="1" applyBorder="1" applyAlignment="1">
      <alignment vertical="center"/>
    </xf>
    <xf numFmtId="0" fontId="13" fillId="0" borderId="0" xfId="1" applyFont="1" applyFill="1" applyAlignment="1">
      <alignment vertical="top"/>
    </xf>
    <xf numFmtId="0" fontId="13" fillId="0" borderId="0" xfId="2" applyFont="1" applyBorder="1" applyAlignment="1">
      <alignment vertical="center"/>
    </xf>
    <xf numFmtId="0" fontId="13" fillId="0" borderId="2" xfId="2" applyFont="1" applyFill="1" applyBorder="1" applyAlignment="1">
      <alignment vertical="center"/>
    </xf>
    <xf numFmtId="0" fontId="13" fillId="0" borderId="11" xfId="2" applyFont="1" applyFill="1" applyBorder="1" applyAlignment="1">
      <alignment vertical="center"/>
    </xf>
    <xf numFmtId="0" fontId="13" fillId="0" borderId="24" xfId="2" applyFont="1" applyFill="1" applyBorder="1" applyAlignment="1">
      <alignment vertical="center"/>
    </xf>
    <xf numFmtId="56" fontId="13" fillId="0" borderId="0" xfId="1" quotePrefix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left" vertical="top"/>
    </xf>
    <xf numFmtId="49" fontId="15" fillId="0" borderId="0" xfId="0" applyNumberFormat="1" applyFont="1">
      <alignment vertical="center"/>
    </xf>
    <xf numFmtId="0" fontId="11" fillId="0" borderId="0" xfId="0" applyFont="1" applyAlignment="1">
      <alignment horizontal="left" vertical="center" readingOrder="1"/>
    </xf>
    <xf numFmtId="0" fontId="13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4" xfId="2" applyFont="1" applyBorder="1" applyAlignment="1">
      <alignment horizontal="left" vertical="top"/>
    </xf>
    <xf numFmtId="0" fontId="13" fillId="0" borderId="5" xfId="2" applyFont="1" applyBorder="1" applyAlignment="1">
      <alignment horizontal="left" vertical="top"/>
    </xf>
    <xf numFmtId="0" fontId="13" fillId="0" borderId="6" xfId="2" applyFont="1" applyBorder="1" applyAlignment="1">
      <alignment horizontal="left" vertical="top"/>
    </xf>
    <xf numFmtId="0" fontId="13" fillId="0" borderId="0" xfId="2" quotePrefix="1" applyFont="1" applyAlignment="1">
      <alignment horizontal="right" vertical="center"/>
    </xf>
    <xf numFmtId="0" fontId="13" fillId="0" borderId="0" xfId="0" applyFont="1">
      <alignment vertical="center"/>
    </xf>
    <xf numFmtId="0" fontId="13" fillId="0" borderId="8" xfId="0" applyFont="1" applyBorder="1">
      <alignment vertical="center"/>
    </xf>
    <xf numFmtId="0" fontId="13" fillId="0" borderId="7" xfId="2" applyFont="1" applyBorder="1" applyAlignment="1">
      <alignment horizontal="left" vertical="top"/>
    </xf>
    <xf numFmtId="0" fontId="13" fillId="0" borderId="0" xfId="2" applyFont="1" applyAlignment="1">
      <alignment horizontal="left" vertical="top"/>
    </xf>
    <xf numFmtId="0" fontId="13" fillId="0" borderId="8" xfId="2" applyFont="1" applyBorder="1" applyAlignment="1">
      <alignment horizontal="left" vertical="top"/>
    </xf>
    <xf numFmtId="0" fontId="19" fillId="0" borderId="0" xfId="0" applyFont="1">
      <alignment vertical="center"/>
    </xf>
    <xf numFmtId="0" fontId="13" fillId="0" borderId="0" xfId="1" applyFont="1" applyAlignment="1">
      <alignment vertical="center"/>
    </xf>
    <xf numFmtId="0" fontId="13" fillId="0" borderId="14" xfId="2" applyFont="1" applyFill="1" applyBorder="1" applyAlignment="1">
      <alignment vertical="center"/>
    </xf>
    <xf numFmtId="0" fontId="13" fillId="0" borderId="15" xfId="2" applyFont="1" applyFill="1" applyBorder="1" applyAlignment="1">
      <alignment vertical="center"/>
    </xf>
    <xf numFmtId="0" fontId="13" fillId="0" borderId="25" xfId="2" applyFont="1" applyFill="1" applyBorder="1" applyAlignment="1">
      <alignment vertical="center"/>
    </xf>
    <xf numFmtId="0" fontId="13" fillId="3" borderId="1" xfId="2" applyFont="1" applyFill="1" applyBorder="1" applyAlignment="1">
      <alignment horizontal="left" vertical="top"/>
    </xf>
    <xf numFmtId="0" fontId="13" fillId="3" borderId="23" xfId="2" applyFont="1" applyFill="1" applyBorder="1" applyAlignment="1">
      <alignment horizontal="left" vertical="top"/>
    </xf>
    <xf numFmtId="0" fontId="13" fillId="3" borderId="32" xfId="2" applyFont="1" applyFill="1" applyBorder="1" applyAlignment="1">
      <alignment horizontal="left" vertical="top"/>
    </xf>
    <xf numFmtId="0" fontId="13" fillId="0" borderId="11" xfId="2" applyFont="1" applyBorder="1" applyAlignment="1">
      <alignment vertical="center"/>
    </xf>
    <xf numFmtId="0" fontId="13" fillId="0" borderId="24" xfId="2" applyFont="1" applyBorder="1" applyAlignment="1">
      <alignment vertical="center"/>
    </xf>
    <xf numFmtId="0" fontId="18" fillId="0" borderId="2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18" fillId="0" borderId="24" xfId="2" applyFont="1" applyBorder="1" applyAlignment="1">
      <alignment horizontal="center" vertical="center"/>
    </xf>
    <xf numFmtId="0" fontId="13" fillId="0" borderId="23" xfId="2" applyFont="1" applyBorder="1" applyAlignment="1">
      <alignment horizontal="left" vertical="top"/>
    </xf>
    <xf numFmtId="0" fontId="13" fillId="0" borderId="32" xfId="2" applyFont="1" applyBorder="1" applyAlignment="1">
      <alignment horizontal="left" vertical="top"/>
    </xf>
    <xf numFmtId="0" fontId="13" fillId="0" borderId="1" xfId="2" applyFont="1" applyBorder="1" applyAlignment="1">
      <alignment horizontal="left" vertical="top" wrapText="1"/>
    </xf>
    <xf numFmtId="0" fontId="19" fillId="11" borderId="82" xfId="2" applyFont="1" applyFill="1" applyBorder="1" applyAlignment="1">
      <alignment vertical="center"/>
    </xf>
    <xf numFmtId="0" fontId="18" fillId="11" borderId="11" xfId="2" applyFont="1" applyFill="1" applyBorder="1" applyAlignment="1">
      <alignment vertical="center" wrapText="1"/>
    </xf>
    <xf numFmtId="0" fontId="18" fillId="11" borderId="11" xfId="2" applyFont="1" applyFill="1" applyBorder="1" applyAlignment="1">
      <alignment horizontal="left" vertical="center" wrapText="1"/>
    </xf>
    <xf numFmtId="0" fontId="0" fillId="11" borderId="11" xfId="0" applyFill="1" applyBorder="1" applyAlignment="1">
      <alignment vertical="center" wrapText="1"/>
    </xf>
    <xf numFmtId="0" fontId="18" fillId="11" borderId="11" xfId="2" applyFont="1" applyFill="1" applyBorder="1" applyAlignment="1">
      <alignment vertical="center"/>
    </xf>
    <xf numFmtId="0" fontId="18" fillId="11" borderId="11" xfId="2" applyFont="1" applyFill="1" applyBorder="1" applyAlignment="1">
      <alignment vertical="center" wrapText="1" shrinkToFit="1"/>
    </xf>
    <xf numFmtId="0" fontId="18" fillId="11" borderId="11" xfId="2" applyFont="1" applyFill="1" applyBorder="1" applyAlignment="1">
      <alignment vertical="center" shrinkToFit="1"/>
    </xf>
    <xf numFmtId="0" fontId="18" fillId="11" borderId="73" xfId="2" applyFont="1" applyFill="1" applyBorder="1" applyAlignment="1">
      <alignment vertical="center" shrinkToFit="1"/>
    </xf>
    <xf numFmtId="0" fontId="13" fillId="0" borderId="2" xfId="2" quotePrefix="1" applyFont="1" applyBorder="1" applyAlignment="1">
      <alignment vertical="center"/>
    </xf>
    <xf numFmtId="0" fontId="13" fillId="0" borderId="3" xfId="2" applyFont="1" applyFill="1" applyBorder="1" applyAlignment="1">
      <alignment vertical="center"/>
    </xf>
    <xf numFmtId="0" fontId="13" fillId="0" borderId="0" xfId="2" quotePrefix="1" applyFont="1" applyFill="1" applyAlignment="1">
      <alignment vertical="center"/>
    </xf>
    <xf numFmtId="0" fontId="13" fillId="10" borderId="30" xfId="2" applyFont="1" applyFill="1" applyBorder="1" applyAlignment="1">
      <alignment vertical="center"/>
    </xf>
    <xf numFmtId="0" fontId="13" fillId="10" borderId="18" xfId="2" applyFont="1" applyFill="1" applyBorder="1" applyAlignment="1">
      <alignment vertical="center"/>
    </xf>
    <xf numFmtId="0" fontId="13" fillId="10" borderId="9" xfId="2" applyFont="1" applyFill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15" xfId="2" applyFont="1" applyBorder="1" applyAlignment="1">
      <alignment vertical="center"/>
    </xf>
    <xf numFmtId="0" fontId="13" fillId="0" borderId="25" xfId="2" applyFont="1" applyBorder="1" applyAlignment="1">
      <alignment vertical="center"/>
    </xf>
    <xf numFmtId="0" fontId="13" fillId="12" borderId="2" xfId="2" applyFont="1" applyFill="1" applyBorder="1" applyAlignment="1">
      <alignment vertical="center"/>
    </xf>
    <xf numFmtId="0" fontId="13" fillId="12" borderId="11" xfId="2" applyFont="1" applyFill="1" applyBorder="1" applyAlignment="1">
      <alignment vertical="center"/>
    </xf>
    <xf numFmtId="0" fontId="13" fillId="12" borderId="12" xfId="2" applyFont="1" applyFill="1" applyBorder="1" applyAlignment="1">
      <alignment vertical="center"/>
    </xf>
    <xf numFmtId="0" fontId="13" fillId="12" borderId="24" xfId="2" applyFont="1" applyFill="1" applyBorder="1" applyAlignment="1">
      <alignment vertical="center"/>
    </xf>
    <xf numFmtId="0" fontId="13" fillId="0" borderId="20" xfId="2" applyFont="1" applyFill="1" applyBorder="1" applyAlignment="1">
      <alignment vertical="center"/>
    </xf>
    <xf numFmtId="0" fontId="13" fillId="0" borderId="22" xfId="2" applyFont="1" applyFill="1" applyBorder="1" applyAlignment="1">
      <alignment vertical="center"/>
    </xf>
    <xf numFmtId="0" fontId="13" fillId="0" borderId="21" xfId="2" applyFont="1" applyFill="1" applyBorder="1" applyAlignment="1">
      <alignment vertical="center"/>
    </xf>
    <xf numFmtId="0" fontId="13" fillId="0" borderId="28" xfId="2" applyFont="1" applyFill="1" applyBorder="1" applyAlignment="1">
      <alignment vertical="center"/>
    </xf>
    <xf numFmtId="0" fontId="13" fillId="0" borderId="29" xfId="2" applyFont="1" applyFill="1" applyBorder="1" applyAlignment="1">
      <alignment vertical="center"/>
    </xf>
    <xf numFmtId="0" fontId="13" fillId="0" borderId="13" xfId="2" applyFont="1" applyFill="1" applyBorder="1" applyAlignment="1">
      <alignment vertical="center"/>
    </xf>
    <xf numFmtId="0" fontId="13" fillId="0" borderId="16" xfId="2" applyFont="1" applyFill="1" applyBorder="1" applyAlignment="1">
      <alignment vertical="center"/>
    </xf>
    <xf numFmtId="0" fontId="13" fillId="0" borderId="4" xfId="2" applyFont="1" applyFill="1" applyBorder="1" applyAlignment="1">
      <alignment vertical="top"/>
    </xf>
    <xf numFmtId="0" fontId="13" fillId="0" borderId="5" xfId="2" applyFont="1" applyFill="1" applyBorder="1" applyAlignment="1">
      <alignment vertical="top"/>
    </xf>
    <xf numFmtId="0" fontId="13" fillId="0" borderId="6" xfId="2" applyFont="1" applyFill="1" applyBorder="1" applyAlignment="1">
      <alignment vertical="top"/>
    </xf>
    <xf numFmtId="0" fontId="13" fillId="0" borderId="7" xfId="2" applyFont="1" applyFill="1" applyBorder="1" applyAlignment="1">
      <alignment vertical="top"/>
    </xf>
    <xf numFmtId="0" fontId="13" fillId="0" borderId="0" xfId="2" applyFont="1" applyFill="1" applyAlignment="1">
      <alignment vertical="top"/>
    </xf>
    <xf numFmtId="0" fontId="13" fillId="0" borderId="0" xfId="2" quotePrefix="1" applyFont="1" applyFill="1" applyAlignment="1">
      <alignment vertical="top"/>
    </xf>
    <xf numFmtId="0" fontId="13" fillId="0" borderId="8" xfId="2" applyFont="1" applyFill="1" applyBorder="1" applyAlignment="1">
      <alignment vertical="top"/>
    </xf>
    <xf numFmtId="0" fontId="13" fillId="0" borderId="65" xfId="2" applyFont="1" applyFill="1" applyBorder="1" applyAlignment="1">
      <alignment vertical="center"/>
    </xf>
    <xf numFmtId="0" fontId="13" fillId="0" borderId="23" xfId="2" applyFont="1" applyFill="1" applyBorder="1" applyAlignment="1">
      <alignment vertical="center"/>
    </xf>
    <xf numFmtId="0" fontId="13" fillId="0" borderId="32" xfId="2" applyFont="1" applyFill="1" applyBorder="1" applyAlignment="1">
      <alignment vertical="center"/>
    </xf>
    <xf numFmtId="0" fontId="13" fillId="0" borderId="17" xfId="2" applyFont="1" applyFill="1" applyBorder="1" applyAlignment="1">
      <alignment vertical="center"/>
    </xf>
    <xf numFmtId="0" fontId="13" fillId="0" borderId="19" xfId="2" applyFont="1" applyFill="1" applyBorder="1" applyAlignment="1">
      <alignment horizontal="center" vertical="center"/>
    </xf>
    <xf numFmtId="0" fontId="18" fillId="0" borderId="74" xfId="2" applyFont="1" applyFill="1" applyBorder="1" applyAlignment="1">
      <alignment horizontal="center" vertical="center"/>
    </xf>
    <xf numFmtId="0" fontId="18" fillId="0" borderId="74" xfId="2" applyFont="1" applyFill="1" applyBorder="1" applyAlignment="1">
      <alignment vertical="center"/>
    </xf>
    <xf numFmtId="0" fontId="18" fillId="0" borderId="0" xfId="2" applyFont="1" applyFill="1" applyAlignment="1">
      <alignment vertical="center"/>
    </xf>
    <xf numFmtId="0" fontId="18" fillId="0" borderId="77" xfId="2" applyFont="1" applyFill="1" applyBorder="1" applyAlignment="1">
      <alignment vertical="center"/>
    </xf>
    <xf numFmtId="0" fontId="13" fillId="0" borderId="0" xfId="2" quotePrefix="1" applyFont="1" applyFill="1" applyAlignment="1">
      <alignment horizontal="right" vertical="center"/>
    </xf>
    <xf numFmtId="0" fontId="13" fillId="0" borderId="0" xfId="0" applyFont="1" applyFill="1">
      <alignment vertical="center"/>
    </xf>
    <xf numFmtId="0" fontId="13" fillId="0" borderId="8" xfId="0" applyFont="1" applyFill="1" applyBorder="1">
      <alignment vertical="center"/>
    </xf>
    <xf numFmtId="0" fontId="13" fillId="0" borderId="7" xfId="2" applyFont="1" applyFill="1" applyBorder="1" applyAlignment="1">
      <alignment horizontal="left" vertical="top"/>
    </xf>
    <xf numFmtId="0" fontId="13" fillId="0" borderId="0" xfId="2" applyFont="1" applyFill="1" applyAlignment="1">
      <alignment horizontal="left" vertical="top"/>
    </xf>
    <xf numFmtId="0" fontId="13" fillId="0" borderId="8" xfId="2" applyFont="1" applyFill="1" applyBorder="1" applyAlignment="1">
      <alignment horizontal="left" vertical="top"/>
    </xf>
    <xf numFmtId="0" fontId="13" fillId="0" borderId="20" xfId="2" quotePrefix="1" applyFont="1" applyFill="1" applyBorder="1" applyAlignment="1">
      <alignment vertical="center"/>
    </xf>
    <xf numFmtId="0" fontId="13" fillId="0" borderId="0" xfId="2" applyFont="1" applyFill="1" applyAlignment="1">
      <alignment horizontal="right" vertical="center"/>
    </xf>
    <xf numFmtId="0" fontId="13" fillId="0" borderId="0" xfId="2" applyFont="1" applyFill="1" applyAlignment="1">
      <alignment horizontal="left" vertical="center"/>
    </xf>
    <xf numFmtId="0" fontId="13" fillId="0" borderId="0" xfId="2" quotePrefix="1" applyFont="1" applyFill="1" applyAlignment="1">
      <alignment horizontal="right" vertical="center" wrapText="1"/>
    </xf>
    <xf numFmtId="0" fontId="13" fillId="0" borderId="22" xfId="2" quotePrefix="1" applyFont="1" applyFill="1" applyBorder="1" applyAlignment="1">
      <alignment vertical="center"/>
    </xf>
    <xf numFmtId="0" fontId="23" fillId="0" borderId="0" xfId="14" applyFont="1" applyFill="1" applyAlignment="1">
      <alignment vertical="center"/>
    </xf>
    <xf numFmtId="0" fontId="23" fillId="0" borderId="0" xfId="14" quotePrefix="1" applyFont="1" applyFill="1" applyAlignment="1">
      <alignment vertical="center"/>
    </xf>
    <xf numFmtId="0" fontId="17" fillId="0" borderId="0" xfId="2" applyFont="1" applyFill="1" applyAlignment="1">
      <alignment vertical="center"/>
    </xf>
    <xf numFmtId="0" fontId="13" fillId="0" borderId="18" xfId="0" applyFont="1" applyFill="1" applyBorder="1">
      <alignment vertical="center"/>
    </xf>
    <xf numFmtId="0" fontId="13" fillId="0" borderId="9" xfId="0" applyFont="1" applyFill="1" applyBorder="1">
      <alignment vertical="center"/>
    </xf>
    <xf numFmtId="0" fontId="13" fillId="0" borderId="17" xfId="2" applyFont="1" applyFill="1" applyBorder="1" applyAlignment="1">
      <alignment horizontal="left" vertical="top"/>
    </xf>
    <xf numFmtId="0" fontId="13" fillId="0" borderId="18" xfId="2" applyFont="1" applyFill="1" applyBorder="1" applyAlignment="1">
      <alignment horizontal="left" vertical="top"/>
    </xf>
    <xf numFmtId="0" fontId="13" fillId="0" borderId="9" xfId="2" applyFont="1" applyFill="1" applyBorder="1" applyAlignment="1">
      <alignment horizontal="left" vertical="top"/>
    </xf>
    <xf numFmtId="0" fontId="24" fillId="0" borderId="7" xfId="2" applyFont="1" applyFill="1" applyBorder="1" applyAlignment="1">
      <alignment vertical="top"/>
    </xf>
    <xf numFmtId="0" fontId="25" fillId="0" borderId="0" xfId="2" applyFont="1" applyAlignment="1">
      <alignment vertical="center"/>
    </xf>
    <xf numFmtId="0" fontId="25" fillId="0" borderId="19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177" fontId="11" fillId="4" borderId="20" xfId="7" applyNumberFormat="1" applyFont="1" applyFill="1" applyBorder="1" applyAlignment="1">
      <alignment horizontal="center" vertical="center" shrinkToFit="1"/>
    </xf>
    <xf numFmtId="177" fontId="11" fillId="0" borderId="22" xfId="7" applyNumberFormat="1" applyFont="1" applyBorder="1" applyAlignment="1">
      <alignment horizontal="center" vertical="center" shrinkToFit="1"/>
    </xf>
    <xf numFmtId="177" fontId="11" fillId="0" borderId="21" xfId="7" applyNumberFormat="1" applyFont="1" applyBorder="1" applyAlignment="1">
      <alignment horizontal="center" vertical="center" shrinkToFit="1"/>
    </xf>
    <xf numFmtId="176" fontId="11" fillId="4" borderId="20" xfId="7" applyNumberFormat="1" applyFont="1" applyFill="1" applyBorder="1" applyAlignment="1">
      <alignment horizontal="center" vertical="center" shrinkToFit="1"/>
    </xf>
    <xf numFmtId="176" fontId="11" fillId="4" borderId="22" xfId="7" applyNumberFormat="1" applyFont="1" applyFill="1" applyBorder="1" applyAlignment="1">
      <alignment horizontal="center" vertical="center" shrinkToFit="1"/>
    </xf>
    <xf numFmtId="176" fontId="11" fillId="4" borderId="21" xfId="7" applyNumberFormat="1" applyFont="1" applyFill="1" applyBorder="1" applyAlignment="1">
      <alignment horizontal="center" vertical="center" shrinkToFit="1"/>
    </xf>
    <xf numFmtId="0" fontId="11" fillId="4" borderId="20" xfId="7" applyFont="1" applyFill="1" applyBorder="1" applyAlignment="1">
      <alignment horizontal="center" vertical="center" shrinkToFit="1"/>
    </xf>
    <xf numFmtId="0" fontId="11" fillId="4" borderId="22" xfId="7" applyFont="1" applyFill="1" applyBorder="1" applyAlignment="1">
      <alignment horizontal="center" vertical="center" shrinkToFit="1"/>
    </xf>
    <xf numFmtId="0" fontId="11" fillId="4" borderId="21" xfId="7" applyFont="1" applyFill="1" applyBorder="1" applyAlignment="1">
      <alignment horizontal="center" vertical="center" shrinkToFit="1"/>
    </xf>
    <xf numFmtId="0" fontId="11" fillId="4" borderId="20" xfId="7" applyFont="1" applyFill="1" applyBorder="1" applyAlignment="1">
      <alignment vertical="top" wrapText="1"/>
    </xf>
    <xf numFmtId="0" fontId="11" fillId="4" borderId="22" xfId="7" applyFont="1" applyFill="1" applyBorder="1" applyAlignment="1">
      <alignment vertical="top" wrapText="1"/>
    </xf>
    <xf numFmtId="0" fontId="11" fillId="4" borderId="21" xfId="7" applyFont="1" applyFill="1" applyBorder="1" applyAlignment="1">
      <alignment vertical="top" wrapText="1"/>
    </xf>
    <xf numFmtId="0" fontId="11" fillId="3" borderId="38" xfId="5" applyFill="1" applyBorder="1" applyAlignment="1">
      <alignment horizontal="center" vertical="center" shrinkToFit="1"/>
    </xf>
    <xf numFmtId="0" fontId="11" fillId="3" borderId="42" xfId="5" applyFill="1" applyBorder="1" applyAlignment="1">
      <alignment horizontal="center" vertical="center" shrinkToFit="1"/>
    </xf>
    <xf numFmtId="0" fontId="11" fillId="0" borderId="42" xfId="5" applyBorder="1" applyAlignment="1">
      <alignment horizontal="center" vertical="center" shrinkToFit="1"/>
    </xf>
    <xf numFmtId="0" fontId="11" fillId="0" borderId="56" xfId="5" applyBorder="1" applyAlignment="1">
      <alignment horizontal="center" vertical="center" shrinkToFit="1"/>
    </xf>
    <xf numFmtId="0" fontId="11" fillId="0" borderId="42" xfId="5" applyBorder="1" applyAlignment="1">
      <alignment horizontal="center" vertical="center" wrapText="1" shrinkToFit="1"/>
    </xf>
    <xf numFmtId="0" fontId="11" fillId="5" borderId="20" xfId="7" applyFont="1" applyFill="1" applyBorder="1" applyAlignment="1">
      <alignment horizontal="center" vertical="center"/>
    </xf>
    <xf numFmtId="0" fontId="11" fillId="5" borderId="22" xfId="7" applyFont="1" applyFill="1" applyBorder="1" applyAlignment="1">
      <alignment horizontal="center" vertical="center"/>
    </xf>
    <xf numFmtId="0" fontId="11" fillId="5" borderId="21" xfId="7" applyFont="1" applyFill="1" applyBorder="1" applyAlignment="1">
      <alignment horizontal="center" vertical="center"/>
    </xf>
    <xf numFmtId="176" fontId="11" fillId="5" borderId="20" xfId="7" applyNumberFormat="1" applyFont="1" applyFill="1" applyBorder="1" applyAlignment="1">
      <alignment horizontal="center" vertical="center"/>
    </xf>
    <xf numFmtId="176" fontId="11" fillId="5" borderId="22" xfId="7" applyNumberFormat="1" applyFont="1" applyFill="1" applyBorder="1" applyAlignment="1">
      <alignment horizontal="center" vertical="center"/>
    </xf>
    <xf numFmtId="176" fontId="11" fillId="5" borderId="21" xfId="7" applyNumberFormat="1" applyFont="1" applyFill="1" applyBorder="1" applyAlignment="1">
      <alignment horizontal="center" vertical="center"/>
    </xf>
    <xf numFmtId="0" fontId="11" fillId="3" borderId="49" xfId="5" applyFill="1" applyBorder="1" applyAlignment="1">
      <alignment horizontal="center" vertical="center"/>
    </xf>
    <xf numFmtId="176" fontId="11" fillId="2" borderId="49" xfId="5" applyNumberFormat="1" applyFill="1" applyBorder="1" applyAlignment="1">
      <alignment horizontal="center" vertical="center" shrinkToFit="1"/>
    </xf>
    <xf numFmtId="177" fontId="11" fillId="2" borderId="33" xfId="5" applyNumberFormat="1" applyFill="1" applyBorder="1" applyAlignment="1">
      <alignment horizontal="center" vertical="center"/>
    </xf>
    <xf numFmtId="177" fontId="11" fillId="2" borderId="50" xfId="5" applyNumberFormat="1" applyFill="1" applyBorder="1" applyAlignment="1">
      <alignment horizontal="center" vertical="center"/>
    </xf>
    <xf numFmtId="177" fontId="11" fillId="2" borderId="52" xfId="5" applyNumberFormat="1" applyFill="1" applyBorder="1" applyAlignment="1">
      <alignment horizontal="center" vertical="center"/>
    </xf>
    <xf numFmtId="177" fontId="11" fillId="2" borderId="58" xfId="5" applyNumberFormat="1" applyFill="1" applyBorder="1" applyAlignment="1">
      <alignment horizontal="center" vertical="center"/>
    </xf>
    <xf numFmtId="0" fontId="11" fillId="3" borderId="57" xfId="5" applyFill="1" applyBorder="1" applyAlignment="1">
      <alignment horizontal="center" vertical="center"/>
    </xf>
    <xf numFmtId="176" fontId="11" fillId="2" borderId="57" xfId="5" applyNumberFormat="1" applyFill="1" applyBorder="1" applyAlignment="1">
      <alignment horizontal="center" vertical="center" shrinkToFit="1"/>
    </xf>
    <xf numFmtId="0" fontId="11" fillId="0" borderId="48" xfId="5" applyBorder="1" applyAlignment="1">
      <alignment horizontal="center" vertical="center" wrapText="1"/>
    </xf>
    <xf numFmtId="0" fontId="11" fillId="0" borderId="33" xfId="5" applyBorder="1" applyAlignment="1">
      <alignment horizontal="center" vertical="center" wrapText="1"/>
    </xf>
    <xf numFmtId="0" fontId="11" fillId="0" borderId="51" xfId="5" applyBorder="1" applyAlignment="1">
      <alignment horizontal="center" vertical="center" wrapText="1"/>
    </xf>
    <xf numFmtId="0" fontId="11" fillId="0" borderId="52" xfId="5" applyBorder="1" applyAlignment="1">
      <alignment horizontal="center" vertical="center" wrapText="1"/>
    </xf>
    <xf numFmtId="0" fontId="11" fillId="0" borderId="33" xfId="5" applyBorder="1" applyAlignment="1">
      <alignment horizontal="center" vertical="center"/>
    </xf>
    <xf numFmtId="0" fontId="11" fillId="0" borderId="52" xfId="5" applyBorder="1" applyAlignment="1">
      <alignment horizontal="center" vertical="center"/>
    </xf>
    <xf numFmtId="0" fontId="11" fillId="0" borderId="4" xfId="5" applyBorder="1" applyAlignment="1">
      <alignment horizontal="center" vertical="center" shrinkToFit="1"/>
    </xf>
    <xf numFmtId="0" fontId="11" fillId="0" borderId="5" xfId="5" applyBorder="1" applyAlignment="1">
      <alignment horizontal="center" vertical="center" shrinkToFit="1"/>
    </xf>
    <xf numFmtId="0" fontId="11" fillId="0" borderId="6" xfId="5" applyBorder="1" applyAlignment="1">
      <alignment horizontal="center" vertical="center" shrinkToFit="1"/>
    </xf>
    <xf numFmtId="0" fontId="11" fillId="0" borderId="53" xfId="5" applyBorder="1" applyAlignment="1">
      <alignment horizontal="center" vertical="center" shrinkToFit="1"/>
    </xf>
    <xf numFmtId="0" fontId="11" fillId="0" borderId="54" xfId="5" applyBorder="1" applyAlignment="1">
      <alignment horizontal="center" vertical="center" shrinkToFit="1"/>
    </xf>
    <xf numFmtId="0" fontId="11" fillId="0" borderId="55" xfId="5" applyBorder="1" applyAlignment="1">
      <alignment horizontal="center" vertical="center" shrinkToFit="1"/>
    </xf>
    <xf numFmtId="0" fontId="11" fillId="3" borderId="39" xfId="5" applyFill="1" applyBorder="1" applyAlignment="1">
      <alignment horizontal="center" vertical="center"/>
    </xf>
    <xf numFmtId="0" fontId="11" fillId="2" borderId="39" xfId="5" applyFill="1" applyBorder="1" applyAlignment="1">
      <alignment horizontal="center" vertical="center" shrinkToFit="1"/>
    </xf>
    <xf numFmtId="0" fontId="11" fillId="3" borderId="37" xfId="5" applyFill="1" applyBorder="1" applyAlignment="1">
      <alignment horizontal="center" vertical="center"/>
    </xf>
    <xf numFmtId="0" fontId="11" fillId="3" borderId="35" xfId="5" applyFill="1" applyBorder="1" applyAlignment="1">
      <alignment horizontal="center" vertical="center"/>
    </xf>
    <xf numFmtId="0" fontId="11" fillId="3" borderId="40" xfId="5" applyFill="1" applyBorder="1" applyAlignment="1">
      <alignment horizontal="center" vertical="center"/>
    </xf>
    <xf numFmtId="0" fontId="11" fillId="3" borderId="17" xfId="5" applyFill="1" applyBorder="1" applyAlignment="1">
      <alignment horizontal="center" vertical="center"/>
    </xf>
    <xf numFmtId="0" fontId="11" fillId="3" borderId="18" xfId="5" applyFill="1" applyBorder="1" applyAlignment="1">
      <alignment horizontal="center" vertical="center"/>
    </xf>
    <xf numFmtId="0" fontId="11" fillId="3" borderId="47" xfId="5" applyFill="1" applyBorder="1" applyAlignment="1">
      <alignment horizontal="center" vertical="center"/>
    </xf>
    <xf numFmtId="0" fontId="11" fillId="3" borderId="43" xfId="5" applyFill="1" applyBorder="1" applyAlignment="1">
      <alignment horizontal="center" vertical="center"/>
    </xf>
    <xf numFmtId="0" fontId="11" fillId="3" borderId="44" xfId="5" applyFill="1" applyBorder="1" applyAlignment="1">
      <alignment horizontal="center" vertical="center"/>
    </xf>
    <xf numFmtId="0" fontId="11" fillId="3" borderId="45" xfId="5" applyFill="1" applyBorder="1" applyAlignment="1">
      <alignment horizontal="center" vertical="center"/>
    </xf>
    <xf numFmtId="176" fontId="11" fillId="2" borderId="46" xfId="5" applyNumberFormat="1" applyFill="1" applyBorder="1" applyAlignment="1">
      <alignment horizontal="center" vertical="center" shrinkToFit="1"/>
    </xf>
    <xf numFmtId="0" fontId="11" fillId="3" borderId="34" xfId="5" applyFill="1" applyBorder="1" applyAlignment="1">
      <alignment horizontal="center" vertical="center"/>
    </xf>
    <xf numFmtId="0" fontId="11" fillId="3" borderId="36" xfId="5" applyFill="1" applyBorder="1" applyAlignment="1">
      <alignment horizontal="center" vertical="center"/>
    </xf>
    <xf numFmtId="0" fontId="11" fillId="3" borderId="41" xfId="5" applyFill="1" applyBorder="1" applyAlignment="1">
      <alignment horizontal="center" vertical="center"/>
    </xf>
    <xf numFmtId="0" fontId="11" fillId="3" borderId="9" xfId="5" applyFill="1" applyBorder="1" applyAlignment="1">
      <alignment horizontal="center" vertical="center"/>
    </xf>
    <xf numFmtId="0" fontId="11" fillId="3" borderId="37" xfId="5" applyFill="1" applyBorder="1" applyAlignment="1">
      <alignment horizontal="center" vertical="center" shrinkToFit="1"/>
    </xf>
    <xf numFmtId="0" fontId="11" fillId="3" borderId="35" xfId="5" applyFill="1" applyBorder="1" applyAlignment="1">
      <alignment horizontal="center" vertical="center" shrinkToFit="1"/>
    </xf>
    <xf numFmtId="0" fontId="11" fillId="3" borderId="36" xfId="5" applyFill="1" applyBorder="1" applyAlignment="1">
      <alignment horizontal="center" vertical="center" shrinkToFit="1"/>
    </xf>
    <xf numFmtId="0" fontId="15" fillId="0" borderId="17" xfId="6" applyFont="1" applyBorder="1" applyAlignment="1">
      <alignment horizontal="center" vertical="center" shrinkToFit="1"/>
    </xf>
    <xf numFmtId="0" fontId="15" fillId="0" borderId="18" xfId="6" applyFont="1" applyBorder="1" applyAlignment="1">
      <alignment horizontal="center" vertical="center" shrinkToFit="1"/>
    </xf>
    <xf numFmtId="0" fontId="15" fillId="0" borderId="9" xfId="6" applyFont="1" applyBorder="1" applyAlignment="1">
      <alignment horizontal="center" vertical="center" shrinkToFit="1"/>
    </xf>
    <xf numFmtId="0" fontId="11" fillId="3" borderId="17" xfId="5" applyFill="1" applyBorder="1" applyAlignment="1">
      <alignment horizontal="center" vertical="center" shrinkToFit="1"/>
    </xf>
    <xf numFmtId="0" fontId="11" fillId="3" borderId="18" xfId="5" applyFill="1" applyBorder="1" applyAlignment="1">
      <alignment horizontal="center" vertical="center" shrinkToFit="1"/>
    </xf>
    <xf numFmtId="0" fontId="11" fillId="3" borderId="9" xfId="5" applyFill="1" applyBorder="1" applyAlignment="1">
      <alignment horizontal="center" vertical="center" shrinkToFit="1"/>
    </xf>
    <xf numFmtId="0" fontId="13" fillId="0" borderId="28" xfId="2" applyFont="1" applyFill="1" applyBorder="1" applyAlignment="1">
      <alignment horizontal="center" vertical="center"/>
    </xf>
    <xf numFmtId="0" fontId="13" fillId="0" borderId="29" xfId="2" applyFont="1" applyFill="1" applyBorder="1" applyAlignment="1">
      <alignment horizontal="center" vertical="center"/>
    </xf>
    <xf numFmtId="0" fontId="13" fillId="0" borderId="81" xfId="2" applyFont="1" applyFill="1" applyBorder="1" applyAlignment="1">
      <alignment horizontal="center" vertical="center"/>
    </xf>
    <xf numFmtId="0" fontId="12" fillId="3" borderId="20" xfId="2" applyFont="1" applyFill="1" applyBorder="1" applyAlignment="1">
      <alignment horizontal="center" vertical="center"/>
    </xf>
    <xf numFmtId="0" fontId="12" fillId="3" borderId="22" xfId="2" applyFont="1" applyFill="1" applyBorder="1" applyAlignment="1">
      <alignment horizontal="center" vertical="center"/>
    </xf>
    <xf numFmtId="0" fontId="12" fillId="3" borderId="21" xfId="2" applyFont="1" applyFill="1" applyBorder="1" applyAlignment="1">
      <alignment horizontal="center" vertical="center"/>
    </xf>
    <xf numFmtId="0" fontId="21" fillId="0" borderId="29" xfId="2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13" fillId="0" borderId="3" xfId="2" applyFont="1" applyFill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/>
    </xf>
    <xf numFmtId="0" fontId="13" fillId="0" borderId="16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vertical="center"/>
    </xf>
    <xf numFmtId="0" fontId="13" fillId="0" borderId="15" xfId="2" applyFont="1" applyFill="1" applyBorder="1" applyAlignment="1">
      <alignment vertical="center"/>
    </xf>
    <xf numFmtId="0" fontId="13" fillId="0" borderId="25" xfId="2" applyFont="1" applyFill="1" applyBorder="1" applyAlignment="1">
      <alignment vertical="center"/>
    </xf>
    <xf numFmtId="0" fontId="12" fillId="3" borderId="27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horizontal="center" vertical="center"/>
    </xf>
    <xf numFmtId="0" fontId="13" fillId="0" borderId="25" xfId="2" applyFont="1" applyFill="1" applyBorder="1" applyAlignment="1">
      <alignment horizontal="center" vertical="center"/>
    </xf>
    <xf numFmtId="0" fontId="12" fillId="3" borderId="26" xfId="2" applyFont="1" applyFill="1" applyBorder="1" applyAlignment="1">
      <alignment horizontal="center" vertical="center" shrinkToFit="1"/>
    </xf>
    <xf numFmtId="0" fontId="12" fillId="3" borderId="21" xfId="2" applyFont="1" applyFill="1" applyBorder="1" applyAlignment="1">
      <alignment horizontal="center" vertical="center" shrinkToFit="1"/>
    </xf>
    <xf numFmtId="0" fontId="13" fillId="0" borderId="10" xfId="2" applyFont="1" applyFill="1" applyBorder="1" applyAlignment="1">
      <alignment horizontal="center" vertical="center"/>
    </xf>
    <xf numFmtId="0" fontId="13" fillId="0" borderId="4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3" fillId="0" borderId="17" xfId="2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2" fillId="3" borderId="31" xfId="2" applyFont="1" applyFill="1" applyBorder="1" applyAlignment="1">
      <alignment horizontal="center" vertical="center"/>
    </xf>
    <xf numFmtId="0" fontId="12" fillId="3" borderId="26" xfId="2" applyFont="1" applyFill="1" applyBorder="1" applyAlignment="1">
      <alignment horizontal="center" vertical="center"/>
    </xf>
    <xf numFmtId="0" fontId="13" fillId="0" borderId="10" xfId="2" applyFont="1" applyFill="1" applyBorder="1" applyAlignment="1">
      <alignment horizontal="center" vertical="center" shrinkToFit="1"/>
    </xf>
    <xf numFmtId="0" fontId="13" fillId="0" borderId="30" xfId="2" applyFont="1" applyFill="1" applyBorder="1" applyAlignment="1">
      <alignment horizontal="center" vertical="center" shrinkToFit="1"/>
    </xf>
    <xf numFmtId="0" fontId="13" fillId="0" borderId="12" xfId="2" applyFont="1" applyFill="1" applyBorder="1" applyAlignment="1">
      <alignment horizontal="center" vertical="center" shrinkToFit="1"/>
    </xf>
    <xf numFmtId="0" fontId="13" fillId="0" borderId="24" xfId="2" applyFont="1" applyFill="1" applyBorder="1" applyAlignment="1">
      <alignment horizontal="center" vertical="center" shrinkToFit="1"/>
    </xf>
    <xf numFmtId="0" fontId="13" fillId="0" borderId="14" xfId="2" applyFont="1" applyFill="1" applyBorder="1" applyAlignment="1">
      <alignment horizontal="center" vertical="center" shrinkToFit="1"/>
    </xf>
    <xf numFmtId="0" fontId="13" fillId="0" borderId="25" xfId="2" applyFont="1" applyFill="1" applyBorder="1" applyAlignment="1">
      <alignment horizontal="center" vertical="center" shrinkToFit="1"/>
    </xf>
    <xf numFmtId="0" fontId="13" fillId="0" borderId="2" xfId="2" applyFont="1" applyFill="1" applyBorder="1" applyAlignment="1">
      <alignment vertical="center" wrapText="1"/>
    </xf>
    <xf numFmtId="0" fontId="13" fillId="0" borderId="11" xfId="2" applyFont="1" applyFill="1" applyBorder="1" applyAlignment="1">
      <alignment vertical="center" wrapText="1"/>
    </xf>
    <xf numFmtId="0" fontId="13" fillId="0" borderId="24" xfId="2" applyFont="1" applyFill="1" applyBorder="1" applyAlignment="1">
      <alignment vertical="center" wrapText="1"/>
    </xf>
    <xf numFmtId="0" fontId="13" fillId="0" borderId="13" xfId="2" applyFont="1" applyFill="1" applyBorder="1" applyAlignment="1">
      <alignment vertical="center" wrapText="1"/>
    </xf>
    <xf numFmtId="0" fontId="13" fillId="0" borderId="13" xfId="2" applyFont="1" applyFill="1" applyBorder="1" applyAlignment="1">
      <alignment horizontal="center" vertical="center" shrinkToFit="1"/>
    </xf>
    <xf numFmtId="0" fontId="13" fillId="0" borderId="12" xfId="2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left" vertical="center" wrapText="1" shrinkToFit="1"/>
    </xf>
    <xf numFmtId="0" fontId="13" fillId="0" borderId="11" xfId="2" applyFont="1" applyFill="1" applyBorder="1" applyAlignment="1">
      <alignment horizontal="left" vertical="center" wrapText="1" shrinkToFit="1"/>
    </xf>
    <xf numFmtId="0" fontId="13" fillId="0" borderId="13" xfId="2" applyFont="1" applyFill="1" applyBorder="1" applyAlignment="1">
      <alignment horizontal="left" vertical="center" wrapText="1" shrinkToFit="1"/>
    </xf>
    <xf numFmtId="0" fontId="13" fillId="0" borderId="12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left" vertical="center" wrapText="1"/>
    </xf>
    <xf numFmtId="0" fontId="13" fillId="0" borderId="24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center" vertical="center" shrinkToFit="1"/>
    </xf>
    <xf numFmtId="178" fontId="13" fillId="0" borderId="12" xfId="2" applyNumberFormat="1" applyFont="1" applyFill="1" applyBorder="1" applyAlignment="1">
      <alignment horizontal="center" vertical="center"/>
    </xf>
    <xf numFmtId="178" fontId="13" fillId="0" borderId="11" xfId="2" applyNumberFormat="1" applyFont="1" applyFill="1" applyBorder="1" applyAlignment="1">
      <alignment horizontal="center" vertical="center"/>
    </xf>
    <xf numFmtId="178" fontId="13" fillId="0" borderId="13" xfId="2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6" fillId="0" borderId="24" xfId="2" applyFont="1" applyFill="1" applyBorder="1" applyAlignment="1">
      <alignment horizontal="center" vertical="center"/>
    </xf>
    <xf numFmtId="0" fontId="13" fillId="0" borderId="2" xfId="2" quotePrefix="1" applyFont="1" applyFill="1" applyBorder="1" applyAlignment="1">
      <alignment vertical="center" wrapText="1"/>
    </xf>
    <xf numFmtId="0" fontId="13" fillId="0" borderId="11" xfId="2" quotePrefix="1" applyFont="1" applyFill="1" applyBorder="1" applyAlignment="1">
      <alignment vertical="center" wrapText="1"/>
    </xf>
    <xf numFmtId="0" fontId="13" fillId="0" borderId="24" xfId="2" quotePrefix="1" applyFont="1" applyFill="1" applyBorder="1" applyAlignment="1">
      <alignment vertical="center" wrapText="1"/>
    </xf>
    <xf numFmtId="0" fontId="13" fillId="8" borderId="67" xfId="2" applyFont="1" applyFill="1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13" fillId="8" borderId="68" xfId="2" applyFont="1" applyFill="1" applyBorder="1" applyAlignment="1">
      <alignment horizontal="center" vertical="center" shrinkToFit="1"/>
    </xf>
    <xf numFmtId="0" fontId="13" fillId="8" borderId="2" xfId="2" applyFont="1" applyFill="1" applyBorder="1" applyAlignment="1">
      <alignment vertical="center" wrapText="1"/>
    </xf>
    <xf numFmtId="0" fontId="13" fillId="8" borderId="11" xfId="2" applyFont="1" applyFill="1" applyBorder="1" applyAlignment="1">
      <alignment vertical="center" wrapText="1"/>
    </xf>
    <xf numFmtId="0" fontId="13" fillId="8" borderId="24" xfId="2" applyFont="1" applyFill="1" applyBorder="1" applyAlignment="1">
      <alignment vertical="center" wrapText="1"/>
    </xf>
    <xf numFmtId="178" fontId="13" fillId="8" borderId="68" xfId="2" applyNumberFormat="1" applyFont="1" applyFill="1" applyBorder="1" applyAlignment="1">
      <alignment horizontal="center" vertical="center"/>
    </xf>
    <xf numFmtId="0" fontId="16" fillId="8" borderId="68" xfId="2" applyFont="1" applyFill="1" applyBorder="1" applyAlignment="1">
      <alignment horizontal="center" vertical="center"/>
    </xf>
    <xf numFmtId="0" fontId="13" fillId="8" borderId="68" xfId="2" applyFont="1" applyFill="1" applyBorder="1" applyAlignment="1">
      <alignment horizontal="left" vertical="center" wrapText="1" shrinkToFit="1"/>
    </xf>
    <xf numFmtId="0" fontId="13" fillId="8" borderId="68" xfId="2" applyFont="1" applyFill="1" applyBorder="1" applyAlignment="1">
      <alignment horizontal="left" vertical="center" wrapText="1"/>
    </xf>
    <xf numFmtId="0" fontId="13" fillId="8" borderId="69" xfId="2" applyFont="1" applyFill="1" applyBorder="1" applyAlignment="1">
      <alignment horizontal="left" vertical="center" wrapText="1"/>
    </xf>
    <xf numFmtId="0" fontId="13" fillId="8" borderId="2" xfId="2" applyFont="1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8" borderId="24" xfId="0" applyFill="1" applyBorder="1" applyAlignment="1">
      <alignment vertical="center"/>
    </xf>
    <xf numFmtId="0" fontId="13" fillId="0" borderId="65" xfId="2" applyFont="1" applyFill="1" applyBorder="1" applyAlignment="1">
      <alignment horizontal="center" vertical="center"/>
    </xf>
    <xf numFmtId="0" fontId="13" fillId="0" borderId="66" xfId="2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 wrapText="1"/>
    </xf>
    <xf numFmtId="0" fontId="16" fillId="0" borderId="13" xfId="2" applyFont="1" applyFill="1" applyBorder="1" applyAlignment="1">
      <alignment horizontal="center" vertical="center"/>
    </xf>
    <xf numFmtId="0" fontId="13" fillId="0" borderId="68" xfId="2" applyFont="1" applyFill="1" applyBorder="1" applyAlignment="1">
      <alignment horizontal="left" vertical="center" wrapText="1"/>
    </xf>
    <xf numFmtId="0" fontId="13" fillId="0" borderId="69" xfId="2" applyFont="1" applyFill="1" applyBorder="1" applyAlignment="1">
      <alignment horizontal="left" vertical="center" wrapText="1"/>
    </xf>
    <xf numFmtId="0" fontId="13" fillId="0" borderId="75" xfId="2" applyFont="1" applyFill="1" applyBorder="1" applyAlignment="1">
      <alignment vertical="center" wrapText="1"/>
    </xf>
    <xf numFmtId="0" fontId="13" fillId="0" borderId="63" xfId="2" applyFont="1" applyFill="1" applyBorder="1" applyAlignment="1">
      <alignment vertical="center" wrapText="1"/>
    </xf>
    <xf numFmtId="0" fontId="13" fillId="0" borderId="64" xfId="2" applyFont="1" applyFill="1" applyBorder="1" applyAlignment="1">
      <alignment vertical="center" wrapText="1"/>
    </xf>
    <xf numFmtId="0" fontId="25" fillId="8" borderId="12" xfId="2" applyFont="1" applyFill="1" applyBorder="1" applyAlignment="1">
      <alignment horizontal="center" vertical="center" shrinkToFit="1"/>
    </xf>
    <xf numFmtId="0" fontId="25" fillId="8" borderId="13" xfId="2" applyFont="1" applyFill="1" applyBorder="1" applyAlignment="1">
      <alignment horizontal="center" vertical="center" shrinkToFit="1"/>
    </xf>
    <xf numFmtId="0" fontId="25" fillId="8" borderId="12" xfId="2" applyFont="1" applyFill="1" applyBorder="1" applyAlignment="1">
      <alignment horizontal="center" vertical="center"/>
    </xf>
    <xf numFmtId="0" fontId="25" fillId="8" borderId="11" xfId="2" applyFont="1" applyFill="1" applyBorder="1" applyAlignment="1">
      <alignment horizontal="center" vertical="center"/>
    </xf>
    <xf numFmtId="0" fontId="25" fillId="8" borderId="11" xfId="2" applyFont="1" applyFill="1" applyBorder="1" applyAlignment="1">
      <alignment horizontal="center" vertical="center" shrinkToFit="1"/>
    </xf>
    <xf numFmtId="178" fontId="25" fillId="8" borderId="12" xfId="2" applyNumberFormat="1" applyFont="1" applyFill="1" applyBorder="1" applyAlignment="1">
      <alignment horizontal="center" vertical="center"/>
    </xf>
    <xf numFmtId="178" fontId="25" fillId="8" borderId="11" xfId="2" applyNumberFormat="1" applyFont="1" applyFill="1" applyBorder="1" applyAlignment="1">
      <alignment horizontal="center" vertical="center"/>
    </xf>
    <xf numFmtId="178" fontId="25" fillId="8" borderId="13" xfId="2" applyNumberFormat="1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vertical="center" wrapText="1"/>
    </xf>
    <xf numFmtId="0" fontId="18" fillId="0" borderId="11" xfId="2" applyFont="1" applyFill="1" applyBorder="1" applyAlignment="1">
      <alignment vertical="center" wrapText="1"/>
    </xf>
    <xf numFmtId="0" fontId="18" fillId="0" borderId="13" xfId="2" applyFont="1" applyFill="1" applyBorder="1" applyAlignment="1">
      <alignment vertical="center" wrapText="1"/>
    </xf>
    <xf numFmtId="0" fontId="25" fillId="8" borderId="2" xfId="2" applyFont="1" applyFill="1" applyBorder="1" applyAlignment="1">
      <alignment vertical="center" wrapText="1"/>
    </xf>
    <xf numFmtId="0" fontId="25" fillId="8" borderId="11" xfId="2" applyFont="1" applyFill="1" applyBorder="1" applyAlignment="1">
      <alignment vertical="center" wrapText="1"/>
    </xf>
    <xf numFmtId="0" fontId="25" fillId="8" borderId="24" xfId="2" applyFont="1" applyFill="1" applyBorder="1" applyAlignment="1">
      <alignment vertical="center" wrapText="1"/>
    </xf>
    <xf numFmtId="0" fontId="25" fillId="8" borderId="2" xfId="2" applyFont="1" applyFill="1" applyBorder="1" applyAlignment="1">
      <alignment vertical="center"/>
    </xf>
    <xf numFmtId="0" fontId="26" fillId="8" borderId="11" xfId="0" applyFont="1" applyFill="1" applyBorder="1">
      <alignment vertical="center"/>
    </xf>
    <xf numFmtId="0" fontId="26" fillId="8" borderId="24" xfId="0" applyFont="1" applyFill="1" applyBorder="1">
      <alignment vertical="center"/>
    </xf>
    <xf numFmtId="0" fontId="25" fillId="8" borderId="67" xfId="2" applyFont="1" applyFill="1" applyBorder="1" applyAlignment="1">
      <alignment horizontal="left" vertical="center" wrapText="1" shrinkToFit="1"/>
    </xf>
    <xf numFmtId="0" fontId="25" fillId="8" borderId="68" xfId="2" applyFont="1" applyFill="1" applyBorder="1" applyAlignment="1">
      <alignment horizontal="left" vertical="center" wrapText="1" shrinkToFit="1"/>
    </xf>
    <xf numFmtId="0" fontId="25" fillId="8" borderId="68" xfId="2" applyFont="1" applyFill="1" applyBorder="1" applyAlignment="1">
      <alignment horizontal="left" vertical="center" wrapText="1"/>
    </xf>
    <xf numFmtId="0" fontId="25" fillId="8" borderId="69" xfId="2" applyFont="1" applyFill="1" applyBorder="1" applyAlignment="1">
      <alignment horizontal="left" vertical="center" wrapText="1"/>
    </xf>
    <xf numFmtId="0" fontId="27" fillId="8" borderId="12" xfId="2" applyFont="1" applyFill="1" applyBorder="1" applyAlignment="1">
      <alignment horizontal="center" vertical="center"/>
    </xf>
    <xf numFmtId="0" fontId="27" fillId="8" borderId="13" xfId="2" applyFont="1" applyFill="1" applyBorder="1" applyAlignment="1">
      <alignment horizontal="center" vertical="center"/>
    </xf>
    <xf numFmtId="178" fontId="18" fillId="0" borderId="12" xfId="2" applyNumberFormat="1" applyFont="1" applyFill="1" applyBorder="1" applyAlignment="1">
      <alignment horizontal="center" vertical="center"/>
    </xf>
    <xf numFmtId="178" fontId="18" fillId="0" borderId="11" xfId="2" applyNumberFormat="1" applyFont="1" applyFill="1" applyBorder="1" applyAlignment="1">
      <alignment horizontal="center" vertical="center"/>
    </xf>
    <xf numFmtId="178" fontId="18" fillId="0" borderId="13" xfId="2" applyNumberFormat="1" applyFont="1" applyFill="1" applyBorder="1" applyAlignment="1">
      <alignment horizontal="center" vertical="center"/>
    </xf>
    <xf numFmtId="0" fontId="13" fillId="0" borderId="67" xfId="2" applyFont="1" applyFill="1" applyBorder="1" applyAlignment="1">
      <alignment horizontal="left" vertical="center" wrapText="1" shrinkToFit="1"/>
    </xf>
    <xf numFmtId="0" fontId="13" fillId="0" borderId="68" xfId="2" applyFont="1" applyFill="1" applyBorder="1" applyAlignment="1">
      <alignment horizontal="left" vertical="center" wrapText="1" shrinkToFit="1"/>
    </xf>
    <xf numFmtId="0" fontId="12" fillId="3" borderId="80" xfId="2" applyFont="1" applyFill="1" applyBorder="1" applyAlignment="1">
      <alignment horizontal="center" vertical="center" shrinkToFit="1"/>
    </xf>
    <xf numFmtId="0" fontId="12" fillId="3" borderId="79" xfId="2" applyFont="1" applyFill="1" applyBorder="1" applyAlignment="1">
      <alignment horizontal="center" vertical="center" shrinkToFit="1"/>
    </xf>
    <xf numFmtId="0" fontId="12" fillId="3" borderId="6" xfId="2" applyFont="1" applyFill="1" applyBorder="1" applyAlignment="1">
      <alignment horizontal="center" vertical="center" shrinkToFit="1"/>
    </xf>
    <xf numFmtId="0" fontId="12" fillId="3" borderId="4" xfId="2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vertical="center"/>
    </xf>
    <xf numFmtId="0" fontId="14" fillId="3" borderId="79" xfId="0" applyFont="1" applyFill="1" applyBorder="1" applyAlignment="1">
      <alignment vertical="center"/>
    </xf>
    <xf numFmtId="0" fontId="12" fillId="3" borderId="80" xfId="2" applyFont="1" applyFill="1" applyBorder="1" applyAlignment="1">
      <alignment horizontal="center" vertical="center"/>
    </xf>
    <xf numFmtId="0" fontId="12" fillId="3" borderId="79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 shrinkToFit="1"/>
    </xf>
    <xf numFmtId="0" fontId="12" fillId="3" borderId="33" xfId="2" applyFont="1" applyFill="1" applyBorder="1" applyAlignment="1">
      <alignment horizontal="center" vertical="center" textRotation="255"/>
    </xf>
    <xf numFmtId="0" fontId="12" fillId="3" borderId="78" xfId="2" applyFont="1" applyFill="1" applyBorder="1" applyAlignment="1">
      <alignment horizontal="center" vertical="center" textRotation="255"/>
    </xf>
    <xf numFmtId="0" fontId="12" fillId="3" borderId="20" xfId="2" applyFont="1" applyFill="1" applyBorder="1" applyAlignment="1">
      <alignment horizontal="center" vertical="center" shrinkToFit="1"/>
    </xf>
    <xf numFmtId="0" fontId="12" fillId="3" borderId="22" xfId="2" applyFont="1" applyFill="1" applyBorder="1" applyAlignment="1">
      <alignment horizontal="center" vertical="center" shrinkToFit="1"/>
    </xf>
    <xf numFmtId="0" fontId="12" fillId="3" borderId="5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12" fillId="3" borderId="17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center" vertical="center"/>
    </xf>
    <xf numFmtId="0" fontId="12" fillId="3" borderId="9" xfId="2" applyFont="1" applyFill="1" applyBorder="1" applyAlignment="1">
      <alignment horizontal="center" vertical="center"/>
    </xf>
    <xf numFmtId="0" fontId="13" fillId="8" borderId="28" xfId="2" applyFont="1" applyFill="1" applyBorder="1" applyAlignment="1">
      <alignment vertical="center"/>
    </xf>
    <xf numFmtId="0" fontId="0" fillId="8" borderId="29" xfId="0" applyFill="1" applyBorder="1" applyAlignment="1">
      <alignment vertical="center"/>
    </xf>
    <xf numFmtId="0" fontId="0" fillId="8" borderId="30" xfId="0" applyFill="1" applyBorder="1" applyAlignment="1">
      <alignment vertical="center"/>
    </xf>
    <xf numFmtId="0" fontId="25" fillId="13" borderId="2" xfId="2" applyFont="1" applyFill="1" applyBorder="1" applyAlignment="1">
      <alignment vertical="center" wrapText="1"/>
    </xf>
    <xf numFmtId="0" fontId="25" fillId="13" borderId="11" xfId="2" applyFont="1" applyFill="1" applyBorder="1" applyAlignment="1">
      <alignment vertical="center" wrapText="1"/>
    </xf>
    <xf numFmtId="0" fontId="25" fillId="13" borderId="24" xfId="2" applyFont="1" applyFill="1" applyBorder="1" applyAlignment="1">
      <alignment vertical="center" wrapText="1"/>
    </xf>
    <xf numFmtId="0" fontId="25" fillId="0" borderId="2" xfId="2" applyFont="1" applyBorder="1" applyAlignment="1">
      <alignment vertical="center" wrapText="1"/>
    </xf>
    <xf numFmtId="0" fontId="25" fillId="0" borderId="11" xfId="2" applyFont="1" applyBorder="1" applyAlignment="1">
      <alignment vertical="center" wrapText="1"/>
    </xf>
    <xf numFmtId="0" fontId="25" fillId="0" borderId="24" xfId="2" applyFont="1" applyBorder="1" applyAlignment="1">
      <alignment vertical="center" wrapText="1"/>
    </xf>
    <xf numFmtId="0" fontId="25" fillId="13" borderId="13" xfId="2" applyFont="1" applyFill="1" applyBorder="1" applyAlignment="1">
      <alignment vertical="center" wrapText="1"/>
    </xf>
    <xf numFmtId="0" fontId="25" fillId="13" borderId="12" xfId="2" applyFont="1" applyFill="1" applyBorder="1" applyAlignment="1">
      <alignment horizontal="center" vertical="center" shrinkToFit="1"/>
    </xf>
    <xf numFmtId="0" fontId="25" fillId="13" borderId="13" xfId="2" applyFont="1" applyFill="1" applyBorder="1" applyAlignment="1">
      <alignment horizontal="center" vertical="center" shrinkToFit="1"/>
    </xf>
    <xf numFmtId="0" fontId="25" fillId="13" borderId="65" xfId="2" applyFont="1" applyFill="1" applyBorder="1" applyAlignment="1">
      <alignment horizontal="center" vertical="center"/>
    </xf>
    <xf numFmtId="0" fontId="25" fillId="13" borderId="66" xfId="2" applyFont="1" applyFill="1" applyBorder="1" applyAlignment="1">
      <alignment horizontal="center" vertical="center"/>
    </xf>
    <xf numFmtId="0" fontId="25" fillId="13" borderId="65" xfId="2" applyFont="1" applyFill="1" applyBorder="1" applyAlignment="1">
      <alignment horizontal="center" vertical="center" shrinkToFit="1"/>
    </xf>
    <xf numFmtId="0" fontId="25" fillId="13" borderId="66" xfId="2" applyFont="1" applyFill="1" applyBorder="1" applyAlignment="1">
      <alignment horizontal="center" vertical="center" shrinkToFit="1"/>
    </xf>
    <xf numFmtId="0" fontId="25" fillId="13" borderId="23" xfId="2" applyFont="1" applyFill="1" applyBorder="1" applyAlignment="1">
      <alignment horizontal="center" vertical="center" shrinkToFit="1"/>
    </xf>
    <xf numFmtId="178" fontId="25" fillId="13" borderId="65" xfId="2" applyNumberFormat="1" applyFont="1" applyFill="1" applyBorder="1" applyAlignment="1">
      <alignment horizontal="center" vertical="center"/>
    </xf>
    <xf numFmtId="178" fontId="25" fillId="13" borderId="23" xfId="2" applyNumberFormat="1" applyFont="1" applyFill="1" applyBorder="1" applyAlignment="1">
      <alignment horizontal="center" vertical="center"/>
    </xf>
    <xf numFmtId="178" fontId="25" fillId="13" borderId="66" xfId="2" applyNumberFormat="1" applyFont="1" applyFill="1" applyBorder="1" applyAlignment="1">
      <alignment horizontal="center" vertical="center"/>
    </xf>
    <xf numFmtId="178" fontId="25" fillId="13" borderId="12" xfId="2" applyNumberFormat="1" applyFont="1" applyFill="1" applyBorder="1" applyAlignment="1">
      <alignment horizontal="center" vertical="center"/>
    </xf>
    <xf numFmtId="178" fontId="25" fillId="13" borderId="11" xfId="2" applyNumberFormat="1" applyFont="1" applyFill="1" applyBorder="1" applyAlignment="1">
      <alignment horizontal="center" vertical="center"/>
    </xf>
    <xf numFmtId="178" fontId="25" fillId="13" borderId="13" xfId="2" applyNumberFormat="1" applyFont="1" applyFill="1" applyBorder="1" applyAlignment="1">
      <alignment horizontal="center" vertical="center"/>
    </xf>
    <xf numFmtId="0" fontId="27" fillId="13" borderId="12" xfId="2" applyFont="1" applyFill="1" applyBorder="1" applyAlignment="1">
      <alignment horizontal="center" vertical="center"/>
    </xf>
    <xf numFmtId="0" fontId="27" fillId="13" borderId="13" xfId="2" applyFont="1" applyFill="1" applyBorder="1" applyAlignment="1">
      <alignment horizontal="center" vertical="center"/>
    </xf>
    <xf numFmtId="0" fontId="25" fillId="13" borderId="67" xfId="2" applyFont="1" applyFill="1" applyBorder="1" applyAlignment="1">
      <alignment horizontal="left" vertical="center" wrapText="1" shrinkToFit="1"/>
    </xf>
    <xf numFmtId="0" fontId="25" fillId="13" borderId="68" xfId="2" applyFont="1" applyFill="1" applyBorder="1" applyAlignment="1">
      <alignment horizontal="left" vertical="center" wrapText="1" shrinkToFit="1"/>
    </xf>
    <xf numFmtId="0" fontId="25" fillId="13" borderId="68" xfId="2" applyFont="1" applyFill="1" applyBorder="1" applyAlignment="1">
      <alignment horizontal="left" vertical="center" wrapText="1"/>
    </xf>
    <xf numFmtId="0" fontId="25" fillId="13" borderId="69" xfId="2" applyFont="1" applyFill="1" applyBorder="1" applyAlignment="1">
      <alignment horizontal="left" vertical="center" wrapText="1"/>
    </xf>
    <xf numFmtId="0" fontId="25" fillId="8" borderId="2" xfId="2" applyFont="1" applyFill="1" applyBorder="1" applyAlignment="1">
      <alignment horizontal="left" vertical="center"/>
    </xf>
    <xf numFmtId="0" fontId="26" fillId="8" borderId="11" xfId="0" applyFont="1" applyFill="1" applyBorder="1" applyAlignment="1">
      <alignment horizontal="left" vertical="center"/>
    </xf>
    <xf numFmtId="0" fontId="26" fillId="8" borderId="13" xfId="0" applyFont="1" applyFill="1" applyBorder="1" applyAlignment="1">
      <alignment horizontal="left" vertical="center"/>
    </xf>
    <xf numFmtId="0" fontId="13" fillId="0" borderId="2" xfId="2" applyFont="1" applyBorder="1" applyAlignment="1">
      <alignment vertical="center" wrapText="1"/>
    </xf>
    <xf numFmtId="0" fontId="13" fillId="0" borderId="11" xfId="2" applyFont="1" applyBorder="1" applyAlignment="1">
      <alignment vertical="center" wrapText="1"/>
    </xf>
    <xf numFmtId="0" fontId="13" fillId="0" borderId="24" xfId="2" applyFont="1" applyBorder="1" applyAlignment="1">
      <alignment vertical="center" wrapText="1"/>
    </xf>
    <xf numFmtId="0" fontId="13" fillId="0" borderId="13" xfId="2" applyFont="1" applyBorder="1" applyAlignment="1">
      <alignment vertical="center" wrapText="1"/>
    </xf>
    <xf numFmtId="0" fontId="13" fillId="0" borderId="12" xfId="2" applyFont="1" applyBorder="1" applyAlignment="1">
      <alignment horizontal="center" vertical="center" shrinkToFit="1"/>
    </xf>
    <xf numFmtId="0" fontId="13" fillId="0" borderId="13" xfId="2" applyFont="1" applyBorder="1" applyAlignment="1">
      <alignment horizontal="center" vertical="center" shrinkToFit="1"/>
    </xf>
    <xf numFmtId="0" fontId="13" fillId="0" borderId="12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10" borderId="12" xfId="2" applyFont="1" applyFill="1" applyBorder="1" applyAlignment="1">
      <alignment horizontal="center" vertical="center" shrinkToFit="1"/>
    </xf>
    <xf numFmtId="0" fontId="13" fillId="10" borderId="11" xfId="2" applyFont="1" applyFill="1" applyBorder="1" applyAlignment="1">
      <alignment horizontal="center" vertical="center" shrinkToFit="1"/>
    </xf>
    <xf numFmtId="0" fontId="13" fillId="0" borderId="11" xfId="2" applyFont="1" applyBorder="1" applyAlignment="1">
      <alignment horizontal="center" vertical="center" shrinkToFit="1"/>
    </xf>
    <xf numFmtId="178" fontId="13" fillId="10" borderId="12" xfId="2" applyNumberFormat="1" applyFont="1" applyFill="1" applyBorder="1" applyAlignment="1">
      <alignment horizontal="center" vertical="center"/>
    </xf>
    <xf numFmtId="178" fontId="13" fillId="10" borderId="11" xfId="2" applyNumberFormat="1" applyFont="1" applyFill="1" applyBorder="1" applyAlignment="1">
      <alignment horizontal="center" vertical="center"/>
    </xf>
    <xf numFmtId="178" fontId="13" fillId="10" borderId="13" xfId="2" applyNumberFormat="1" applyFont="1" applyFill="1" applyBorder="1" applyAlignment="1">
      <alignment horizontal="center" vertical="center"/>
    </xf>
    <xf numFmtId="178" fontId="13" fillId="0" borderId="11" xfId="2" applyNumberFormat="1" applyFont="1" applyBorder="1" applyAlignment="1">
      <alignment horizontal="center" vertical="center"/>
    </xf>
    <xf numFmtId="178" fontId="13" fillId="0" borderId="13" xfId="2" applyNumberFormat="1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/>
    </xf>
    <xf numFmtId="0" fontId="13" fillId="14" borderId="2" xfId="2" applyFont="1" applyFill="1" applyBorder="1" applyAlignment="1">
      <alignment horizontal="left" vertical="center" wrapText="1" shrinkToFit="1"/>
    </xf>
    <xf numFmtId="0" fontId="13" fillId="14" borderId="11" xfId="2" applyFont="1" applyFill="1" applyBorder="1" applyAlignment="1">
      <alignment horizontal="left" vertical="center" wrapText="1" shrinkToFit="1"/>
    </xf>
    <xf numFmtId="0" fontId="13" fillId="14" borderId="13" xfId="2" applyFont="1" applyFill="1" applyBorder="1" applyAlignment="1">
      <alignment horizontal="left" vertical="center" wrapText="1" shrinkToFit="1"/>
    </xf>
    <xf numFmtId="0" fontId="13" fillId="14" borderId="68" xfId="2" applyFont="1" applyFill="1" applyBorder="1" applyAlignment="1">
      <alignment horizontal="left" vertical="center" wrapText="1"/>
    </xf>
    <xf numFmtId="0" fontId="13" fillId="14" borderId="69" xfId="2" applyFont="1" applyFill="1" applyBorder="1" applyAlignment="1">
      <alignment horizontal="left" vertical="center" wrapText="1"/>
    </xf>
    <xf numFmtId="0" fontId="17" fillId="0" borderId="2" xfId="2" quotePrefix="1" applyFont="1" applyBorder="1" applyAlignment="1">
      <alignment vertical="center" wrapText="1"/>
    </xf>
    <xf numFmtId="0" fontId="17" fillId="0" borderId="11" xfId="2" applyFont="1" applyBorder="1" applyAlignment="1">
      <alignment vertical="center" wrapText="1"/>
    </xf>
    <xf numFmtId="0" fontId="17" fillId="0" borderId="24" xfId="2" applyFont="1" applyBorder="1" applyAlignment="1">
      <alignment vertical="center" wrapText="1"/>
    </xf>
    <xf numFmtId="0" fontId="13" fillId="10" borderId="2" xfId="2" applyFont="1" applyFill="1" applyBorder="1" applyAlignment="1">
      <alignment vertical="center" wrapText="1"/>
    </xf>
    <xf numFmtId="0" fontId="13" fillId="10" borderId="11" xfId="2" applyFont="1" applyFill="1" applyBorder="1" applyAlignment="1">
      <alignment vertical="center" wrapText="1"/>
    </xf>
    <xf numFmtId="0" fontId="13" fillId="10" borderId="24" xfId="2" applyFont="1" applyFill="1" applyBorder="1" applyAlignment="1">
      <alignment vertical="center" wrapText="1"/>
    </xf>
    <xf numFmtId="0" fontId="17" fillId="14" borderId="2" xfId="2" quotePrefix="1" applyFont="1" applyFill="1" applyBorder="1" applyAlignment="1">
      <alignment vertical="center" wrapText="1"/>
    </xf>
    <xf numFmtId="0" fontId="17" fillId="14" borderId="11" xfId="2" applyFont="1" applyFill="1" applyBorder="1" applyAlignment="1">
      <alignment vertical="center" wrapText="1"/>
    </xf>
    <xf numFmtId="0" fontId="17" fillId="14" borderId="24" xfId="2" applyFont="1" applyFill="1" applyBorder="1" applyAlignment="1">
      <alignment vertical="center" wrapText="1"/>
    </xf>
    <xf numFmtId="0" fontId="13" fillId="0" borderId="2" xfId="2" applyFont="1" applyBorder="1" applyAlignment="1">
      <alignment vertical="center" shrinkToFit="1"/>
    </xf>
    <xf numFmtId="0" fontId="13" fillId="0" borderId="11" xfId="2" applyFont="1" applyBorder="1" applyAlignment="1">
      <alignment vertical="center" shrinkToFit="1"/>
    </xf>
    <xf numFmtId="0" fontId="13" fillId="0" borderId="2" xfId="2" applyFont="1" applyBorder="1" applyAlignment="1">
      <alignment vertical="top"/>
    </xf>
    <xf numFmtId="0" fontId="13" fillId="0" borderId="11" xfId="2" applyFont="1" applyBorder="1" applyAlignment="1">
      <alignment vertical="top"/>
    </xf>
    <xf numFmtId="0" fontId="13" fillId="0" borderId="24" xfId="2" applyFont="1" applyBorder="1" applyAlignment="1">
      <alignment vertical="top"/>
    </xf>
    <xf numFmtId="0" fontId="13" fillId="0" borderId="24" xfId="2" applyFont="1" applyBorder="1" applyAlignment="1">
      <alignment vertical="center" shrinkToFit="1"/>
    </xf>
    <xf numFmtId="0" fontId="13" fillId="0" borderId="2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13" fillId="0" borderId="24" xfId="2" applyFont="1" applyBorder="1" applyAlignment="1">
      <alignment vertical="center"/>
    </xf>
    <xf numFmtId="0" fontId="13" fillId="3" borderId="1" xfId="2" applyFont="1" applyFill="1" applyBorder="1" applyAlignment="1">
      <alignment horizontal="left" vertical="top"/>
    </xf>
    <xf numFmtId="0" fontId="13" fillId="3" borderId="23" xfId="2" applyFont="1" applyFill="1" applyBorder="1" applyAlignment="1">
      <alignment horizontal="left" vertical="top"/>
    </xf>
    <xf numFmtId="0" fontId="13" fillId="3" borderId="32" xfId="2" applyFont="1" applyFill="1" applyBorder="1" applyAlignment="1">
      <alignment horizontal="left" vertical="top"/>
    </xf>
    <xf numFmtId="0" fontId="13" fillId="0" borderId="3" xfId="2" applyFont="1" applyBorder="1" applyAlignment="1">
      <alignment vertical="center" shrinkToFit="1"/>
    </xf>
    <xf numFmtId="0" fontId="13" fillId="0" borderId="15" xfId="2" applyFont="1" applyBorder="1" applyAlignment="1">
      <alignment vertical="center" shrinkToFit="1"/>
    </xf>
    <xf numFmtId="0" fontId="13" fillId="0" borderId="25" xfId="2" applyFont="1" applyBorder="1" applyAlignment="1">
      <alignment vertical="center" shrinkToFit="1"/>
    </xf>
    <xf numFmtId="0" fontId="13" fillId="0" borderId="3" xfId="2" applyFont="1" applyBorder="1" applyAlignment="1">
      <alignment vertical="top"/>
    </xf>
    <xf numFmtId="0" fontId="13" fillId="0" borderId="15" xfId="2" applyFont="1" applyBorder="1" applyAlignment="1">
      <alignment vertical="top"/>
    </xf>
    <xf numFmtId="0" fontId="13" fillId="0" borderId="25" xfId="2" applyFont="1" applyBorder="1" applyAlignment="1">
      <alignment vertical="top"/>
    </xf>
    <xf numFmtId="0" fontId="13" fillId="3" borderId="3" xfId="2" applyFont="1" applyFill="1" applyBorder="1" applyAlignment="1">
      <alignment horizontal="left" vertical="top"/>
    </xf>
    <xf numFmtId="0" fontId="13" fillId="3" borderId="15" xfId="2" applyFont="1" applyFill="1" applyBorder="1" applyAlignment="1">
      <alignment horizontal="left" vertical="top"/>
    </xf>
    <xf numFmtId="0" fontId="13" fillId="3" borderId="25" xfId="2" applyFont="1" applyFill="1" applyBorder="1" applyAlignment="1">
      <alignment horizontal="left" vertical="top"/>
    </xf>
    <xf numFmtId="0" fontId="13" fillId="0" borderId="1" xfId="2" applyFont="1" applyBorder="1" applyAlignment="1">
      <alignment vertical="top" wrapText="1"/>
    </xf>
    <xf numFmtId="0" fontId="13" fillId="0" borderId="23" xfId="2" applyFont="1" applyBorder="1" applyAlignment="1">
      <alignment vertical="top"/>
    </xf>
    <xf numFmtId="0" fontId="13" fillId="0" borderId="32" xfId="2" applyFont="1" applyBorder="1" applyAlignment="1">
      <alignment vertical="top"/>
    </xf>
    <xf numFmtId="0" fontId="13" fillId="0" borderId="3" xfId="2" applyFont="1" applyBorder="1" applyAlignment="1">
      <alignment vertical="center"/>
    </xf>
    <xf numFmtId="0" fontId="13" fillId="0" borderId="15" xfId="2" applyFont="1" applyBorder="1" applyAlignment="1">
      <alignment vertical="center"/>
    </xf>
    <xf numFmtId="0" fontId="13" fillId="0" borderId="25" xfId="2" applyFont="1" applyBorder="1" applyAlignment="1">
      <alignment vertical="center"/>
    </xf>
    <xf numFmtId="0" fontId="13" fillId="0" borderId="28" xfId="2" applyFont="1" applyBorder="1" applyAlignment="1">
      <alignment vertical="top" wrapText="1"/>
    </xf>
    <xf numFmtId="0" fontId="13" fillId="0" borderId="29" xfId="2" applyFont="1" applyBorder="1" applyAlignment="1">
      <alignment vertical="top"/>
    </xf>
    <xf numFmtId="0" fontId="13" fillId="0" borderId="30" xfId="2" applyFont="1" applyBorder="1" applyAlignment="1">
      <alignment vertical="top"/>
    </xf>
    <xf numFmtId="0" fontId="13" fillId="3" borderId="1" xfId="2" applyFont="1" applyFill="1" applyBorder="1" applyAlignment="1">
      <alignment horizontal="left" vertical="top" wrapText="1"/>
    </xf>
    <xf numFmtId="0" fontId="13" fillId="0" borderId="11" xfId="2" applyFont="1" applyBorder="1" applyAlignment="1">
      <alignment horizontal="left" vertical="center" shrinkToFit="1"/>
    </xf>
    <xf numFmtId="0" fontId="13" fillId="0" borderId="24" xfId="2" applyFont="1" applyBorder="1" applyAlignment="1">
      <alignment horizontal="left" vertical="center" shrinkToFit="1"/>
    </xf>
    <xf numFmtId="0" fontId="12" fillId="2" borderId="4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2" fillId="2" borderId="17" xfId="2" applyFont="1" applyFill="1" applyBorder="1" applyAlignment="1">
      <alignment horizontal="center" vertical="center"/>
    </xf>
    <xf numFmtId="0" fontId="12" fillId="2" borderId="18" xfId="2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2" fillId="3" borderId="4" xfId="2" applyFont="1" applyFill="1" applyBorder="1" applyAlignment="1">
      <alignment horizontal="center" vertical="center" textRotation="255"/>
    </xf>
    <xf numFmtId="0" fontId="12" fillId="3" borderId="17" xfId="2" applyFont="1" applyFill="1" applyBorder="1" applyAlignment="1">
      <alignment horizontal="center" vertical="center" textRotation="255"/>
    </xf>
    <xf numFmtId="0" fontId="18" fillId="0" borderId="2" xfId="2" applyFont="1" applyFill="1" applyBorder="1" applyAlignment="1">
      <alignment vertical="center" shrinkToFit="1"/>
    </xf>
    <xf numFmtId="0" fontId="18" fillId="0" borderId="11" xfId="2" applyFont="1" applyFill="1" applyBorder="1" applyAlignment="1">
      <alignment vertical="center" shrinkToFit="1"/>
    </xf>
    <xf numFmtId="0" fontId="18" fillId="0" borderId="24" xfId="2" applyFont="1" applyFill="1" applyBorder="1" applyAlignment="1">
      <alignment vertical="center" shrinkToFit="1"/>
    </xf>
    <xf numFmtId="0" fontId="18" fillId="0" borderId="73" xfId="2" applyFont="1" applyFill="1" applyBorder="1" applyAlignment="1">
      <alignment vertical="center" shrinkToFit="1"/>
    </xf>
    <xf numFmtId="0" fontId="13" fillId="0" borderId="1" xfId="2" applyFont="1" applyFill="1" applyBorder="1" applyAlignment="1">
      <alignment horizontal="left" vertical="top"/>
    </xf>
    <xf numFmtId="0" fontId="13" fillId="0" borderId="23" xfId="2" applyFont="1" applyFill="1" applyBorder="1" applyAlignment="1">
      <alignment horizontal="left" vertical="top"/>
    </xf>
    <xf numFmtId="0" fontId="13" fillId="0" borderId="32" xfId="2" applyFont="1" applyFill="1" applyBorder="1" applyAlignment="1">
      <alignment horizontal="left" vertical="top"/>
    </xf>
    <xf numFmtId="0" fontId="18" fillId="0" borderId="2" xfId="2" applyFont="1" applyFill="1" applyBorder="1" applyAlignment="1">
      <alignment horizontal="center" vertical="center"/>
    </xf>
    <xf numFmtId="0" fontId="18" fillId="0" borderId="11" xfId="2" applyFont="1" applyFill="1" applyBorder="1" applyAlignment="1">
      <alignment horizontal="center" vertical="center"/>
    </xf>
    <xf numFmtId="0" fontId="18" fillId="0" borderId="24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vertical="center" wrapText="1" shrinkToFit="1"/>
    </xf>
    <xf numFmtId="0" fontId="18" fillId="0" borderId="11" xfId="2" applyFont="1" applyFill="1" applyBorder="1" applyAlignment="1">
      <alignment vertical="center" wrapText="1" shrinkToFit="1"/>
    </xf>
    <xf numFmtId="0" fontId="18" fillId="0" borderId="24" xfId="2" applyFont="1" applyFill="1" applyBorder="1" applyAlignment="1">
      <alignment vertical="center" wrapText="1" shrinkToFit="1"/>
    </xf>
    <xf numFmtId="0" fontId="18" fillId="0" borderId="24" xfId="2" applyFont="1" applyFill="1" applyBorder="1" applyAlignment="1">
      <alignment vertical="center" wrapText="1"/>
    </xf>
    <xf numFmtId="0" fontId="18" fillId="0" borderId="2" xfId="0" applyFont="1" applyFill="1" applyBorder="1" applyAlignment="1">
      <alignment vertical="center" wrapText="1"/>
    </xf>
    <xf numFmtId="0" fontId="18" fillId="0" borderId="24" xfId="0" applyFont="1" applyFill="1" applyBorder="1" applyAlignment="1">
      <alignment vertical="center" wrapText="1"/>
    </xf>
    <xf numFmtId="0" fontId="18" fillId="0" borderId="2" xfId="2" applyFont="1" applyFill="1" applyBorder="1" applyAlignment="1">
      <alignment vertical="center"/>
    </xf>
    <xf numFmtId="0" fontId="18" fillId="0" borderId="11" xfId="2" applyFont="1" applyFill="1" applyBorder="1" applyAlignment="1">
      <alignment vertical="center"/>
    </xf>
    <xf numFmtId="0" fontId="18" fillId="0" borderId="24" xfId="2" applyFont="1" applyFill="1" applyBorder="1" applyAlignment="1">
      <alignment vertical="center"/>
    </xf>
    <xf numFmtId="0" fontId="18" fillId="0" borderId="11" xfId="0" applyFont="1" applyFill="1" applyBorder="1" applyAlignment="1">
      <alignment vertical="center" wrapText="1"/>
    </xf>
    <xf numFmtId="0" fontId="18" fillId="0" borderId="29" xfId="0" applyFont="1" applyFill="1" applyBorder="1" applyAlignment="1">
      <alignment vertical="center" wrapText="1"/>
    </xf>
    <xf numFmtId="0" fontId="18" fillId="0" borderId="30" xfId="0" applyFont="1" applyFill="1" applyBorder="1" applyAlignment="1">
      <alignment vertical="center" wrapText="1"/>
    </xf>
    <xf numFmtId="0" fontId="19" fillId="3" borderId="34" xfId="2" applyFont="1" applyFill="1" applyBorder="1" applyAlignment="1">
      <alignment horizontal="center" vertical="center" textRotation="255"/>
    </xf>
    <xf numFmtId="0" fontId="19" fillId="3" borderId="41" xfId="2" applyFont="1" applyFill="1" applyBorder="1" applyAlignment="1">
      <alignment horizontal="center" vertical="center" textRotation="255"/>
    </xf>
    <xf numFmtId="0" fontId="19" fillId="3" borderId="37" xfId="2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3" borderId="35" xfId="2" applyFont="1" applyFill="1" applyBorder="1" applyAlignment="1">
      <alignment horizontal="center" vertical="center"/>
    </xf>
    <xf numFmtId="0" fontId="19" fillId="3" borderId="36" xfId="2" applyFont="1" applyFill="1" applyBorder="1" applyAlignment="1">
      <alignment horizontal="center" vertical="center"/>
    </xf>
    <xf numFmtId="0" fontId="19" fillId="3" borderId="17" xfId="2" applyFont="1" applyFill="1" applyBorder="1" applyAlignment="1">
      <alignment horizontal="center" vertical="center"/>
    </xf>
    <xf numFmtId="0" fontId="19" fillId="3" borderId="18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 vertical="center"/>
    </xf>
    <xf numFmtId="0" fontId="19" fillId="3" borderId="70" xfId="2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1" xfId="0" applyFill="1" applyBorder="1" applyAlignment="1">
      <alignment vertical="center" wrapText="1"/>
    </xf>
    <xf numFmtId="0" fontId="0" fillId="0" borderId="24" xfId="0" applyFill="1" applyBorder="1" applyAlignment="1">
      <alignment vertical="center" wrapText="1"/>
    </xf>
    <xf numFmtId="0" fontId="19" fillId="3" borderId="20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3" borderId="20" xfId="2" applyFont="1" applyFill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12" fillId="7" borderId="4" xfId="2" applyFont="1" applyFill="1" applyBorder="1" applyAlignment="1">
      <alignment horizontal="center" vertical="center"/>
    </xf>
    <xf numFmtId="0" fontId="12" fillId="7" borderId="5" xfId="2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vertical="center"/>
    </xf>
    <xf numFmtId="0" fontId="12" fillId="7" borderId="17" xfId="2" applyFont="1" applyFill="1" applyBorder="1" applyAlignment="1">
      <alignment horizontal="center" vertical="center"/>
    </xf>
    <xf numFmtId="0" fontId="12" fillId="7" borderId="18" xfId="2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vertical="center"/>
    </xf>
    <xf numFmtId="0" fontId="19" fillId="3" borderId="38" xfId="2" applyFont="1" applyFill="1" applyBorder="1" applyAlignment="1">
      <alignment horizontal="center" vertical="center"/>
    </xf>
    <xf numFmtId="0" fontId="19" fillId="3" borderId="40" xfId="2" applyFont="1" applyFill="1" applyBorder="1" applyAlignment="1">
      <alignment horizontal="center" vertical="center"/>
    </xf>
    <xf numFmtId="0" fontId="19" fillId="3" borderId="47" xfId="2" applyFont="1" applyFill="1" applyBorder="1" applyAlignment="1">
      <alignment horizontal="center" vertical="center"/>
    </xf>
    <xf numFmtId="0" fontId="18" fillId="2" borderId="48" xfId="2" applyFont="1" applyFill="1" applyBorder="1" applyAlignment="1">
      <alignment vertical="center"/>
    </xf>
    <xf numFmtId="0" fontId="0" fillId="2" borderId="76" xfId="0" applyFill="1" applyBorder="1" applyAlignment="1">
      <alignment vertical="center"/>
    </xf>
    <xf numFmtId="0" fontId="19" fillId="6" borderId="4" xfId="2" applyFont="1" applyFill="1" applyBorder="1" applyAlignment="1">
      <alignment horizontal="center" vertical="center" wrapText="1"/>
    </xf>
    <xf numFmtId="0" fontId="19" fillId="6" borderId="5" xfId="2" applyFont="1" applyFill="1" applyBorder="1" applyAlignment="1">
      <alignment horizontal="center" vertical="center"/>
    </xf>
    <xf numFmtId="0" fontId="19" fillId="6" borderId="6" xfId="2" applyFont="1" applyFill="1" applyBorder="1" applyAlignment="1">
      <alignment horizontal="center" vertical="center"/>
    </xf>
    <xf numFmtId="0" fontId="19" fillId="6" borderId="17" xfId="2" applyFont="1" applyFill="1" applyBorder="1" applyAlignment="1">
      <alignment horizontal="center" vertical="center"/>
    </xf>
    <xf numFmtId="0" fontId="19" fillId="6" borderId="18" xfId="2" applyFont="1" applyFill="1" applyBorder="1" applyAlignment="1">
      <alignment horizontal="center" vertical="center"/>
    </xf>
    <xf numFmtId="0" fontId="19" fillId="6" borderId="9" xfId="2" applyFont="1" applyFill="1" applyBorder="1" applyAlignment="1">
      <alignment horizontal="center" vertical="center"/>
    </xf>
    <xf numFmtId="0" fontId="19" fillId="3" borderId="42" xfId="2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vertical="center" wrapText="1"/>
    </xf>
    <xf numFmtId="0" fontId="13" fillId="0" borderId="1" xfId="2" applyFont="1" applyBorder="1" applyAlignment="1">
      <alignment horizontal="left" vertical="top"/>
    </xf>
    <xf numFmtId="0" fontId="13" fillId="0" borderId="23" xfId="2" applyFont="1" applyBorder="1" applyAlignment="1">
      <alignment horizontal="left" vertical="top"/>
    </xf>
    <xf numFmtId="0" fontId="13" fillId="0" borderId="32" xfId="2" applyFont="1" applyBorder="1" applyAlignment="1">
      <alignment horizontal="left" vertical="top"/>
    </xf>
    <xf numFmtId="0" fontId="18" fillId="0" borderId="2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18" fillId="0" borderId="24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top" wrapText="1"/>
    </xf>
    <xf numFmtId="0" fontId="18" fillId="0" borderId="2" xfId="2" applyFont="1" applyBorder="1" applyAlignment="1">
      <alignment vertical="center" wrapText="1"/>
    </xf>
    <xf numFmtId="0" fontId="18" fillId="0" borderId="11" xfId="2" applyFont="1" applyBorder="1" applyAlignment="1">
      <alignment vertical="center" wrapText="1"/>
    </xf>
    <xf numFmtId="0" fontId="18" fillId="0" borderId="24" xfId="2" applyFont="1" applyBorder="1" applyAlignment="1">
      <alignment vertical="center" wrapText="1"/>
    </xf>
    <xf numFmtId="0" fontId="13" fillId="0" borderId="2" xfId="2" applyFont="1" applyFill="1" applyBorder="1" applyAlignment="1">
      <alignment horizontal="left" vertical="center" wrapText="1"/>
    </xf>
    <xf numFmtId="0" fontId="18" fillId="0" borderId="2" xfId="2" applyFont="1" applyFill="1" applyBorder="1" applyAlignment="1">
      <alignment horizontal="left" vertical="center" wrapText="1"/>
    </xf>
    <xf numFmtId="0" fontId="18" fillId="0" borderId="11" xfId="2" applyFont="1" applyFill="1" applyBorder="1" applyAlignment="1">
      <alignment horizontal="left" vertical="center" wrapText="1"/>
    </xf>
    <xf numFmtId="0" fontId="18" fillId="0" borderId="24" xfId="2" applyFont="1" applyFill="1" applyBorder="1" applyAlignment="1">
      <alignment horizontal="left" vertical="center" wrapText="1"/>
    </xf>
    <xf numFmtId="0" fontId="17" fillId="0" borderId="2" xfId="2" applyFont="1" applyFill="1" applyBorder="1" applyAlignment="1">
      <alignment horizontal="left" vertical="center" wrapText="1"/>
    </xf>
    <xf numFmtId="0" fontId="17" fillId="0" borderId="11" xfId="2" applyFont="1" applyFill="1" applyBorder="1" applyAlignment="1">
      <alignment horizontal="left" vertical="center" wrapText="1"/>
    </xf>
    <xf numFmtId="0" fontId="17" fillId="0" borderId="24" xfId="2" applyFont="1" applyFill="1" applyBorder="1" applyAlignment="1">
      <alignment horizontal="left" vertical="center" wrapText="1"/>
    </xf>
    <xf numFmtId="0" fontId="14" fillId="0" borderId="6" xfId="0" applyFont="1" applyBorder="1">
      <alignment vertical="center"/>
    </xf>
    <xf numFmtId="0" fontId="14" fillId="0" borderId="9" xfId="0" applyFont="1" applyBorder="1">
      <alignment vertical="center"/>
    </xf>
    <xf numFmtId="0" fontId="12" fillId="6" borderId="20" xfId="2" applyFont="1" applyFill="1" applyBorder="1" applyAlignment="1">
      <alignment horizontal="center" vertical="center"/>
    </xf>
    <xf numFmtId="0" fontId="12" fillId="6" borderId="22" xfId="2" applyFont="1" applyFill="1" applyBorder="1" applyAlignment="1">
      <alignment horizontal="center" vertical="center"/>
    </xf>
    <xf numFmtId="0" fontId="12" fillId="6" borderId="21" xfId="2" applyFont="1" applyFill="1" applyBorder="1" applyAlignment="1">
      <alignment horizontal="center" vertical="center"/>
    </xf>
    <xf numFmtId="0" fontId="12" fillId="6" borderId="17" xfId="2" applyFont="1" applyFill="1" applyBorder="1" applyAlignment="1">
      <alignment horizontal="center" vertical="center"/>
    </xf>
    <xf numFmtId="0" fontId="12" fillId="6" borderId="18" xfId="2" applyFont="1" applyFill="1" applyBorder="1" applyAlignment="1">
      <alignment horizontal="center" vertical="center"/>
    </xf>
    <xf numFmtId="0" fontId="12" fillId="6" borderId="9" xfId="2" applyFont="1" applyFill="1" applyBorder="1" applyAlignment="1">
      <alignment horizontal="center" vertical="center"/>
    </xf>
    <xf numFmtId="0" fontId="13" fillId="0" borderId="17" xfId="2" applyFont="1" applyFill="1" applyBorder="1" applyAlignment="1">
      <alignment horizontal="left" vertical="center"/>
    </xf>
    <xf numFmtId="0" fontId="13" fillId="0" borderId="18" xfId="2" applyFont="1" applyFill="1" applyBorder="1" applyAlignment="1">
      <alignment horizontal="left" vertical="center"/>
    </xf>
    <xf numFmtId="0" fontId="14" fillId="0" borderId="18" xfId="0" applyFont="1" applyFill="1" applyBorder="1" applyAlignment="1">
      <alignment vertical="center"/>
    </xf>
    <xf numFmtId="0" fontId="14" fillId="0" borderId="9" xfId="0" applyFont="1" applyFill="1" applyBorder="1" applyAlignment="1">
      <alignment vertical="center"/>
    </xf>
    <xf numFmtId="0" fontId="13" fillId="0" borderId="22" xfId="2" applyFont="1" applyFill="1" applyBorder="1" applyAlignment="1">
      <alignment horizontal="left" vertical="center"/>
    </xf>
    <xf numFmtId="0" fontId="13" fillId="0" borderId="21" xfId="2" applyFont="1" applyFill="1" applyBorder="1" applyAlignment="1">
      <alignment horizontal="left" vertical="center"/>
    </xf>
    <xf numFmtId="0" fontId="13" fillId="0" borderId="20" xfId="2" applyFont="1" applyFill="1" applyBorder="1" applyAlignment="1">
      <alignment vertical="center"/>
    </xf>
    <xf numFmtId="0" fontId="13" fillId="0" borderId="22" xfId="2" applyFont="1" applyFill="1" applyBorder="1" applyAlignment="1">
      <alignment vertical="center"/>
    </xf>
    <xf numFmtId="0" fontId="13" fillId="0" borderId="21" xfId="2" applyFont="1" applyFill="1" applyBorder="1" applyAlignment="1">
      <alignment vertical="center"/>
    </xf>
    <xf numFmtId="0" fontId="18" fillId="0" borderId="20" xfId="0" applyFont="1" applyFill="1" applyBorder="1" applyAlignment="1">
      <alignment vertical="center"/>
    </xf>
    <xf numFmtId="0" fontId="18" fillId="0" borderId="22" xfId="0" applyFont="1" applyFill="1" applyBorder="1" applyAlignment="1">
      <alignment vertical="center"/>
    </xf>
    <xf numFmtId="0" fontId="18" fillId="0" borderId="21" xfId="0" applyFont="1" applyFill="1" applyBorder="1" applyAlignment="1">
      <alignment vertical="center"/>
    </xf>
    <xf numFmtId="0" fontId="13" fillId="0" borderId="9" xfId="2" applyFont="1" applyFill="1" applyBorder="1" applyAlignment="1">
      <alignment horizontal="left" vertical="center"/>
    </xf>
    <xf numFmtId="177" fontId="11" fillId="2" borderId="56" xfId="5" applyNumberFormat="1" applyFill="1" applyBorder="1" applyAlignment="1">
      <alignment horizontal="center" vertical="center"/>
    </xf>
    <xf numFmtId="177" fontId="11" fillId="2" borderId="62" xfId="5" applyNumberFormat="1" applyFill="1" applyBorder="1" applyAlignment="1">
      <alignment horizontal="center" vertical="center"/>
    </xf>
    <xf numFmtId="0" fontId="11" fillId="2" borderId="48" xfId="5" applyFill="1" applyBorder="1" applyAlignment="1">
      <alignment horizontal="center" vertical="center" wrapText="1"/>
    </xf>
    <xf numFmtId="0" fontId="11" fillId="2" borderId="60" xfId="5" applyFill="1" applyBorder="1" applyAlignment="1">
      <alignment horizontal="center" vertical="center" wrapText="1"/>
    </xf>
    <xf numFmtId="0" fontId="11" fillId="2" borderId="33" xfId="5" applyFill="1" applyBorder="1" applyAlignment="1">
      <alignment horizontal="center" vertical="center"/>
    </xf>
    <xf numFmtId="0" fontId="11" fillId="2" borderId="56" xfId="5" applyFill="1" applyBorder="1" applyAlignment="1">
      <alignment horizontal="center" vertical="center"/>
    </xf>
    <xf numFmtId="0" fontId="11" fillId="2" borderId="4" xfId="5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1" fillId="0" borderId="61" xfId="5" applyBorder="1" applyAlignment="1">
      <alignment horizontal="center" vertical="center" shrinkToFit="1"/>
    </xf>
    <xf numFmtId="0" fontId="11" fillId="2" borderId="4" xfId="5" applyFill="1" applyBorder="1" applyAlignment="1">
      <alignment horizontal="center" vertical="center" shrinkToFit="1"/>
    </xf>
    <xf numFmtId="0" fontId="11" fillId="2" borderId="5" xfId="5" applyFill="1" applyBorder="1" applyAlignment="1">
      <alignment horizontal="center" vertical="center" shrinkToFit="1"/>
    </xf>
    <xf numFmtId="0" fontId="11" fillId="2" borderId="6" xfId="5" applyFill="1" applyBorder="1" applyAlignment="1">
      <alignment horizontal="center" vertical="center" shrinkToFit="1"/>
    </xf>
    <xf numFmtId="0" fontId="11" fillId="2" borderId="53" xfId="5" applyFill="1" applyBorder="1" applyAlignment="1">
      <alignment horizontal="center" vertical="center" shrinkToFit="1"/>
    </xf>
    <xf numFmtId="0" fontId="11" fillId="2" borderId="54" xfId="5" applyFill="1" applyBorder="1" applyAlignment="1">
      <alignment horizontal="center" vertical="center" shrinkToFit="1"/>
    </xf>
    <xf numFmtId="0" fontId="11" fillId="2" borderId="55" xfId="5" applyFill="1" applyBorder="1" applyAlignment="1">
      <alignment horizontal="center" vertical="center" shrinkToFit="1"/>
    </xf>
    <xf numFmtId="0" fontId="11" fillId="2" borderId="4" xfId="5" applyFill="1" applyBorder="1" applyAlignment="1">
      <alignment horizontal="center" vertical="center" wrapText="1" shrinkToFit="1"/>
    </xf>
    <xf numFmtId="0" fontId="11" fillId="2" borderId="5" xfId="5" applyFill="1" applyBorder="1" applyAlignment="1">
      <alignment horizontal="center" vertical="center" wrapText="1" shrinkToFit="1"/>
    </xf>
    <xf numFmtId="0" fontId="11" fillId="2" borderId="6" xfId="5" applyFill="1" applyBorder="1" applyAlignment="1">
      <alignment horizontal="center" vertical="center" wrapText="1" shrinkToFit="1"/>
    </xf>
    <xf numFmtId="0" fontId="11" fillId="2" borderId="53" xfId="5" applyFill="1" applyBorder="1" applyAlignment="1">
      <alignment horizontal="center" vertical="center" wrapText="1" shrinkToFit="1"/>
    </xf>
    <xf numFmtId="0" fontId="11" fillId="2" borderId="54" xfId="5" applyFill="1" applyBorder="1" applyAlignment="1">
      <alignment horizontal="center" vertical="center" wrapText="1" shrinkToFit="1"/>
    </xf>
    <xf numFmtId="0" fontId="11" fillId="2" borderId="55" xfId="5" applyFill="1" applyBorder="1" applyAlignment="1">
      <alignment horizontal="center" vertical="center" wrapText="1" shrinkToFit="1"/>
    </xf>
    <xf numFmtId="0" fontId="11" fillId="3" borderId="59" xfId="5" applyFill="1" applyBorder="1" applyAlignment="1">
      <alignment horizontal="center" vertical="center"/>
    </xf>
  </cellXfs>
  <cellStyles count="15">
    <cellStyle name="ハイパーリンク" xfId="14" builtinId="8"/>
    <cellStyle name="標準" xfId="0" builtinId="0"/>
    <cellStyle name="標準 10" xfId="9"/>
    <cellStyle name="標準 11" xfId="3"/>
    <cellStyle name="標準 16" xfId="8"/>
    <cellStyle name="標準 2" xfId="1"/>
    <cellStyle name="標準 2 3" xfId="5"/>
    <cellStyle name="標準 3" xfId="6"/>
    <cellStyle name="標準 4" xfId="4"/>
    <cellStyle name="標準 5" xfId="10"/>
    <cellStyle name="標準 6" xfId="11"/>
    <cellStyle name="標準 6 2" xfId="13"/>
    <cellStyle name="標準 7" xfId="12"/>
    <cellStyle name="標準_Fit&amp;Gap分析一覧表" xfId="7"/>
    <cellStyle name="標準_画面ﾚｲｱｳﾄ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79646"/>
      <color rgb="FFCCFFCC"/>
      <color rgb="FFB7DEE8"/>
      <color rgb="FFFFFF99"/>
      <color rgb="FFFFFFCC"/>
      <color rgb="FF99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104775</xdr:rowOff>
    </xdr:from>
    <xdr:to>
      <xdr:col>35</xdr:col>
      <xdr:colOff>57150</xdr:colOff>
      <xdr:row>5</xdr:row>
      <xdr:rowOff>152400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906F70C4-FB8A-4CC4-9F58-0CDEF37C636B}"/>
            </a:ext>
          </a:extLst>
        </xdr:cNvPr>
        <xdr:cNvSpPr/>
      </xdr:nvSpPr>
      <xdr:spPr>
        <a:xfrm>
          <a:off x="3771900" y="676275"/>
          <a:ext cx="2286000" cy="428625"/>
        </a:xfrm>
        <a:prstGeom prst="borderCallout1">
          <a:avLst>
            <a:gd name="adj1" fmla="val 53873"/>
            <a:gd name="adj2" fmla="val -581"/>
            <a:gd name="adj3" fmla="val -4918"/>
            <a:gd name="adj4" fmla="val -11552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フェーズを内部設計にしてください</a:t>
          </a:r>
        </a:p>
      </xdr:txBody>
    </xdr:sp>
    <xdr:clientData/>
  </xdr:twoCellAnchor>
  <xdr:twoCellAnchor>
    <xdr:from>
      <xdr:col>63</xdr:col>
      <xdr:colOff>66675</xdr:colOff>
      <xdr:row>5</xdr:row>
      <xdr:rowOff>47625</xdr:rowOff>
    </xdr:from>
    <xdr:to>
      <xdr:col>85</xdr:col>
      <xdr:colOff>123825</xdr:colOff>
      <xdr:row>7</xdr:row>
      <xdr:rowOff>104775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59D18144-B6A5-44FF-840C-0FD3B80240CE}"/>
            </a:ext>
          </a:extLst>
        </xdr:cNvPr>
        <xdr:cNvSpPr/>
      </xdr:nvSpPr>
      <xdr:spPr>
        <a:xfrm>
          <a:off x="10868025" y="1000125"/>
          <a:ext cx="3829050" cy="438150"/>
        </a:xfrm>
        <a:prstGeom prst="borderCallout1">
          <a:avLst>
            <a:gd name="adj1" fmla="val 31908"/>
            <a:gd name="adj2" fmla="val -870"/>
            <a:gd name="adj3" fmla="val -79605"/>
            <a:gd name="adj4" fmla="val -1097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照会画面と更新画面を分割して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画面、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設計書にしてください</a:t>
          </a:r>
        </a:p>
      </xdr:txBody>
    </xdr:sp>
    <xdr:clientData/>
  </xdr:twoCellAnchor>
  <xdr:twoCellAnchor>
    <xdr:from>
      <xdr:col>5</xdr:col>
      <xdr:colOff>38100</xdr:colOff>
      <xdr:row>10</xdr:row>
      <xdr:rowOff>152400</xdr:rowOff>
    </xdr:from>
    <xdr:to>
      <xdr:col>35</xdr:col>
      <xdr:colOff>9525</xdr:colOff>
      <xdr:row>13</xdr:row>
      <xdr:rowOff>9525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A0B8161D-66B4-49A9-AC90-7ABD6DD99E74}"/>
            </a:ext>
          </a:extLst>
        </xdr:cNvPr>
        <xdr:cNvSpPr/>
      </xdr:nvSpPr>
      <xdr:spPr>
        <a:xfrm>
          <a:off x="895350" y="2047875"/>
          <a:ext cx="5114925" cy="428625"/>
        </a:xfrm>
        <a:prstGeom prst="borderCallout1">
          <a:avLst>
            <a:gd name="adj1" fmla="val 53873"/>
            <a:gd name="adj2" fmla="val -581"/>
            <a:gd name="adj3" fmla="val -49362"/>
            <a:gd name="adj4" fmla="val -613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外部設計書の内容を引き継ぎ、内部設計は「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1.x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」から記載してください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</xdr:colOff>
          <xdr:row>0</xdr:row>
          <xdr:rowOff>39689</xdr:rowOff>
        </xdr:from>
        <xdr:to>
          <xdr:col>67</xdr:col>
          <xdr:colOff>154837</xdr:colOff>
          <xdr:row>3</xdr:row>
          <xdr:rowOff>128839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37DE4A3-CB44-4407-9A2E-1270124F0265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6:$CA$9" spid="_x0000_s643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" y="39689"/>
              <a:ext cx="10980000" cy="54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1360</xdr:colOff>
      <xdr:row>7</xdr:row>
      <xdr:rowOff>0</xdr:rowOff>
    </xdr:from>
    <xdr:to>
      <xdr:col>93</xdr:col>
      <xdr:colOff>95784</xdr:colOff>
      <xdr:row>45</xdr:row>
      <xdr:rowOff>98046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A138A5D-A829-D76C-D1D3-29F8BCD0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210" y="7772400"/>
          <a:ext cx="14829599" cy="5889246"/>
        </a:xfrm>
        <a:prstGeom prst="rect">
          <a:avLst/>
        </a:prstGeom>
      </xdr:spPr>
    </xdr:pic>
    <xdr:clientData/>
  </xdr:twoCellAnchor>
  <xdr:twoCellAnchor>
    <xdr:from>
      <xdr:col>12</xdr:col>
      <xdr:colOff>114299</xdr:colOff>
      <xdr:row>46</xdr:row>
      <xdr:rowOff>66675</xdr:rowOff>
    </xdr:from>
    <xdr:to>
      <xdr:col>41</xdr:col>
      <xdr:colOff>152400</xdr:colOff>
      <xdr:row>54</xdr:row>
      <xdr:rowOff>9524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42383199-059F-F8F1-C010-D828BC5BE612}"/>
            </a:ext>
          </a:extLst>
        </xdr:cNvPr>
        <xdr:cNvSpPr/>
      </xdr:nvSpPr>
      <xdr:spPr>
        <a:xfrm>
          <a:off x="2057399" y="7077075"/>
          <a:ext cx="4733926" cy="1219199"/>
        </a:xfrm>
        <a:prstGeom prst="borderCallout1">
          <a:avLst>
            <a:gd name="adj1" fmla="val 103899"/>
            <a:gd name="adj2" fmla="val 12133"/>
            <a:gd name="adj3" fmla="val 155291"/>
            <a:gd name="adj4" fmla="val -18964"/>
          </a:avLst>
        </a:prstGeom>
        <a:ln>
          <a:solidFill>
            <a:srgbClr val="F7964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■対象データモデル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の対象データモデルに設定するメインテーブルを記載してください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dbQuery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を使用する場合は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dbQuery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・親子データを使用する場合はいずれも記載し、親に★を付けてください</a:t>
          </a:r>
        </a:p>
      </xdr:txBody>
    </xdr:sp>
    <xdr:clientData/>
  </xdr:twoCellAnchor>
  <xdr:twoCellAnchor>
    <xdr:from>
      <xdr:col>26</xdr:col>
      <xdr:colOff>19049</xdr:colOff>
      <xdr:row>62</xdr:row>
      <xdr:rowOff>95249</xdr:rowOff>
    </xdr:from>
    <xdr:to>
      <xdr:col>51</xdr:col>
      <xdr:colOff>95250</xdr:colOff>
      <xdr:row>68</xdr:row>
      <xdr:rowOff>85725</xdr:rowOff>
    </xdr:to>
    <xdr:sp macro="" textlink="">
      <xdr:nvSpPr>
        <xdr:cNvPr id="8" name="吹き出し: 線 7">
          <a:extLst>
            <a:ext uri="{FF2B5EF4-FFF2-40B4-BE49-F238E27FC236}">
              <a16:creationId xmlns:a16="http://schemas.microsoft.com/office/drawing/2014/main" id="{7B7AE3FB-6E10-1E15-F790-21750AFDF90D}"/>
            </a:ext>
          </a:extLst>
        </xdr:cNvPr>
        <xdr:cNvSpPr/>
      </xdr:nvSpPr>
      <xdr:spPr>
        <a:xfrm>
          <a:off x="4229099" y="9629774"/>
          <a:ext cx="4124326" cy="904876"/>
        </a:xfrm>
        <a:prstGeom prst="borderCallout1">
          <a:avLst>
            <a:gd name="adj1" fmla="val -6395"/>
            <a:gd name="adj2" fmla="val 18351"/>
            <a:gd name="adj3" fmla="val -67363"/>
            <a:gd name="adj4" fmla="val 1402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■対象条件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の対象データモデルで使用するテーブルを記載してください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dbQuery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を使用している場合は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dbQuery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57148</xdr:colOff>
      <xdr:row>66</xdr:row>
      <xdr:rowOff>95249</xdr:rowOff>
    </xdr:from>
    <xdr:to>
      <xdr:col>87</xdr:col>
      <xdr:colOff>123825</xdr:colOff>
      <xdr:row>71</xdr:row>
      <xdr:rowOff>19051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085939EC-802B-A628-FC46-00E3E7D7B1D1}"/>
            </a:ext>
          </a:extLst>
        </xdr:cNvPr>
        <xdr:cNvSpPr/>
      </xdr:nvSpPr>
      <xdr:spPr>
        <a:xfrm>
          <a:off x="8477248" y="17097374"/>
          <a:ext cx="5734052" cy="685802"/>
        </a:xfrm>
        <a:prstGeom prst="borderCallout1">
          <a:avLst>
            <a:gd name="adj1" fmla="val 114246"/>
            <a:gd name="adj2" fmla="val 5026"/>
            <a:gd name="adj3" fmla="val 133067"/>
            <a:gd name="adj4" fmla="val 2811"/>
          </a:avLst>
        </a:prstGeom>
        <a:ln>
          <a:solidFill>
            <a:srgbClr val="F7964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■部分入出力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・部分入出力を使用する場合は、部分入出力の画面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、画面名、定義位置を記載してください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64</xdr:col>
      <xdr:colOff>9526</xdr:colOff>
      <xdr:row>70</xdr:row>
      <xdr:rowOff>66675</xdr:rowOff>
    </xdr:from>
    <xdr:to>
      <xdr:col>93</xdr:col>
      <xdr:colOff>114301</xdr:colOff>
      <xdr:row>75</xdr:row>
      <xdr:rowOff>148203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C7D879D-1A0B-3B95-366F-B3C2D83C6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2726" y="17678400"/>
          <a:ext cx="4800600" cy="834003"/>
        </a:xfrm>
        <a:prstGeom prst="rect">
          <a:avLst/>
        </a:prstGeom>
        <a:ln w="38100">
          <a:solidFill>
            <a:srgbClr val="F79646"/>
          </a:solidFill>
        </a:ln>
      </xdr:spPr>
    </xdr:pic>
    <xdr:clientData/>
  </xdr:twoCellAnchor>
  <xdr:twoCellAnchor>
    <xdr:from>
      <xdr:col>0</xdr:col>
      <xdr:colOff>50800</xdr:colOff>
      <xdr:row>71</xdr:row>
      <xdr:rowOff>92075</xdr:rowOff>
    </xdr:from>
    <xdr:to>
      <xdr:col>23</xdr:col>
      <xdr:colOff>19051</xdr:colOff>
      <xdr:row>77</xdr:row>
      <xdr:rowOff>76200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9A0F9982-3A96-4983-B4E2-FDCDBD13064F}"/>
            </a:ext>
          </a:extLst>
        </xdr:cNvPr>
        <xdr:cNvSpPr/>
      </xdr:nvSpPr>
      <xdr:spPr>
        <a:xfrm>
          <a:off x="50800" y="11179175"/>
          <a:ext cx="3327401" cy="917575"/>
        </a:xfrm>
        <a:prstGeom prst="borderCallout1">
          <a:avLst>
            <a:gd name="adj1" fmla="val -6395"/>
            <a:gd name="adj2" fmla="val 18351"/>
            <a:gd name="adj3" fmla="val -96669"/>
            <a:gd name="adj4" fmla="val 15812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■処理対象データモデル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・関連するテーブルをすべて記載してください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※dbQuery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ではなく実テーブルを記載してください</a:t>
          </a:r>
        </a:p>
      </xdr:txBody>
    </xdr:sp>
    <xdr:clientData/>
  </xdr:twoCellAnchor>
  <xdr:twoCellAnchor>
    <xdr:from>
      <xdr:col>25</xdr:col>
      <xdr:colOff>104775</xdr:colOff>
      <xdr:row>76</xdr:row>
      <xdr:rowOff>9525</xdr:rowOff>
    </xdr:from>
    <xdr:to>
      <xdr:col>57</xdr:col>
      <xdr:colOff>144117</xdr:colOff>
      <xdr:row>83</xdr:row>
      <xdr:rowOff>21121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1CA1731A-7D7C-4902-ADA4-130014FAB9DE}"/>
            </a:ext>
          </a:extLst>
        </xdr:cNvPr>
        <xdr:cNvSpPr/>
      </xdr:nvSpPr>
      <xdr:spPr>
        <a:xfrm>
          <a:off x="4152900" y="11677650"/>
          <a:ext cx="5220942" cy="1078396"/>
        </a:xfrm>
        <a:prstGeom prst="borderCallout1">
          <a:avLst>
            <a:gd name="adj1" fmla="val -3809"/>
            <a:gd name="adj2" fmla="val 18813"/>
            <a:gd name="adj3" fmla="val -29432"/>
            <a:gd name="adj4" fmla="val 1610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■外部ファイル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Javascript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CSS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を使用する場合は「〇」、使用しない場合は「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Javascript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⇒ ワーニングチェック、一覧選択時などで使用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CSS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⇒ 一覧の必須項目、項目の位置指定などで使用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25</xdr:col>
      <xdr:colOff>1360</xdr:colOff>
      <xdr:row>45</xdr:row>
      <xdr:rowOff>85725</xdr:rowOff>
    </xdr:from>
    <xdr:to>
      <xdr:col>44</xdr:col>
      <xdr:colOff>87526</xdr:colOff>
      <xdr:row>47</xdr:row>
      <xdr:rowOff>95294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DE2DCC8-7148-6903-7E1D-2C1EB081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9485" y="6943725"/>
          <a:ext cx="3162741" cy="314369"/>
        </a:xfrm>
        <a:prstGeom prst="rect">
          <a:avLst/>
        </a:prstGeom>
        <a:ln w="38100">
          <a:solidFill>
            <a:srgbClr val="F79646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23811</xdr:colOff>
          <xdr:row>0</xdr:row>
          <xdr:rowOff>47625</xdr:rowOff>
        </xdr:from>
        <xdr:to>
          <xdr:col>63</xdr:col>
          <xdr:colOff>41273</xdr:colOff>
          <xdr:row>3</xdr:row>
          <xdr:rowOff>130173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8D308DCB-F8B9-4225-B3E7-7A49FC24DC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ヘッダ!$A$11:$CA$14" spid="_x0000_s129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1" y="47625"/>
              <a:ext cx="10980737" cy="5397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65</xdr:col>
      <xdr:colOff>114300</xdr:colOff>
      <xdr:row>8</xdr:row>
      <xdr:rowOff>85724</xdr:rowOff>
    </xdr:from>
    <xdr:to>
      <xdr:col>95</xdr:col>
      <xdr:colOff>9524</xdr:colOff>
      <xdr:row>11</xdr:row>
      <xdr:rowOff>219075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0D334BF1-1E9C-5452-6954-7F5D280FC4B8}"/>
            </a:ext>
          </a:extLst>
        </xdr:cNvPr>
        <xdr:cNvSpPr/>
      </xdr:nvSpPr>
      <xdr:spPr>
        <a:xfrm>
          <a:off x="11401425" y="1466849"/>
          <a:ext cx="4752974" cy="914401"/>
        </a:xfrm>
        <a:prstGeom prst="borderCallout1">
          <a:avLst>
            <a:gd name="adj1" fmla="val 114246"/>
            <a:gd name="adj2" fmla="val 56095"/>
            <a:gd name="adj3" fmla="val 170708"/>
            <a:gd name="adj4" fmla="val 62913"/>
          </a:avLst>
        </a:prstGeom>
        <a:ln>
          <a:solidFill>
            <a:srgbClr val="F7964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条件は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WP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の演算子で記載します。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演算子のバリエーションは「ランゲージリファレンス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.pdf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」の以下を参照してください。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4.2.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比較演算子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38099</xdr:colOff>
      <xdr:row>2</xdr:row>
      <xdr:rowOff>136664</xdr:rowOff>
    </xdr:from>
    <xdr:to>
      <xdr:col>25</xdr:col>
      <xdr:colOff>121340</xdr:colOff>
      <xdr:row>6</xdr:row>
      <xdr:rowOff>136664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3F3A8526-DC65-4836-82A3-8E816C28B0BA}"/>
            </a:ext>
          </a:extLst>
        </xdr:cNvPr>
        <xdr:cNvSpPr/>
      </xdr:nvSpPr>
      <xdr:spPr>
        <a:xfrm>
          <a:off x="1769164" y="434838"/>
          <a:ext cx="3214067" cy="596348"/>
        </a:xfrm>
        <a:prstGeom prst="borderCallout1">
          <a:avLst>
            <a:gd name="adj1" fmla="val 109097"/>
            <a:gd name="adj2" fmla="val 18086"/>
            <a:gd name="adj3" fmla="val 199131"/>
            <a:gd name="adj4" fmla="val -52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DM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に紐づいている場合は「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DM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紐づいていない場合は文字数を記載してください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23814</xdr:colOff>
          <xdr:row>0</xdr:row>
          <xdr:rowOff>47625</xdr:rowOff>
        </xdr:from>
        <xdr:to>
          <xdr:col>67</xdr:col>
          <xdr:colOff>40539</xdr:colOff>
          <xdr:row>3</xdr:row>
          <xdr:rowOff>130425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4D2A2236-9040-4DB8-B623-707971FBE26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16:$CA$19" spid="_x0000_s66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4" y="47625"/>
              <a:ext cx="10980000" cy="54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19844</xdr:colOff>
          <xdr:row>0</xdr:row>
          <xdr:rowOff>39687</xdr:rowOff>
        </xdr:from>
        <xdr:to>
          <xdr:col>63</xdr:col>
          <xdr:colOff>74669</xdr:colOff>
          <xdr:row>3</xdr:row>
          <xdr:rowOff>122487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2963593-A103-4639-B9E3-24D95FC6138C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21:$CA$24" spid="_x0000_s501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44" y="39687"/>
              <a:ext cx="10980000" cy="54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43207</xdr:colOff>
      <xdr:row>9</xdr:row>
      <xdr:rowOff>1051429</xdr:rowOff>
    </xdr:from>
    <xdr:to>
      <xdr:col>21</xdr:col>
      <xdr:colOff>135281</xdr:colOff>
      <xdr:row>10</xdr:row>
      <xdr:rowOff>365630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911D7216-297B-46ED-9E3A-AE364251AB21}"/>
            </a:ext>
          </a:extLst>
        </xdr:cNvPr>
        <xdr:cNvSpPr/>
      </xdr:nvSpPr>
      <xdr:spPr>
        <a:xfrm>
          <a:off x="863185" y="3718429"/>
          <a:ext cx="3048966" cy="457201"/>
        </a:xfrm>
        <a:prstGeom prst="borderCallout1">
          <a:avLst>
            <a:gd name="adj1" fmla="val 109097"/>
            <a:gd name="adj2" fmla="val 18086"/>
            <a:gd name="adj3" fmla="val 232934"/>
            <a:gd name="adj4" fmla="val 6472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マクロによるチェックを想定した記載サンプルです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9524</xdr:colOff>
      <xdr:row>18</xdr:row>
      <xdr:rowOff>171449</xdr:rowOff>
    </xdr:from>
    <xdr:to>
      <xdr:col>24</xdr:col>
      <xdr:colOff>19049</xdr:colOff>
      <xdr:row>19</xdr:row>
      <xdr:rowOff>247650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951546C7-CA6E-D409-5A8D-C52C50DB44F2}"/>
            </a:ext>
          </a:extLst>
        </xdr:cNvPr>
        <xdr:cNvSpPr/>
      </xdr:nvSpPr>
      <xdr:spPr>
        <a:xfrm>
          <a:off x="990599" y="8572499"/>
          <a:ext cx="3267075" cy="457201"/>
        </a:xfrm>
        <a:prstGeom prst="borderCallout1">
          <a:avLst>
            <a:gd name="adj1" fmla="val 109097"/>
            <a:gd name="adj2" fmla="val 18086"/>
            <a:gd name="adj3" fmla="val 246006"/>
            <a:gd name="adj4" fmla="val -52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BP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チェックは画面チェックと記載を分けてください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57149</xdr:colOff>
      <xdr:row>2</xdr:row>
      <xdr:rowOff>123825</xdr:rowOff>
    </xdr:from>
    <xdr:to>
      <xdr:col>102</xdr:col>
      <xdr:colOff>123824</xdr:colOff>
      <xdr:row>5</xdr:row>
      <xdr:rowOff>57150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8395D2F4-EEA2-6A83-F05D-ACF8CF44FB30}"/>
            </a:ext>
          </a:extLst>
        </xdr:cNvPr>
        <xdr:cNvSpPr/>
      </xdr:nvSpPr>
      <xdr:spPr>
        <a:xfrm>
          <a:off x="10125074" y="428625"/>
          <a:ext cx="3152775" cy="390525"/>
        </a:xfrm>
        <a:prstGeom prst="borderCallout1">
          <a:avLst>
            <a:gd name="adj1" fmla="val 109097"/>
            <a:gd name="adj2" fmla="val 18086"/>
            <a:gd name="adj3" fmla="val 246006"/>
            <a:gd name="adj4" fmla="val -52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共通にないメッセージは各サブで作成してください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25400</xdr:colOff>
      <xdr:row>3</xdr:row>
      <xdr:rowOff>149223</xdr:rowOff>
    </xdr:from>
    <xdr:to>
      <xdr:col>88</xdr:col>
      <xdr:colOff>98425</xdr:colOff>
      <xdr:row>50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AA6039A-CA0C-4C10-9815-67E49235DDEE}"/>
            </a:ext>
          </a:extLst>
        </xdr:cNvPr>
        <xdr:cNvSpPr txBox="1"/>
      </xdr:nvSpPr>
      <xdr:spPr>
        <a:xfrm>
          <a:off x="11360150" y="606423"/>
          <a:ext cx="2987675" cy="3975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■番号書式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1.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－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 1)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    (1)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      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 ①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　　　　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a.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　　　　　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a)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　　　　　　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(a)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－</a:t>
          </a:r>
          <a:endParaRPr kumimoji="1" lang="en-US" altLang="ja-JP" sz="1100" baseline="0">
            <a:solidFill>
              <a:schemeClr val="dk1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endParaRPr kumimoji="1" lang="en-US" altLang="ja-JP" sz="1100" baseline="0">
            <a:solidFill>
              <a:schemeClr val="dk1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■データモデル操作の番号書式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 </a:t>
          </a:r>
          <a:r>
            <a:rPr kumimoji="1" lang="ja-JP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ii </a:t>
          </a:r>
          <a:r>
            <a:rPr kumimoji="1" lang="ja-JP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iii</a:t>
          </a:r>
          <a:r>
            <a:rPr kumimoji="1" lang="ja-JP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iV</a:t>
          </a:r>
          <a:r>
            <a:rPr kumimoji="1" lang="ja-JP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V...</a:t>
          </a:r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とする。</a:t>
          </a:r>
          <a:endParaRPr kumimoji="1" lang="en-US" altLang="ja-JP" sz="1100">
            <a:solidFill>
              <a:schemeClr val="dk1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i.</a:t>
          </a:r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データモデル</a:t>
          </a:r>
          <a:endParaRPr kumimoji="1" lang="en-US" altLang="ja-JP" sz="1100">
            <a:solidFill>
              <a:schemeClr val="dk1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ii.</a:t>
          </a:r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対象条件</a:t>
          </a:r>
          <a:endParaRPr kumimoji="1" lang="en-US" altLang="ja-JP" sz="1100">
            <a:solidFill>
              <a:schemeClr val="dk1"/>
            </a:solidFill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iii.</a:t>
          </a:r>
          <a:r>
            <a:rPr kumimoji="1" lang="ja-JP" altLang="en-US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...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</xdr:colOff>
          <xdr:row>0</xdr:row>
          <xdr:rowOff>47626</xdr:rowOff>
        </xdr:from>
        <xdr:to>
          <xdr:col>68</xdr:col>
          <xdr:colOff>2437</xdr:colOff>
          <xdr:row>3</xdr:row>
          <xdr:rowOff>130426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A0A7516E-DEBE-497B-8971-A622643CA21F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31:$CA$34" spid="_x0000_s857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" y="47626"/>
              <a:ext cx="10980000" cy="54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104776</xdr:colOff>
      <xdr:row>11</xdr:row>
      <xdr:rowOff>38101</xdr:rowOff>
    </xdr:from>
    <xdr:to>
      <xdr:col>31</xdr:col>
      <xdr:colOff>152401</xdr:colOff>
      <xdr:row>13</xdr:row>
      <xdr:rowOff>95251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B2BB6E61-CFAA-4695-8C62-971C3761CCA2}"/>
            </a:ext>
          </a:extLst>
        </xdr:cNvPr>
        <xdr:cNvSpPr/>
      </xdr:nvSpPr>
      <xdr:spPr>
        <a:xfrm>
          <a:off x="2371726" y="1714501"/>
          <a:ext cx="2800350" cy="361950"/>
        </a:xfrm>
        <a:prstGeom prst="borderCallout1">
          <a:avLst>
            <a:gd name="adj1" fmla="val 103899"/>
            <a:gd name="adj2" fmla="val 12133"/>
            <a:gd name="adj3" fmla="val 165653"/>
            <a:gd name="adj4" fmla="val -124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とメッセージを記載してください</a:t>
          </a:r>
        </a:p>
      </xdr:txBody>
    </xdr:sp>
    <xdr:clientData/>
  </xdr:twoCellAnchor>
  <xdr:twoCellAnchor>
    <xdr:from>
      <xdr:col>34</xdr:col>
      <xdr:colOff>95251</xdr:colOff>
      <xdr:row>12</xdr:row>
      <xdr:rowOff>9526</xdr:rowOff>
    </xdr:from>
    <xdr:to>
      <xdr:col>55</xdr:col>
      <xdr:colOff>95250</xdr:colOff>
      <xdr:row>14</xdr:row>
      <xdr:rowOff>66676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B39072FB-9B14-FC67-B572-C70B041F0139}"/>
            </a:ext>
          </a:extLst>
        </xdr:cNvPr>
        <xdr:cNvSpPr/>
      </xdr:nvSpPr>
      <xdr:spPr>
        <a:xfrm>
          <a:off x="5600701" y="1838326"/>
          <a:ext cx="3400424" cy="361950"/>
        </a:xfrm>
        <a:prstGeom prst="borderCallout1">
          <a:avLst>
            <a:gd name="adj1" fmla="val 117057"/>
            <a:gd name="adj2" fmla="val 3450"/>
            <a:gd name="adj3" fmla="val 189337"/>
            <a:gd name="adj4" fmla="val -96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メッセージのパラメータがある場合は記載してください</a:t>
          </a:r>
        </a:p>
      </xdr:txBody>
    </xdr:sp>
    <xdr:clientData/>
  </xdr:twoCellAnchor>
  <xdr:twoCellAnchor>
    <xdr:from>
      <xdr:col>19</xdr:col>
      <xdr:colOff>57151</xdr:colOff>
      <xdr:row>37</xdr:row>
      <xdr:rowOff>9526</xdr:rowOff>
    </xdr:from>
    <xdr:to>
      <xdr:col>36</xdr:col>
      <xdr:colOff>85726</xdr:colOff>
      <xdr:row>39</xdr:row>
      <xdr:rowOff>66676</xdr:rowOff>
    </xdr:to>
    <xdr:sp macro="" textlink="">
      <xdr:nvSpPr>
        <xdr:cNvPr id="6" name="吹き出し: 線 5">
          <a:extLst>
            <a:ext uri="{FF2B5EF4-FFF2-40B4-BE49-F238E27FC236}">
              <a16:creationId xmlns:a16="http://schemas.microsoft.com/office/drawing/2014/main" id="{84B10849-3B98-F245-E004-A5886B6295B5}"/>
            </a:ext>
          </a:extLst>
        </xdr:cNvPr>
        <xdr:cNvSpPr/>
      </xdr:nvSpPr>
      <xdr:spPr>
        <a:xfrm>
          <a:off x="3133726" y="5705476"/>
          <a:ext cx="2781300" cy="361950"/>
        </a:xfrm>
        <a:prstGeom prst="borderCallout1">
          <a:avLst>
            <a:gd name="adj1" fmla="val 103899"/>
            <a:gd name="adj2" fmla="val 12133"/>
            <a:gd name="adj3" fmla="val 186706"/>
            <a:gd name="adj4" fmla="val -912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処理を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ⅰ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ⅱ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ⅲ...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で記載してください</a:t>
          </a:r>
        </a:p>
      </xdr:txBody>
    </xdr:sp>
    <xdr:clientData/>
  </xdr:twoCellAnchor>
  <xdr:twoCellAnchor>
    <xdr:from>
      <xdr:col>20</xdr:col>
      <xdr:colOff>152399</xdr:colOff>
      <xdr:row>43</xdr:row>
      <xdr:rowOff>66675</xdr:rowOff>
    </xdr:from>
    <xdr:to>
      <xdr:col>47</xdr:col>
      <xdr:colOff>9525</xdr:colOff>
      <xdr:row>47</xdr:row>
      <xdr:rowOff>76200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3FA5853A-552A-BD3C-CF88-743435DDE337}"/>
            </a:ext>
          </a:extLst>
        </xdr:cNvPr>
        <xdr:cNvSpPr/>
      </xdr:nvSpPr>
      <xdr:spPr>
        <a:xfrm>
          <a:off x="3390899" y="6677025"/>
          <a:ext cx="4229101" cy="619125"/>
        </a:xfrm>
        <a:prstGeom prst="borderCallout1">
          <a:avLst>
            <a:gd name="adj1" fmla="val 53873"/>
            <a:gd name="adj2" fmla="val -581"/>
            <a:gd name="adj3" fmla="val 92860"/>
            <a:gd name="adj4" fmla="val -912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登録、更新内容は、詳細を記載しているシート名を記載してください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リンク設定は任意</a:t>
          </a:r>
        </a:p>
      </xdr:txBody>
    </xdr:sp>
    <xdr:clientData/>
  </xdr:twoCellAnchor>
  <xdr:twoCellAnchor>
    <xdr:from>
      <xdr:col>23</xdr:col>
      <xdr:colOff>9525</xdr:colOff>
      <xdr:row>67</xdr:row>
      <xdr:rowOff>57150</xdr:rowOff>
    </xdr:from>
    <xdr:to>
      <xdr:col>47</xdr:col>
      <xdr:colOff>133350</xdr:colOff>
      <xdr:row>70</xdr:row>
      <xdr:rowOff>28575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2586F01E-BBFE-4490-ADF1-43D90AF5ADCE}"/>
            </a:ext>
          </a:extLst>
        </xdr:cNvPr>
        <xdr:cNvSpPr/>
      </xdr:nvSpPr>
      <xdr:spPr>
        <a:xfrm>
          <a:off x="3733800" y="10325100"/>
          <a:ext cx="4010025" cy="428625"/>
        </a:xfrm>
        <a:prstGeom prst="borderCallout1">
          <a:avLst>
            <a:gd name="adj1" fmla="val 53873"/>
            <a:gd name="adj2" fmla="val -581"/>
            <a:gd name="adj3" fmla="val 112860"/>
            <a:gd name="adj4" fmla="val -888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追加、登録など処理が分岐する場合は、明記してください。</a:t>
          </a:r>
        </a:p>
      </xdr:txBody>
    </xdr:sp>
    <xdr:clientData/>
  </xdr:twoCellAnchor>
  <xdr:twoCellAnchor>
    <xdr:from>
      <xdr:col>19</xdr:col>
      <xdr:colOff>133350</xdr:colOff>
      <xdr:row>31</xdr:row>
      <xdr:rowOff>38100</xdr:rowOff>
    </xdr:from>
    <xdr:to>
      <xdr:col>38</xdr:col>
      <xdr:colOff>114301</xdr:colOff>
      <xdr:row>33</xdr:row>
      <xdr:rowOff>85725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EF3DB75A-9F0D-5949-0452-537210371E61}"/>
            </a:ext>
          </a:extLst>
        </xdr:cNvPr>
        <xdr:cNvSpPr/>
      </xdr:nvSpPr>
      <xdr:spPr>
        <a:xfrm>
          <a:off x="3209925" y="4772025"/>
          <a:ext cx="3057526" cy="371475"/>
        </a:xfrm>
        <a:prstGeom prst="borderCallout1">
          <a:avLst>
            <a:gd name="adj1" fmla="val 53873"/>
            <a:gd name="adj2" fmla="val -581"/>
            <a:gd name="adj3" fmla="val 105681"/>
            <a:gd name="adj4" fmla="val -1784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対象のデータモデルと操作コードを記載してください</a:t>
          </a:r>
        </a:p>
      </xdr:txBody>
    </xdr:sp>
    <xdr:clientData/>
  </xdr:twoCellAnchor>
  <xdr:twoCellAnchor>
    <xdr:from>
      <xdr:col>20</xdr:col>
      <xdr:colOff>76201</xdr:colOff>
      <xdr:row>22</xdr:row>
      <xdr:rowOff>66675</xdr:rowOff>
    </xdr:from>
    <xdr:to>
      <xdr:col>41</xdr:col>
      <xdr:colOff>114300</xdr:colOff>
      <xdr:row>26</xdr:row>
      <xdr:rowOff>142874</xdr:rowOff>
    </xdr:to>
    <xdr:sp macro="" textlink="">
      <xdr:nvSpPr>
        <xdr:cNvPr id="8" name="吹き出し: 線 7">
          <a:extLst>
            <a:ext uri="{FF2B5EF4-FFF2-40B4-BE49-F238E27FC236}">
              <a16:creationId xmlns:a16="http://schemas.microsoft.com/office/drawing/2014/main" id="{471354F3-783F-2C81-B579-201DEC3720C8}"/>
            </a:ext>
          </a:extLst>
        </xdr:cNvPr>
        <xdr:cNvSpPr/>
      </xdr:nvSpPr>
      <xdr:spPr>
        <a:xfrm>
          <a:off x="3314701" y="3419475"/>
          <a:ext cx="3438524" cy="685799"/>
        </a:xfrm>
        <a:prstGeom prst="borderCallout1">
          <a:avLst>
            <a:gd name="adj1" fmla="val 35843"/>
            <a:gd name="adj2" fmla="val -886"/>
            <a:gd name="adj3" fmla="val -10736"/>
            <a:gd name="adj4" fmla="val -3532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@BACK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（画面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：画面名）」の記載にしてください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⇒実装時に設定するのは「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@BACK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」のため</a:t>
          </a:r>
        </a:p>
      </xdr:txBody>
    </xdr:sp>
    <xdr:clientData/>
  </xdr:twoCellAnchor>
  <xdr:twoCellAnchor>
    <xdr:from>
      <xdr:col>17</xdr:col>
      <xdr:colOff>57150</xdr:colOff>
      <xdr:row>98</xdr:row>
      <xdr:rowOff>0</xdr:rowOff>
    </xdr:from>
    <xdr:to>
      <xdr:col>42</xdr:col>
      <xdr:colOff>47626</xdr:colOff>
      <xdr:row>102</xdr:row>
      <xdr:rowOff>9525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B93C2EA2-8BA0-4545-9FA1-8EDD07B99473}"/>
            </a:ext>
          </a:extLst>
        </xdr:cNvPr>
        <xdr:cNvSpPr/>
      </xdr:nvSpPr>
      <xdr:spPr>
        <a:xfrm>
          <a:off x="2809875" y="14992350"/>
          <a:ext cx="4038601" cy="619125"/>
        </a:xfrm>
        <a:prstGeom prst="borderCallout1">
          <a:avLst>
            <a:gd name="adj1" fmla="val 80027"/>
            <a:gd name="adj2" fmla="val -1053"/>
            <a:gd name="adj3" fmla="val 113420"/>
            <a:gd name="adj4" fmla="val -2317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外部設計書サンプルでは「なし」と「（なし）」が混在していたため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「なし」に統一してください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27782</xdr:colOff>
          <xdr:row>0</xdr:row>
          <xdr:rowOff>63501</xdr:rowOff>
        </xdr:from>
        <xdr:to>
          <xdr:col>67</xdr:col>
          <xdr:colOff>68263</xdr:colOff>
          <xdr:row>3</xdr:row>
          <xdr:rowOff>140654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93CDB6FF-B060-4E93-8C5E-BB7CA23A8DB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ヘッダ!$A$36:$CA$39" spid="_x0000_s1252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7782" y="63501"/>
              <a:ext cx="10889456" cy="5343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38101</xdr:colOff>
      <xdr:row>0</xdr:row>
      <xdr:rowOff>152399</xdr:rowOff>
    </xdr:from>
    <xdr:to>
      <xdr:col>43</xdr:col>
      <xdr:colOff>133351</xdr:colOff>
      <xdr:row>5</xdr:row>
      <xdr:rowOff>104775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E70321A1-3D37-43CF-81D1-FC9518E6ED40}"/>
            </a:ext>
          </a:extLst>
        </xdr:cNvPr>
        <xdr:cNvSpPr/>
      </xdr:nvSpPr>
      <xdr:spPr>
        <a:xfrm>
          <a:off x="2466976" y="152399"/>
          <a:ext cx="4629150" cy="628651"/>
        </a:xfrm>
        <a:prstGeom prst="borderCallout1">
          <a:avLst>
            <a:gd name="adj1" fmla="val 73596"/>
            <a:gd name="adj2" fmla="val -829"/>
            <a:gd name="adj3" fmla="val 115653"/>
            <a:gd name="adj4" fmla="val -1009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操作コードは「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03_30_10_03_WebPerformer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ネーミング規約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.docx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」の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4-2.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データモデル＞③データモデル操作」を参照してください。</a:t>
          </a:r>
        </a:p>
      </xdr:txBody>
    </xdr:sp>
    <xdr:clientData/>
  </xdr:twoCellAnchor>
  <xdr:twoCellAnchor>
    <xdr:from>
      <xdr:col>4</xdr:col>
      <xdr:colOff>85726</xdr:colOff>
      <xdr:row>11</xdr:row>
      <xdr:rowOff>123825</xdr:rowOff>
    </xdr:from>
    <xdr:to>
      <xdr:col>26</xdr:col>
      <xdr:colOff>76200</xdr:colOff>
      <xdr:row>14</xdr:row>
      <xdr:rowOff>104775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F2D3C49-D44E-ABA6-C427-0608DDB1FBA5}"/>
            </a:ext>
          </a:extLst>
        </xdr:cNvPr>
        <xdr:cNvSpPr/>
      </xdr:nvSpPr>
      <xdr:spPr>
        <a:xfrm>
          <a:off x="733426" y="1714500"/>
          <a:ext cx="3552824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更新の場合は更新対象の項目のみ記載してください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18257</xdr:colOff>
          <xdr:row>0</xdr:row>
          <xdr:rowOff>63500</xdr:rowOff>
        </xdr:from>
        <xdr:to>
          <xdr:col>67</xdr:col>
          <xdr:colOff>149282</xdr:colOff>
          <xdr:row>3</xdr:row>
          <xdr:rowOff>146300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3A987153-CFDB-4233-80B8-915DDFA6888E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36:$CA$39" spid="_x0000_s827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57" y="63500"/>
              <a:ext cx="10980000" cy="54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38</xdr:col>
      <xdr:colOff>85724</xdr:colOff>
      <xdr:row>19</xdr:row>
      <xdr:rowOff>104775</xdr:rowOff>
    </xdr:from>
    <xdr:to>
      <xdr:col>65</xdr:col>
      <xdr:colOff>66675</xdr:colOff>
      <xdr:row>25</xdr:row>
      <xdr:rowOff>19050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19FF270C-2F50-4B86-8D81-BB12535653AE}"/>
            </a:ext>
          </a:extLst>
        </xdr:cNvPr>
        <xdr:cNvSpPr/>
      </xdr:nvSpPr>
      <xdr:spPr>
        <a:xfrm>
          <a:off x="6238874" y="2914650"/>
          <a:ext cx="4352926" cy="828675"/>
        </a:xfrm>
        <a:prstGeom prst="borderCallout1">
          <a:avLst>
            <a:gd name="adj1" fmla="val 73596"/>
            <a:gd name="adj2" fmla="val -829"/>
            <a:gd name="adj3" fmla="val 143285"/>
            <a:gd name="adj4" fmla="val -2647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登録の場合は、原則、全項目記載してください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値を登録しない項目はグレーアウトしてください。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（こちらは実際は登録対象ですが、サンプル用にグレーアウトしています）</a:t>
          </a:r>
        </a:p>
      </xdr:txBody>
    </xdr:sp>
    <xdr:clientData/>
  </xdr:twoCellAnchor>
  <xdr:twoCellAnchor>
    <xdr:from>
      <xdr:col>41</xdr:col>
      <xdr:colOff>85724</xdr:colOff>
      <xdr:row>0</xdr:row>
      <xdr:rowOff>142876</xdr:rowOff>
    </xdr:from>
    <xdr:to>
      <xdr:col>63</xdr:col>
      <xdr:colOff>57150</xdr:colOff>
      <xdr:row>5</xdr:row>
      <xdr:rowOff>104775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28E2E5C0-391D-B9C9-05F7-E9C8F9C8E48C}"/>
            </a:ext>
          </a:extLst>
        </xdr:cNvPr>
        <xdr:cNvSpPr/>
      </xdr:nvSpPr>
      <xdr:spPr>
        <a:xfrm>
          <a:off x="6724649" y="142876"/>
          <a:ext cx="3533776" cy="638174"/>
        </a:xfrm>
        <a:prstGeom prst="borderCallout1">
          <a:avLst>
            <a:gd name="adj1" fmla="val 73596"/>
            <a:gd name="adj2" fmla="val -829"/>
            <a:gd name="adj3" fmla="val 93405"/>
            <a:gd name="adj4" fmla="val -1091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実際の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に対しての操作を記載してください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（登録、更新）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27782</xdr:colOff>
          <xdr:row>0</xdr:row>
          <xdr:rowOff>63501</xdr:rowOff>
        </xdr:from>
        <xdr:to>
          <xdr:col>67</xdr:col>
          <xdr:colOff>68263</xdr:colOff>
          <xdr:row>3</xdr:row>
          <xdr:rowOff>140654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50DEBF7D-0B0D-4BF4-BADC-4854C73312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ヘッダ!$A$36:$CA$39" spid="_x0000_s1262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7782" y="63501"/>
              <a:ext cx="10889456" cy="5343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23813</xdr:colOff>
          <xdr:row>0</xdr:row>
          <xdr:rowOff>47626</xdr:rowOff>
        </xdr:from>
        <xdr:to>
          <xdr:col>64</xdr:col>
          <xdr:colOff>31013</xdr:colOff>
          <xdr:row>3</xdr:row>
          <xdr:rowOff>130174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288B57C-7CF8-416F-A489-B260C0E1376C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ヘッダ!$A$41:$CA$44" spid="_x0000_s837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3" y="47626"/>
              <a:ext cx="10980000" cy="5397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37"/>
  <sheetViews>
    <sheetView showGridLines="0" view="pageBreakPreview" zoomScaleNormal="85" zoomScaleSheetLayoutView="100" workbookViewId="0">
      <pane ySplit="7" topLeftCell="A8" activePane="bottomLeft" state="frozen"/>
      <selection pane="bottomLeft" activeCell="A8" sqref="A8"/>
    </sheetView>
  </sheetViews>
  <sheetFormatPr defaultColWidth="2.25" defaultRowHeight="15" customHeight="1"/>
  <cols>
    <col min="1" max="2" width="2.25" style="14"/>
    <col min="3" max="4" width="2.25" style="20"/>
    <col min="5" max="8" width="2.25" style="21"/>
    <col min="9" max="22" width="2.25" style="20"/>
    <col min="23" max="24" width="2.25" style="14"/>
    <col min="25" max="25" width="2.25" style="22"/>
    <col min="26" max="16384" width="2.25" style="14"/>
  </cols>
  <sheetData>
    <row r="1" spans="1:97" s="12" customFormat="1" ht="15" customHeight="1">
      <c r="A1" s="217" t="s">
        <v>0</v>
      </c>
      <c r="B1" s="208"/>
      <c r="C1" s="208"/>
      <c r="D1" s="208"/>
      <c r="E1" s="208"/>
      <c r="F1" s="208"/>
      <c r="G1" s="218"/>
      <c r="H1" s="207" t="s">
        <v>1</v>
      </c>
      <c r="I1" s="208"/>
      <c r="J1" s="208"/>
      <c r="K1" s="208"/>
      <c r="L1" s="208"/>
      <c r="M1" s="208"/>
      <c r="N1" s="218"/>
      <c r="O1" s="207" t="s">
        <v>2</v>
      </c>
      <c r="P1" s="208"/>
      <c r="Q1" s="208"/>
      <c r="R1" s="208"/>
      <c r="S1" s="208"/>
      <c r="T1" s="208"/>
      <c r="U1" s="208"/>
      <c r="V1" s="218"/>
      <c r="W1" s="221" t="s">
        <v>3</v>
      </c>
      <c r="X1" s="222"/>
      <c r="Y1" s="222"/>
      <c r="Z1" s="222"/>
      <c r="AA1" s="222"/>
      <c r="AB1" s="222"/>
      <c r="AC1" s="222"/>
      <c r="AD1" s="222"/>
      <c r="AE1" s="223"/>
      <c r="AF1" s="221" t="s">
        <v>4</v>
      </c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3"/>
      <c r="AU1" s="174" t="s">
        <v>5</v>
      </c>
      <c r="AV1" s="174"/>
      <c r="AW1" s="174"/>
      <c r="AX1" s="174"/>
      <c r="AY1" s="174"/>
      <c r="AZ1" s="174"/>
      <c r="BA1" s="174"/>
      <c r="BB1" s="174" t="s">
        <v>6</v>
      </c>
      <c r="BC1" s="174"/>
      <c r="BD1" s="174"/>
      <c r="BE1" s="174"/>
      <c r="BF1" s="174"/>
      <c r="BG1" s="174"/>
      <c r="BH1" s="174"/>
      <c r="BI1" s="174"/>
      <c r="BJ1" s="174"/>
      <c r="BK1" s="174"/>
      <c r="BL1" s="174" t="s">
        <v>7</v>
      </c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205" t="s">
        <v>8</v>
      </c>
      <c r="CJ1" s="205"/>
      <c r="CK1" s="205"/>
      <c r="CL1" s="205"/>
      <c r="CM1" s="206" t="str">
        <f>$N$8</f>
        <v>CITS李（佳）</v>
      </c>
      <c r="CN1" s="206"/>
      <c r="CO1" s="206"/>
      <c r="CP1" s="206"/>
      <c r="CQ1" s="207" t="s">
        <v>9</v>
      </c>
      <c r="CR1" s="208"/>
      <c r="CS1" s="209"/>
    </row>
    <row r="2" spans="1:97" s="12" customFormat="1" ht="15" customHeight="1">
      <c r="A2" s="219"/>
      <c r="B2" s="211"/>
      <c r="C2" s="211"/>
      <c r="D2" s="211"/>
      <c r="E2" s="211"/>
      <c r="F2" s="211"/>
      <c r="G2" s="220"/>
      <c r="H2" s="210"/>
      <c r="I2" s="211"/>
      <c r="J2" s="211"/>
      <c r="K2" s="211"/>
      <c r="L2" s="211"/>
      <c r="M2" s="211"/>
      <c r="N2" s="220"/>
      <c r="O2" s="210"/>
      <c r="P2" s="211"/>
      <c r="Q2" s="211"/>
      <c r="R2" s="211"/>
      <c r="S2" s="211"/>
      <c r="T2" s="211"/>
      <c r="U2" s="211"/>
      <c r="V2" s="220"/>
      <c r="W2" s="224"/>
      <c r="X2" s="225"/>
      <c r="Y2" s="225"/>
      <c r="Z2" s="225"/>
      <c r="AA2" s="225"/>
      <c r="AB2" s="225"/>
      <c r="AC2" s="225"/>
      <c r="AD2" s="225"/>
      <c r="AE2" s="226"/>
      <c r="AF2" s="227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9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213" t="s">
        <v>10</v>
      </c>
      <c r="CJ2" s="214"/>
      <c r="CK2" s="214"/>
      <c r="CL2" s="215"/>
      <c r="CM2" s="216">
        <f>$E$8</f>
        <v>45918</v>
      </c>
      <c r="CN2" s="216"/>
      <c r="CO2" s="216"/>
      <c r="CP2" s="216"/>
      <c r="CQ2" s="210"/>
      <c r="CR2" s="211"/>
      <c r="CS2" s="212"/>
    </row>
    <row r="3" spans="1:97" s="12" customFormat="1" ht="15" customHeight="1">
      <c r="A3" s="193" t="s">
        <v>11</v>
      </c>
      <c r="B3" s="194"/>
      <c r="C3" s="194"/>
      <c r="D3" s="194"/>
      <c r="E3" s="194"/>
      <c r="F3" s="194"/>
      <c r="G3" s="194"/>
      <c r="H3" s="197" t="s">
        <v>149</v>
      </c>
      <c r="I3" s="197"/>
      <c r="J3" s="197"/>
      <c r="K3" s="197"/>
      <c r="L3" s="197"/>
      <c r="M3" s="197"/>
      <c r="N3" s="197"/>
      <c r="O3" s="197" t="s">
        <v>524</v>
      </c>
      <c r="P3" s="197"/>
      <c r="Q3" s="197"/>
      <c r="R3" s="197"/>
      <c r="S3" s="197"/>
      <c r="T3" s="197"/>
      <c r="U3" s="197"/>
      <c r="V3" s="197"/>
      <c r="W3" s="199" t="s">
        <v>12</v>
      </c>
      <c r="X3" s="200"/>
      <c r="Y3" s="200"/>
      <c r="Z3" s="200"/>
      <c r="AA3" s="200"/>
      <c r="AB3" s="200"/>
      <c r="AC3" s="200"/>
      <c r="AD3" s="200"/>
      <c r="AE3" s="201"/>
      <c r="AF3" s="199" t="s">
        <v>150</v>
      </c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1"/>
      <c r="AU3" s="176" t="s">
        <v>151</v>
      </c>
      <c r="AV3" s="176"/>
      <c r="AW3" s="176"/>
      <c r="AX3" s="176"/>
      <c r="AY3" s="176"/>
      <c r="AZ3" s="176"/>
      <c r="BA3" s="176"/>
      <c r="BB3" s="178" t="s">
        <v>564</v>
      </c>
      <c r="BC3" s="176"/>
      <c r="BD3" s="176"/>
      <c r="BE3" s="176"/>
      <c r="BF3" s="176"/>
      <c r="BG3" s="176"/>
      <c r="BH3" s="176"/>
      <c r="BI3" s="176"/>
      <c r="BJ3" s="176"/>
      <c r="BK3" s="176"/>
      <c r="BL3" s="178" t="s">
        <v>565</v>
      </c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85" t="s">
        <v>13</v>
      </c>
      <c r="CJ3" s="185"/>
      <c r="CK3" s="185"/>
      <c r="CL3" s="185"/>
      <c r="CM3" s="186" t="str">
        <f ca="1">INDIRECT("N"&amp;(COUNTA($N$7:$N$199)+6))</f>
        <v>CITS佐藤</v>
      </c>
      <c r="CN3" s="186"/>
      <c r="CO3" s="186"/>
      <c r="CP3" s="186"/>
      <c r="CQ3" s="187">
        <f ca="1">INDIRECT("B"&amp;(COUNTA($B$7:$B$199)+6))</f>
        <v>1</v>
      </c>
      <c r="CR3" s="187"/>
      <c r="CS3" s="188"/>
    </row>
    <row r="4" spans="1:97" s="12" customFormat="1" ht="15" customHeight="1" thickBot="1">
      <c r="A4" s="195"/>
      <c r="B4" s="196"/>
      <c r="C4" s="196"/>
      <c r="D4" s="196"/>
      <c r="E4" s="196"/>
      <c r="F4" s="196"/>
      <c r="G4" s="196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202"/>
      <c r="X4" s="203"/>
      <c r="Y4" s="203"/>
      <c r="Z4" s="203"/>
      <c r="AA4" s="203"/>
      <c r="AB4" s="203"/>
      <c r="AC4" s="203"/>
      <c r="AD4" s="203"/>
      <c r="AE4" s="204"/>
      <c r="AF4" s="202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4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/>
      <c r="BU4" s="177"/>
      <c r="BV4" s="177"/>
      <c r="BW4" s="177"/>
      <c r="BX4" s="177"/>
      <c r="BY4" s="177"/>
      <c r="BZ4" s="177"/>
      <c r="CA4" s="177"/>
      <c r="CB4" s="177"/>
      <c r="CC4" s="177"/>
      <c r="CD4" s="177"/>
      <c r="CE4" s="177"/>
      <c r="CF4" s="177"/>
      <c r="CG4" s="177"/>
      <c r="CH4" s="177"/>
      <c r="CI4" s="191" t="s">
        <v>14</v>
      </c>
      <c r="CJ4" s="191"/>
      <c r="CK4" s="191"/>
      <c r="CL4" s="191"/>
      <c r="CM4" s="192">
        <f ca="1">INDIRECT("E"&amp;(COUNTA($E$7:$E$199)+6))</f>
        <v>46055</v>
      </c>
      <c r="CN4" s="192"/>
      <c r="CO4" s="192"/>
      <c r="CP4" s="192"/>
      <c r="CQ4" s="189"/>
      <c r="CR4" s="189"/>
      <c r="CS4" s="190"/>
    </row>
    <row r="5" spans="1:97" ht="15" customHeight="1">
      <c r="A5" s="12"/>
      <c r="B5" s="12"/>
      <c r="C5" s="12"/>
      <c r="D5" s="12"/>
      <c r="E5" s="13"/>
      <c r="F5" s="13"/>
      <c r="G5" s="13"/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97" ht="15" customHeight="1">
      <c r="A6" s="12"/>
      <c r="B6" s="15" t="s">
        <v>15</v>
      </c>
      <c r="C6" s="15"/>
      <c r="D6" s="15"/>
      <c r="E6" s="16"/>
      <c r="F6" s="16"/>
      <c r="G6" s="16"/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97" ht="15" customHeight="1">
      <c r="A7" s="12"/>
      <c r="B7" s="179" t="s">
        <v>16</v>
      </c>
      <c r="C7" s="180"/>
      <c r="D7" s="181"/>
      <c r="E7" s="182" t="s">
        <v>17</v>
      </c>
      <c r="F7" s="183"/>
      <c r="G7" s="183"/>
      <c r="H7" s="183"/>
      <c r="I7" s="183"/>
      <c r="J7" s="183"/>
      <c r="K7" s="183"/>
      <c r="L7" s="183"/>
      <c r="M7" s="184"/>
      <c r="N7" s="179" t="s">
        <v>8</v>
      </c>
      <c r="O7" s="180"/>
      <c r="P7" s="180"/>
      <c r="Q7" s="180"/>
      <c r="R7" s="180"/>
      <c r="S7" s="181"/>
      <c r="T7" s="17" t="s">
        <v>18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9"/>
      <c r="AK7" s="17" t="s">
        <v>19</v>
      </c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9"/>
    </row>
    <row r="8" spans="1:97" ht="15" customHeight="1">
      <c r="A8" s="12"/>
      <c r="B8" s="162">
        <v>0.1</v>
      </c>
      <c r="C8" s="163"/>
      <c r="D8" s="164"/>
      <c r="E8" s="165">
        <v>45918</v>
      </c>
      <c r="F8" s="166"/>
      <c r="G8" s="166"/>
      <c r="H8" s="166"/>
      <c r="I8" s="166"/>
      <c r="J8" s="166"/>
      <c r="K8" s="166"/>
      <c r="L8" s="166"/>
      <c r="M8" s="167"/>
      <c r="N8" s="168" t="s">
        <v>581</v>
      </c>
      <c r="O8" s="169"/>
      <c r="P8" s="169"/>
      <c r="Q8" s="169"/>
      <c r="R8" s="169"/>
      <c r="S8" s="170"/>
      <c r="T8" s="171" t="s">
        <v>147</v>
      </c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3"/>
      <c r="AK8" s="171" t="s">
        <v>148</v>
      </c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3"/>
    </row>
    <row r="9" spans="1:97" ht="14.25">
      <c r="A9" s="12"/>
      <c r="B9" s="162">
        <v>0.2</v>
      </c>
      <c r="C9" s="163"/>
      <c r="D9" s="164"/>
      <c r="E9" s="165">
        <v>46001</v>
      </c>
      <c r="F9" s="166"/>
      <c r="G9" s="166"/>
      <c r="H9" s="166"/>
      <c r="I9" s="166"/>
      <c r="J9" s="166"/>
      <c r="K9" s="166"/>
      <c r="L9" s="166"/>
      <c r="M9" s="167"/>
      <c r="N9" s="168" t="s">
        <v>581</v>
      </c>
      <c r="O9" s="169"/>
      <c r="P9" s="169"/>
      <c r="Q9" s="169"/>
      <c r="R9" s="169"/>
      <c r="S9" s="170"/>
      <c r="T9" s="171" t="s">
        <v>147</v>
      </c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3"/>
      <c r="AK9" s="171" t="s">
        <v>582</v>
      </c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3"/>
    </row>
    <row r="10" spans="1:97" ht="15" customHeight="1">
      <c r="A10" s="12"/>
      <c r="B10" s="162">
        <v>1</v>
      </c>
      <c r="C10" s="163"/>
      <c r="D10" s="164"/>
      <c r="E10" s="165">
        <v>46055</v>
      </c>
      <c r="F10" s="166"/>
      <c r="G10" s="166"/>
      <c r="H10" s="166"/>
      <c r="I10" s="166"/>
      <c r="J10" s="166"/>
      <c r="K10" s="166"/>
      <c r="L10" s="166"/>
      <c r="M10" s="167"/>
      <c r="N10" s="168" t="s">
        <v>563</v>
      </c>
      <c r="O10" s="169"/>
      <c r="P10" s="169"/>
      <c r="Q10" s="169"/>
      <c r="R10" s="169"/>
      <c r="S10" s="170"/>
      <c r="T10" s="171" t="s">
        <v>147</v>
      </c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3"/>
      <c r="AK10" s="171" t="s">
        <v>583</v>
      </c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3"/>
    </row>
    <row r="11" spans="1:97" ht="15" customHeight="1">
      <c r="A11" s="12"/>
      <c r="B11" s="162"/>
      <c r="C11" s="163"/>
      <c r="D11" s="164"/>
      <c r="E11" s="165"/>
      <c r="F11" s="166"/>
      <c r="G11" s="166"/>
      <c r="H11" s="166"/>
      <c r="I11" s="166"/>
      <c r="J11" s="166"/>
      <c r="K11" s="166"/>
      <c r="L11" s="166"/>
      <c r="M11" s="167"/>
      <c r="N11" s="168"/>
      <c r="O11" s="169"/>
      <c r="P11" s="169"/>
      <c r="Q11" s="169"/>
      <c r="R11" s="169"/>
      <c r="S11" s="170"/>
      <c r="T11" s="171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3"/>
      <c r="AK11" s="171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3"/>
    </row>
    <row r="12" spans="1:97" ht="15" customHeight="1">
      <c r="A12" s="12"/>
      <c r="B12" s="162"/>
      <c r="C12" s="163"/>
      <c r="D12" s="164"/>
      <c r="E12" s="165"/>
      <c r="F12" s="166"/>
      <c r="G12" s="166"/>
      <c r="H12" s="166"/>
      <c r="I12" s="166"/>
      <c r="J12" s="166"/>
      <c r="K12" s="166"/>
      <c r="L12" s="166"/>
      <c r="M12" s="167"/>
      <c r="N12" s="168"/>
      <c r="O12" s="169"/>
      <c r="P12" s="169"/>
      <c r="Q12" s="169"/>
      <c r="R12" s="169"/>
      <c r="S12" s="170"/>
      <c r="T12" s="171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3"/>
      <c r="AK12" s="171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3"/>
    </row>
    <row r="13" spans="1:97" ht="15" customHeight="1">
      <c r="A13" s="12"/>
      <c r="B13" s="162"/>
      <c r="C13" s="163"/>
      <c r="D13" s="164"/>
      <c r="E13" s="165"/>
      <c r="F13" s="166"/>
      <c r="G13" s="166"/>
      <c r="H13" s="166"/>
      <c r="I13" s="166"/>
      <c r="J13" s="166"/>
      <c r="K13" s="166"/>
      <c r="L13" s="166"/>
      <c r="M13" s="167"/>
      <c r="N13" s="168"/>
      <c r="O13" s="169"/>
      <c r="P13" s="169"/>
      <c r="Q13" s="169"/>
      <c r="R13" s="169"/>
      <c r="S13" s="170"/>
      <c r="T13" s="171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3"/>
      <c r="AK13" s="171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3"/>
    </row>
    <row r="14" spans="1:97" ht="15" customHeight="1">
      <c r="A14" s="12"/>
      <c r="B14" s="162"/>
      <c r="C14" s="163"/>
      <c r="D14" s="164"/>
      <c r="E14" s="165"/>
      <c r="F14" s="166"/>
      <c r="G14" s="166"/>
      <c r="H14" s="166"/>
      <c r="I14" s="166"/>
      <c r="J14" s="166"/>
      <c r="K14" s="166"/>
      <c r="L14" s="166"/>
      <c r="M14" s="167"/>
      <c r="N14" s="168"/>
      <c r="O14" s="169"/>
      <c r="P14" s="169"/>
      <c r="Q14" s="169"/>
      <c r="R14" s="169"/>
      <c r="S14" s="170"/>
      <c r="T14" s="171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3"/>
      <c r="AK14" s="171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3"/>
    </row>
    <row r="15" spans="1:97" ht="15" customHeight="1">
      <c r="A15" s="12"/>
      <c r="B15" s="162"/>
      <c r="C15" s="163"/>
      <c r="D15" s="164"/>
      <c r="E15" s="165"/>
      <c r="F15" s="166"/>
      <c r="G15" s="166"/>
      <c r="H15" s="166"/>
      <c r="I15" s="166"/>
      <c r="J15" s="166"/>
      <c r="K15" s="166"/>
      <c r="L15" s="166"/>
      <c r="M15" s="167"/>
      <c r="N15" s="168"/>
      <c r="O15" s="169"/>
      <c r="P15" s="169"/>
      <c r="Q15" s="169"/>
      <c r="R15" s="169"/>
      <c r="S15" s="170"/>
      <c r="T15" s="171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3"/>
      <c r="AK15" s="171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3"/>
    </row>
    <row r="16" spans="1:97" ht="15" customHeight="1">
      <c r="A16" s="12"/>
      <c r="B16" s="162"/>
      <c r="C16" s="163"/>
      <c r="D16" s="164"/>
      <c r="E16" s="165"/>
      <c r="F16" s="166"/>
      <c r="G16" s="166"/>
      <c r="H16" s="166"/>
      <c r="I16" s="166"/>
      <c r="J16" s="166"/>
      <c r="K16" s="166"/>
      <c r="L16" s="166"/>
      <c r="M16" s="167"/>
      <c r="N16" s="168"/>
      <c r="O16" s="169"/>
      <c r="P16" s="169"/>
      <c r="Q16" s="169"/>
      <c r="R16" s="169"/>
      <c r="S16" s="170"/>
      <c r="T16" s="171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3"/>
      <c r="AK16" s="171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3"/>
    </row>
    <row r="17" spans="1:95" ht="15" customHeight="1">
      <c r="A17" s="12"/>
      <c r="B17" s="162"/>
      <c r="C17" s="163"/>
      <c r="D17" s="164"/>
      <c r="E17" s="165"/>
      <c r="F17" s="166"/>
      <c r="G17" s="166"/>
      <c r="H17" s="166"/>
      <c r="I17" s="166"/>
      <c r="J17" s="166"/>
      <c r="K17" s="166"/>
      <c r="L17" s="166"/>
      <c r="M17" s="167"/>
      <c r="N17" s="168"/>
      <c r="O17" s="169"/>
      <c r="P17" s="169"/>
      <c r="Q17" s="169"/>
      <c r="R17" s="169"/>
      <c r="S17" s="170"/>
      <c r="T17" s="171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3"/>
      <c r="AK17" s="171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3"/>
    </row>
    <row r="18" spans="1:95" ht="15" customHeight="1">
      <c r="A18" s="12"/>
      <c r="B18" s="162"/>
      <c r="C18" s="163"/>
      <c r="D18" s="164"/>
      <c r="E18" s="165"/>
      <c r="F18" s="166"/>
      <c r="G18" s="166"/>
      <c r="H18" s="166"/>
      <c r="I18" s="166"/>
      <c r="J18" s="166"/>
      <c r="K18" s="166"/>
      <c r="L18" s="166"/>
      <c r="M18" s="167"/>
      <c r="N18" s="168"/>
      <c r="O18" s="169"/>
      <c r="P18" s="169"/>
      <c r="Q18" s="169"/>
      <c r="R18" s="169"/>
      <c r="S18" s="170"/>
      <c r="T18" s="171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3"/>
      <c r="AK18" s="171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3"/>
    </row>
    <row r="19" spans="1:95" ht="15" customHeight="1">
      <c r="A19" s="12"/>
      <c r="B19" s="162"/>
      <c r="C19" s="163"/>
      <c r="D19" s="164"/>
      <c r="E19" s="165"/>
      <c r="F19" s="166"/>
      <c r="G19" s="166"/>
      <c r="H19" s="166"/>
      <c r="I19" s="166"/>
      <c r="J19" s="166"/>
      <c r="K19" s="166"/>
      <c r="L19" s="166"/>
      <c r="M19" s="167"/>
      <c r="N19" s="168"/>
      <c r="O19" s="169"/>
      <c r="P19" s="169"/>
      <c r="Q19" s="169"/>
      <c r="R19" s="169"/>
      <c r="S19" s="170"/>
      <c r="T19" s="171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3"/>
      <c r="AK19" s="171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3"/>
    </row>
    <row r="20" spans="1:95" ht="15" customHeight="1">
      <c r="A20" s="12"/>
      <c r="B20" s="162"/>
      <c r="C20" s="163"/>
      <c r="D20" s="164"/>
      <c r="E20" s="165"/>
      <c r="F20" s="166"/>
      <c r="G20" s="166"/>
      <c r="H20" s="166"/>
      <c r="I20" s="166"/>
      <c r="J20" s="166"/>
      <c r="K20" s="166"/>
      <c r="L20" s="166"/>
      <c r="M20" s="167"/>
      <c r="N20" s="168"/>
      <c r="O20" s="169"/>
      <c r="P20" s="169"/>
      <c r="Q20" s="169"/>
      <c r="R20" s="169"/>
      <c r="S20" s="170"/>
      <c r="T20" s="171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3"/>
      <c r="AK20" s="171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3"/>
    </row>
    <row r="21" spans="1:95" ht="15" customHeight="1">
      <c r="A21" s="12"/>
      <c r="B21" s="162"/>
      <c r="C21" s="163"/>
      <c r="D21" s="164"/>
      <c r="E21" s="165"/>
      <c r="F21" s="166"/>
      <c r="G21" s="166"/>
      <c r="H21" s="166"/>
      <c r="I21" s="166"/>
      <c r="J21" s="166"/>
      <c r="K21" s="166"/>
      <c r="L21" s="166"/>
      <c r="M21" s="167"/>
      <c r="N21" s="168"/>
      <c r="O21" s="169"/>
      <c r="P21" s="169"/>
      <c r="Q21" s="169"/>
      <c r="R21" s="169"/>
      <c r="S21" s="170"/>
      <c r="T21" s="171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3"/>
      <c r="AK21" s="171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3"/>
    </row>
    <row r="22" spans="1:95" ht="15" customHeight="1">
      <c r="A22" s="12"/>
      <c r="B22" s="162"/>
      <c r="C22" s="163"/>
      <c r="D22" s="164"/>
      <c r="E22" s="165"/>
      <c r="F22" s="166"/>
      <c r="G22" s="166"/>
      <c r="H22" s="166"/>
      <c r="I22" s="166"/>
      <c r="J22" s="166"/>
      <c r="K22" s="166"/>
      <c r="L22" s="166"/>
      <c r="M22" s="167"/>
      <c r="N22" s="168"/>
      <c r="O22" s="169"/>
      <c r="P22" s="169"/>
      <c r="Q22" s="169"/>
      <c r="R22" s="169"/>
      <c r="S22" s="170"/>
      <c r="T22" s="171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3"/>
      <c r="AK22" s="171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3"/>
    </row>
    <row r="23" spans="1:95" ht="15" customHeight="1">
      <c r="A23" s="12"/>
      <c r="B23" s="162"/>
      <c r="C23" s="163"/>
      <c r="D23" s="164"/>
      <c r="E23" s="165"/>
      <c r="F23" s="166"/>
      <c r="G23" s="166"/>
      <c r="H23" s="166"/>
      <c r="I23" s="166"/>
      <c r="J23" s="166"/>
      <c r="K23" s="166"/>
      <c r="L23" s="166"/>
      <c r="M23" s="167"/>
      <c r="N23" s="168"/>
      <c r="O23" s="169"/>
      <c r="P23" s="169"/>
      <c r="Q23" s="169"/>
      <c r="R23" s="169"/>
      <c r="S23" s="170"/>
      <c r="T23" s="171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3"/>
      <c r="AK23" s="171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3"/>
    </row>
    <row r="24" spans="1:95" ht="15" customHeight="1">
      <c r="A24" s="12"/>
      <c r="B24" s="162"/>
      <c r="C24" s="163"/>
      <c r="D24" s="164"/>
      <c r="E24" s="165"/>
      <c r="F24" s="166"/>
      <c r="G24" s="166"/>
      <c r="H24" s="166"/>
      <c r="I24" s="166"/>
      <c r="J24" s="166"/>
      <c r="K24" s="166"/>
      <c r="L24" s="166"/>
      <c r="M24" s="167"/>
      <c r="N24" s="168"/>
      <c r="O24" s="169"/>
      <c r="P24" s="169"/>
      <c r="Q24" s="169"/>
      <c r="R24" s="169"/>
      <c r="S24" s="170"/>
      <c r="T24" s="171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3"/>
      <c r="AK24" s="171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3"/>
    </row>
    <row r="25" spans="1:95" ht="15" customHeight="1">
      <c r="A25" s="12"/>
      <c r="B25" s="162"/>
      <c r="C25" s="163"/>
      <c r="D25" s="164"/>
      <c r="E25" s="165"/>
      <c r="F25" s="166"/>
      <c r="G25" s="166"/>
      <c r="H25" s="166"/>
      <c r="I25" s="166"/>
      <c r="J25" s="166"/>
      <c r="K25" s="166"/>
      <c r="L25" s="166"/>
      <c r="M25" s="167"/>
      <c r="N25" s="168"/>
      <c r="O25" s="169"/>
      <c r="P25" s="169"/>
      <c r="Q25" s="169"/>
      <c r="R25" s="169"/>
      <c r="S25" s="170"/>
      <c r="T25" s="171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3"/>
      <c r="AK25" s="171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3"/>
    </row>
    <row r="26" spans="1:95" ht="15" customHeight="1">
      <c r="A26" s="12"/>
      <c r="B26" s="162"/>
      <c r="C26" s="163"/>
      <c r="D26" s="164"/>
      <c r="E26" s="165"/>
      <c r="F26" s="166"/>
      <c r="G26" s="166"/>
      <c r="H26" s="166"/>
      <c r="I26" s="166"/>
      <c r="J26" s="166"/>
      <c r="K26" s="166"/>
      <c r="L26" s="166"/>
      <c r="M26" s="167"/>
      <c r="N26" s="168"/>
      <c r="O26" s="169"/>
      <c r="P26" s="169"/>
      <c r="Q26" s="169"/>
      <c r="R26" s="169"/>
      <c r="S26" s="170"/>
      <c r="T26" s="171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3"/>
      <c r="AK26" s="171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3"/>
    </row>
    <row r="27" spans="1:95" ht="15" customHeight="1">
      <c r="A27" s="12"/>
      <c r="B27" s="162"/>
      <c r="C27" s="163"/>
      <c r="D27" s="164"/>
      <c r="E27" s="165"/>
      <c r="F27" s="166"/>
      <c r="G27" s="166"/>
      <c r="H27" s="166"/>
      <c r="I27" s="166"/>
      <c r="J27" s="166"/>
      <c r="K27" s="166"/>
      <c r="L27" s="166"/>
      <c r="M27" s="167"/>
      <c r="N27" s="168"/>
      <c r="O27" s="169"/>
      <c r="P27" s="169"/>
      <c r="Q27" s="169"/>
      <c r="R27" s="169"/>
      <c r="S27" s="170"/>
      <c r="T27" s="171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3"/>
      <c r="AK27" s="171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3"/>
    </row>
    <row r="28" spans="1:95" ht="15" customHeight="1">
      <c r="A28" s="12"/>
      <c r="B28" s="162"/>
      <c r="C28" s="163"/>
      <c r="D28" s="164"/>
      <c r="E28" s="165"/>
      <c r="F28" s="166"/>
      <c r="G28" s="166"/>
      <c r="H28" s="166"/>
      <c r="I28" s="166"/>
      <c r="J28" s="166"/>
      <c r="K28" s="166"/>
      <c r="L28" s="166"/>
      <c r="M28" s="167"/>
      <c r="N28" s="168"/>
      <c r="O28" s="169"/>
      <c r="P28" s="169"/>
      <c r="Q28" s="169"/>
      <c r="R28" s="169"/>
      <c r="S28" s="170"/>
      <c r="T28" s="171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3"/>
      <c r="AK28" s="171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3"/>
    </row>
    <row r="29" spans="1:95" ht="15" customHeight="1">
      <c r="A29" s="12"/>
      <c r="B29" s="162"/>
      <c r="C29" s="163"/>
      <c r="D29" s="164"/>
      <c r="E29" s="165"/>
      <c r="F29" s="166"/>
      <c r="G29" s="166"/>
      <c r="H29" s="166"/>
      <c r="I29" s="166"/>
      <c r="J29" s="166"/>
      <c r="K29" s="166"/>
      <c r="L29" s="166"/>
      <c r="M29" s="167"/>
      <c r="N29" s="168"/>
      <c r="O29" s="169"/>
      <c r="P29" s="169"/>
      <c r="Q29" s="169"/>
      <c r="R29" s="169"/>
      <c r="S29" s="170"/>
      <c r="T29" s="171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3"/>
      <c r="AK29" s="171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3"/>
    </row>
    <row r="30" spans="1:95" ht="15" customHeight="1">
      <c r="A30" s="12"/>
      <c r="B30" s="162"/>
      <c r="C30" s="163"/>
      <c r="D30" s="164"/>
      <c r="E30" s="165"/>
      <c r="F30" s="166"/>
      <c r="G30" s="166"/>
      <c r="H30" s="166"/>
      <c r="I30" s="166"/>
      <c r="J30" s="166"/>
      <c r="K30" s="166"/>
      <c r="L30" s="166"/>
      <c r="M30" s="167"/>
      <c r="N30" s="168"/>
      <c r="O30" s="169"/>
      <c r="P30" s="169"/>
      <c r="Q30" s="169"/>
      <c r="R30" s="169"/>
      <c r="S30" s="170"/>
      <c r="T30" s="171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3"/>
      <c r="AK30" s="171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3"/>
    </row>
    <row r="31" spans="1:95" ht="15" customHeight="1">
      <c r="A31" s="12"/>
      <c r="B31" s="162"/>
      <c r="C31" s="163"/>
      <c r="D31" s="164"/>
      <c r="E31" s="165"/>
      <c r="F31" s="166"/>
      <c r="G31" s="166"/>
      <c r="H31" s="166"/>
      <c r="I31" s="166"/>
      <c r="J31" s="166"/>
      <c r="K31" s="166"/>
      <c r="L31" s="166"/>
      <c r="M31" s="167"/>
      <c r="N31" s="168"/>
      <c r="O31" s="169"/>
      <c r="P31" s="169"/>
      <c r="Q31" s="169"/>
      <c r="R31" s="169"/>
      <c r="S31" s="170"/>
      <c r="T31" s="171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3"/>
      <c r="AK31" s="171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3"/>
    </row>
    <row r="32" spans="1:95" ht="15" customHeight="1">
      <c r="A32" s="12"/>
      <c r="B32" s="162"/>
      <c r="C32" s="163"/>
      <c r="D32" s="164"/>
      <c r="E32" s="165"/>
      <c r="F32" s="166"/>
      <c r="G32" s="166"/>
      <c r="H32" s="166"/>
      <c r="I32" s="166"/>
      <c r="J32" s="166"/>
      <c r="K32" s="166"/>
      <c r="L32" s="166"/>
      <c r="M32" s="167"/>
      <c r="N32" s="168"/>
      <c r="O32" s="169"/>
      <c r="P32" s="169"/>
      <c r="Q32" s="169"/>
      <c r="R32" s="169"/>
      <c r="S32" s="170"/>
      <c r="T32" s="171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3"/>
      <c r="AK32" s="171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3"/>
    </row>
    <row r="33" spans="1:95" ht="15" customHeight="1">
      <c r="A33" s="12"/>
      <c r="B33" s="162"/>
      <c r="C33" s="163"/>
      <c r="D33" s="164"/>
      <c r="E33" s="165"/>
      <c r="F33" s="166"/>
      <c r="G33" s="166"/>
      <c r="H33" s="166"/>
      <c r="I33" s="166"/>
      <c r="J33" s="166"/>
      <c r="K33" s="166"/>
      <c r="L33" s="166"/>
      <c r="M33" s="167"/>
      <c r="N33" s="168"/>
      <c r="O33" s="169"/>
      <c r="P33" s="169"/>
      <c r="Q33" s="169"/>
      <c r="R33" s="169"/>
      <c r="S33" s="170"/>
      <c r="T33" s="171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3"/>
      <c r="AK33" s="171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3"/>
    </row>
    <row r="34" spans="1:95" ht="15" customHeight="1">
      <c r="A34" s="12"/>
      <c r="B34" s="162"/>
      <c r="C34" s="163"/>
      <c r="D34" s="164"/>
      <c r="E34" s="165"/>
      <c r="F34" s="166"/>
      <c r="G34" s="166"/>
      <c r="H34" s="166"/>
      <c r="I34" s="166"/>
      <c r="J34" s="166"/>
      <c r="K34" s="166"/>
      <c r="L34" s="166"/>
      <c r="M34" s="167"/>
      <c r="N34" s="168"/>
      <c r="O34" s="169"/>
      <c r="P34" s="169"/>
      <c r="Q34" s="169"/>
      <c r="R34" s="169"/>
      <c r="S34" s="170"/>
      <c r="T34" s="171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3"/>
      <c r="AK34" s="171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3"/>
    </row>
    <row r="35" spans="1:95" ht="15" customHeight="1">
      <c r="A35" s="12"/>
      <c r="B35" s="162"/>
      <c r="C35" s="163"/>
      <c r="D35" s="164"/>
      <c r="E35" s="165"/>
      <c r="F35" s="166"/>
      <c r="G35" s="166"/>
      <c r="H35" s="166"/>
      <c r="I35" s="166"/>
      <c r="J35" s="166"/>
      <c r="K35" s="166"/>
      <c r="L35" s="166"/>
      <c r="M35" s="167"/>
      <c r="N35" s="168"/>
      <c r="O35" s="169"/>
      <c r="P35" s="169"/>
      <c r="Q35" s="169"/>
      <c r="R35" s="169"/>
      <c r="S35" s="170"/>
      <c r="T35" s="171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3"/>
      <c r="AK35" s="171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3"/>
    </row>
    <row r="36" spans="1:95" ht="15" customHeight="1">
      <c r="A36" s="12"/>
      <c r="B36" s="162"/>
      <c r="C36" s="163"/>
      <c r="D36" s="164"/>
      <c r="E36" s="165"/>
      <c r="F36" s="166"/>
      <c r="G36" s="166"/>
      <c r="H36" s="166"/>
      <c r="I36" s="166"/>
      <c r="J36" s="166"/>
      <c r="K36" s="166"/>
      <c r="L36" s="166"/>
      <c r="M36" s="167"/>
      <c r="N36" s="168"/>
      <c r="O36" s="169"/>
      <c r="P36" s="169"/>
      <c r="Q36" s="169"/>
      <c r="R36" s="169"/>
      <c r="S36" s="170"/>
      <c r="T36" s="171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3"/>
      <c r="AK36" s="171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3"/>
    </row>
    <row r="37" spans="1:95" ht="15" customHeight="1">
      <c r="A37" s="12"/>
      <c r="B37" s="12"/>
      <c r="C37" s="12"/>
      <c r="D37" s="12"/>
      <c r="E37" s="13"/>
      <c r="F37" s="13"/>
      <c r="G37" s="13"/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</sheetData>
  <mergeCells count="174">
    <mergeCell ref="BL1:CH2"/>
    <mergeCell ref="CI1:CL1"/>
    <mergeCell ref="CM1:CP1"/>
    <mergeCell ref="CQ1:CS2"/>
    <mergeCell ref="CI2:CL2"/>
    <mergeCell ref="CM2:CP2"/>
    <mergeCell ref="A1:G2"/>
    <mergeCell ref="H1:N2"/>
    <mergeCell ref="O1:V2"/>
    <mergeCell ref="W1:AE2"/>
    <mergeCell ref="AF1:AT2"/>
    <mergeCell ref="BL3:CH4"/>
    <mergeCell ref="CI3:CL3"/>
    <mergeCell ref="CM3:CP3"/>
    <mergeCell ref="CQ3:CS4"/>
    <mergeCell ref="CI4:CL4"/>
    <mergeCell ref="CM4:CP4"/>
    <mergeCell ref="A3:G4"/>
    <mergeCell ref="H3:N4"/>
    <mergeCell ref="O3:V4"/>
    <mergeCell ref="W3:AE4"/>
    <mergeCell ref="AF3:AT4"/>
    <mergeCell ref="T8:AJ8"/>
    <mergeCell ref="AK8:CQ8"/>
    <mergeCell ref="B9:D9"/>
    <mergeCell ref="E9:M9"/>
    <mergeCell ref="N9:S9"/>
    <mergeCell ref="T9:AJ9"/>
    <mergeCell ref="AK9:CQ9"/>
    <mergeCell ref="B7:D7"/>
    <mergeCell ref="E7:M7"/>
    <mergeCell ref="N7:S7"/>
    <mergeCell ref="B8:D8"/>
    <mergeCell ref="E8:M8"/>
    <mergeCell ref="N8:S8"/>
    <mergeCell ref="B10:D10"/>
    <mergeCell ref="E10:M10"/>
    <mergeCell ref="N10:S10"/>
    <mergeCell ref="T10:AJ10"/>
    <mergeCell ref="AK10:CQ10"/>
    <mergeCell ref="B11:D11"/>
    <mergeCell ref="E11:M11"/>
    <mergeCell ref="N11:S11"/>
    <mergeCell ref="T11:AJ11"/>
    <mergeCell ref="AK11:CQ11"/>
    <mergeCell ref="B12:D12"/>
    <mergeCell ref="E12:M12"/>
    <mergeCell ref="N12:S12"/>
    <mergeCell ref="T12:AJ12"/>
    <mergeCell ref="AK12:CQ12"/>
    <mergeCell ref="B13:D13"/>
    <mergeCell ref="E13:M13"/>
    <mergeCell ref="N13:S13"/>
    <mergeCell ref="T13:AJ13"/>
    <mergeCell ref="AK13:CQ13"/>
    <mergeCell ref="B14:D14"/>
    <mergeCell ref="E14:M14"/>
    <mergeCell ref="N14:S14"/>
    <mergeCell ref="T14:AJ14"/>
    <mergeCell ref="AK14:CQ14"/>
    <mergeCell ref="B15:D15"/>
    <mergeCell ref="E15:M15"/>
    <mergeCell ref="N15:S15"/>
    <mergeCell ref="T15:AJ15"/>
    <mergeCell ref="AK15:CQ15"/>
    <mergeCell ref="B16:D16"/>
    <mergeCell ref="E16:M16"/>
    <mergeCell ref="N16:S16"/>
    <mergeCell ref="T16:AJ16"/>
    <mergeCell ref="AK16:CQ16"/>
    <mergeCell ref="B17:D17"/>
    <mergeCell ref="E17:M17"/>
    <mergeCell ref="N17:S17"/>
    <mergeCell ref="T17:AJ17"/>
    <mergeCell ref="AK17:CQ17"/>
    <mergeCell ref="B18:D18"/>
    <mergeCell ref="E18:M18"/>
    <mergeCell ref="N18:S18"/>
    <mergeCell ref="T18:AJ18"/>
    <mergeCell ref="AK18:CQ18"/>
    <mergeCell ref="B19:D19"/>
    <mergeCell ref="E19:M19"/>
    <mergeCell ref="N19:S19"/>
    <mergeCell ref="T19:AJ19"/>
    <mergeCell ref="AK19:CQ19"/>
    <mergeCell ref="B20:D20"/>
    <mergeCell ref="E20:M20"/>
    <mergeCell ref="N20:S20"/>
    <mergeCell ref="T20:AJ20"/>
    <mergeCell ref="AK20:CQ20"/>
    <mergeCell ref="B21:D21"/>
    <mergeCell ref="E21:M21"/>
    <mergeCell ref="N21:S21"/>
    <mergeCell ref="T21:AJ21"/>
    <mergeCell ref="AK21:CQ21"/>
    <mergeCell ref="B22:D22"/>
    <mergeCell ref="E22:M22"/>
    <mergeCell ref="N22:S22"/>
    <mergeCell ref="T22:AJ22"/>
    <mergeCell ref="AK22:CQ22"/>
    <mergeCell ref="B23:D23"/>
    <mergeCell ref="E23:M23"/>
    <mergeCell ref="N23:S23"/>
    <mergeCell ref="T23:AJ23"/>
    <mergeCell ref="AK23:CQ23"/>
    <mergeCell ref="B24:D24"/>
    <mergeCell ref="E24:M24"/>
    <mergeCell ref="N24:S24"/>
    <mergeCell ref="T24:AJ24"/>
    <mergeCell ref="AK24:CQ24"/>
    <mergeCell ref="B25:D25"/>
    <mergeCell ref="E25:M25"/>
    <mergeCell ref="N25:S25"/>
    <mergeCell ref="T25:AJ25"/>
    <mergeCell ref="AK25:CQ25"/>
    <mergeCell ref="B26:D26"/>
    <mergeCell ref="E26:M26"/>
    <mergeCell ref="N26:S26"/>
    <mergeCell ref="T26:AJ26"/>
    <mergeCell ref="AK26:CQ26"/>
    <mergeCell ref="B27:D27"/>
    <mergeCell ref="E27:M27"/>
    <mergeCell ref="N27:S27"/>
    <mergeCell ref="T27:AJ27"/>
    <mergeCell ref="AK27:CQ27"/>
    <mergeCell ref="B28:D28"/>
    <mergeCell ref="E28:M28"/>
    <mergeCell ref="N28:S28"/>
    <mergeCell ref="T28:AJ28"/>
    <mergeCell ref="AK28:CQ28"/>
    <mergeCell ref="B29:D29"/>
    <mergeCell ref="E29:M29"/>
    <mergeCell ref="N29:S29"/>
    <mergeCell ref="T29:AJ29"/>
    <mergeCell ref="AK29:CQ29"/>
    <mergeCell ref="B33:D33"/>
    <mergeCell ref="E33:M33"/>
    <mergeCell ref="N33:S33"/>
    <mergeCell ref="T33:AJ33"/>
    <mergeCell ref="AK33:CQ33"/>
    <mergeCell ref="B30:D30"/>
    <mergeCell ref="E30:M30"/>
    <mergeCell ref="N30:S30"/>
    <mergeCell ref="T30:AJ30"/>
    <mergeCell ref="AK30:CQ30"/>
    <mergeCell ref="B31:D31"/>
    <mergeCell ref="E31:M31"/>
    <mergeCell ref="N31:S31"/>
    <mergeCell ref="T31:AJ31"/>
    <mergeCell ref="AK31:CQ31"/>
    <mergeCell ref="B36:D36"/>
    <mergeCell ref="E36:M36"/>
    <mergeCell ref="N36:S36"/>
    <mergeCell ref="T36:AJ36"/>
    <mergeCell ref="AK36:CQ36"/>
    <mergeCell ref="AU1:BA2"/>
    <mergeCell ref="AU3:BA4"/>
    <mergeCell ref="BB1:BK2"/>
    <mergeCell ref="BB3:BK4"/>
    <mergeCell ref="B34:D34"/>
    <mergeCell ref="E34:M34"/>
    <mergeCell ref="N34:S34"/>
    <mergeCell ref="T34:AJ34"/>
    <mergeCell ref="AK34:CQ34"/>
    <mergeCell ref="B35:D35"/>
    <mergeCell ref="E35:M35"/>
    <mergeCell ref="N35:S35"/>
    <mergeCell ref="T35:AJ35"/>
    <mergeCell ref="AK35:CQ35"/>
    <mergeCell ref="B32:D32"/>
    <mergeCell ref="E32:M32"/>
    <mergeCell ref="N32:S32"/>
    <mergeCell ref="T32:AJ32"/>
    <mergeCell ref="AK32:CQ32"/>
  </mergeCells>
  <phoneticPr fontId="9"/>
  <pageMargins left="0.39370078740157483" right="0.39370078740157483" top="0.59055118110236227" bottom="0.39370078740157483" header="0.31496062992125984" footer="0.19685039370078741"/>
  <pageSetup paperSize="9" scale="64" fitToHeight="0" orientation="landscape" verticalDpi="98" r:id="rId1"/>
  <headerFooter alignWithMargins="0">
    <oddHeader>&amp;R&amp;G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12"/>
  <sheetViews>
    <sheetView zoomScaleNormal="100" workbookViewId="0"/>
  </sheetViews>
  <sheetFormatPr defaultRowHeight="13.5"/>
  <cols>
    <col min="1" max="1" width="11" bestFit="1" customWidth="1"/>
    <col min="2" max="2" width="3.375" bestFit="1" customWidth="1"/>
    <col min="4" max="4" width="10.125" bestFit="1" customWidth="1"/>
  </cols>
  <sheetData>
    <row r="1" spans="1:7">
      <c r="A1" s="37" t="s">
        <v>20</v>
      </c>
      <c r="B1" s="37"/>
      <c r="C1" s="37"/>
      <c r="D1" s="37"/>
      <c r="E1" s="37" t="s">
        <v>21</v>
      </c>
      <c r="F1" s="37"/>
      <c r="G1" s="37" t="s">
        <v>22</v>
      </c>
    </row>
    <row r="2" spans="1:7">
      <c r="A2" s="37" t="s">
        <v>23</v>
      </c>
      <c r="B2" s="37" t="s">
        <v>24</v>
      </c>
      <c r="C2" s="37" t="s">
        <v>25</v>
      </c>
      <c r="D2" s="37" t="s">
        <v>26</v>
      </c>
      <c r="E2" s="37" t="s">
        <v>27</v>
      </c>
      <c r="F2" s="37" t="s">
        <v>28</v>
      </c>
      <c r="G2" s="37" t="s">
        <v>29</v>
      </c>
    </row>
    <row r="3" spans="1:7">
      <c r="A3" s="1" t="s">
        <v>119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30</v>
      </c>
    </row>
    <row r="4" spans="1:7">
      <c r="A4" s="1" t="s">
        <v>30</v>
      </c>
      <c r="B4" s="1"/>
      <c r="D4" s="1" t="s">
        <v>37</v>
      </c>
      <c r="E4" t="s">
        <v>38</v>
      </c>
      <c r="F4" t="s">
        <v>39</v>
      </c>
      <c r="G4" s="1" t="s">
        <v>36</v>
      </c>
    </row>
    <row r="5" spans="1:7">
      <c r="A5" s="1" t="s">
        <v>36</v>
      </c>
      <c r="B5" s="1"/>
      <c r="D5" s="1" t="s">
        <v>41</v>
      </c>
      <c r="F5" t="s">
        <v>38</v>
      </c>
      <c r="G5" s="1" t="s">
        <v>40</v>
      </c>
    </row>
    <row r="6" spans="1:7">
      <c r="A6" s="1" t="s">
        <v>40</v>
      </c>
      <c r="B6" s="1"/>
      <c r="D6" s="1" t="s">
        <v>43</v>
      </c>
      <c r="G6" s="1" t="s">
        <v>42</v>
      </c>
    </row>
    <row r="7" spans="1:7">
      <c r="A7" s="1" t="s">
        <v>42</v>
      </c>
      <c r="B7" s="1"/>
      <c r="D7" s="1" t="s">
        <v>45</v>
      </c>
      <c r="G7" s="1" t="s">
        <v>44</v>
      </c>
    </row>
    <row r="8" spans="1:7">
      <c r="A8" s="1" t="s">
        <v>44</v>
      </c>
      <c r="B8" s="1"/>
      <c r="D8" s="1" t="s">
        <v>47</v>
      </c>
      <c r="G8" s="1" t="s">
        <v>46</v>
      </c>
    </row>
    <row r="9" spans="1:7">
      <c r="A9" s="1" t="s">
        <v>46</v>
      </c>
      <c r="B9" s="1"/>
      <c r="D9" s="1"/>
      <c r="G9" s="1" t="s">
        <v>48</v>
      </c>
    </row>
    <row r="10" spans="1:7">
      <c r="A10" s="1" t="s">
        <v>48</v>
      </c>
      <c r="B10" s="1"/>
      <c r="D10" s="1"/>
      <c r="G10" s="1" t="s">
        <v>47</v>
      </c>
    </row>
    <row r="11" spans="1:7">
      <c r="A11" s="1" t="s">
        <v>49</v>
      </c>
      <c r="D11" s="1"/>
      <c r="G11" s="1"/>
    </row>
    <row r="12" spans="1:7">
      <c r="G12" s="1"/>
    </row>
  </sheetData>
  <phoneticPr fontId="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BS75"/>
  <sheetViews>
    <sheetView showGridLines="0" view="pageBreakPreview" zoomScaleNormal="98" zoomScaleSheetLayoutView="100" workbookViewId="0">
      <pane ySplit="4" topLeftCell="A29" activePane="bottomLeft" state="frozen"/>
      <selection sqref="A1:G2"/>
      <selection pane="bottomLeft" activeCell="CF51" sqref="CF51"/>
    </sheetView>
  </sheetViews>
  <sheetFormatPr defaultColWidth="2.125" defaultRowHeight="12.6" customHeight="1"/>
  <cols>
    <col min="1" max="10" width="2.125" style="5"/>
    <col min="11" max="21" width="2.125" style="5" customWidth="1"/>
    <col min="22" max="24" width="2.125" style="5"/>
    <col min="25" max="25" width="2.125" style="5" customWidth="1"/>
    <col min="26" max="35" width="2.125" style="5"/>
    <col min="36" max="37" width="2.125" style="5" customWidth="1"/>
    <col min="38" max="16384" width="2.125" style="5"/>
  </cols>
  <sheetData>
    <row r="1" spans="1:71" ht="12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11"/>
    </row>
    <row r="2" spans="1:71" ht="12" customHeight="1">
      <c r="A2" s="4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P2" s="6"/>
    </row>
    <row r="3" spans="1:71" ht="12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P3" s="6"/>
    </row>
    <row r="4" spans="1:71" ht="12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P4" s="6"/>
    </row>
    <row r="5" spans="1:71" ht="12.6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4"/>
      <c r="BL5" s="234"/>
      <c r="BM5" s="234"/>
      <c r="BN5" s="234"/>
      <c r="BO5" s="234"/>
      <c r="BP5" s="235"/>
      <c r="BS5" s="31"/>
    </row>
    <row r="6" spans="1:71" ht="12" customHeight="1">
      <c r="A6" s="51"/>
      <c r="B6" s="56"/>
      <c r="C6" s="53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4"/>
      <c r="AU6" s="55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42"/>
      <c r="BO6" s="42"/>
      <c r="BP6" s="47"/>
    </row>
    <row r="7" spans="1:71" ht="12">
      <c r="A7" s="51"/>
      <c r="B7" s="79"/>
      <c r="C7" s="53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4"/>
      <c r="AU7" s="55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42"/>
      <c r="BO7" s="42"/>
      <c r="BP7" s="47"/>
    </row>
    <row r="8" spans="1:71" ht="12">
      <c r="A8" s="51"/>
      <c r="B8" s="56"/>
      <c r="C8" s="53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4"/>
      <c r="AU8" s="55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42"/>
      <c r="BO8" s="42"/>
      <c r="BP8" s="47"/>
    </row>
    <row r="9" spans="1:71" ht="12" customHeight="1">
      <c r="A9" s="51"/>
      <c r="B9" s="56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4"/>
      <c r="AU9" s="55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42"/>
      <c r="BO9" s="42"/>
      <c r="BP9" s="47"/>
    </row>
    <row r="10" spans="1:71" ht="12">
      <c r="A10" s="51"/>
      <c r="B10" s="56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4"/>
      <c r="AU10" s="55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42"/>
      <c r="BO10" s="42"/>
      <c r="BP10" s="47"/>
    </row>
    <row r="11" spans="1:71" ht="12">
      <c r="A11" s="51"/>
      <c r="B11" s="56"/>
      <c r="C11" s="53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4"/>
      <c r="AU11" s="55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42"/>
      <c r="BO11" s="42"/>
      <c r="BP11" s="47"/>
    </row>
    <row r="12" spans="1:71" ht="12">
      <c r="A12" s="51"/>
      <c r="B12" s="56"/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4"/>
      <c r="AU12" s="55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42"/>
      <c r="BO12" s="42"/>
      <c r="BP12" s="47"/>
    </row>
    <row r="13" spans="1:71" ht="12" customHeight="1">
      <c r="A13" s="51"/>
      <c r="B13" s="56"/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4"/>
      <c r="AU13" s="55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42"/>
      <c r="BO13" s="42"/>
      <c r="BP13" s="47"/>
    </row>
    <row r="14" spans="1:71" ht="12" customHeight="1">
      <c r="A14" s="51"/>
      <c r="B14" s="56"/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4"/>
      <c r="AU14" s="55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42"/>
      <c r="BO14" s="42"/>
      <c r="BP14" s="47"/>
    </row>
    <row r="15" spans="1:71" ht="12">
      <c r="A15" s="51"/>
      <c r="B15" s="56"/>
      <c r="C15" s="53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4"/>
      <c r="AU15" s="55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42"/>
      <c r="BO15" s="42"/>
      <c r="BP15" s="47"/>
    </row>
    <row r="16" spans="1:71" ht="12">
      <c r="A16" s="51"/>
      <c r="B16" s="56"/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4"/>
      <c r="AU16" s="55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42"/>
      <c r="BO16" s="42"/>
      <c r="BP16" s="47"/>
    </row>
    <row r="17" spans="1:68" ht="12" customHeight="1">
      <c r="A17" s="51"/>
      <c r="B17" s="56"/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4"/>
      <c r="AU17" s="55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42"/>
      <c r="BO17" s="42"/>
      <c r="BP17" s="47"/>
    </row>
    <row r="18" spans="1:68" ht="12">
      <c r="A18" s="51"/>
      <c r="B18" s="56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4"/>
      <c r="AU18" s="55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42"/>
      <c r="BO18" s="42"/>
      <c r="BP18" s="47"/>
    </row>
    <row r="19" spans="1:68" ht="12">
      <c r="A19" s="51"/>
      <c r="B19" s="56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4"/>
      <c r="AU19" s="55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42"/>
      <c r="BO19" s="42"/>
      <c r="BP19" s="47"/>
    </row>
    <row r="20" spans="1:68" ht="12">
      <c r="A20" s="51"/>
      <c r="B20" s="56"/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4"/>
      <c r="AU20" s="55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42"/>
      <c r="BO20" s="42"/>
      <c r="BP20" s="47"/>
    </row>
    <row r="21" spans="1:68" ht="12">
      <c r="A21" s="51"/>
      <c r="B21" s="56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4"/>
      <c r="AU21" s="55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42"/>
      <c r="BO21" s="42"/>
      <c r="BP21" s="47"/>
    </row>
    <row r="22" spans="1:68" ht="12" customHeight="1">
      <c r="A22" s="51"/>
      <c r="B22" s="56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4"/>
      <c r="AU22" s="55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42"/>
      <c r="BO22" s="42"/>
      <c r="BP22" s="47"/>
    </row>
    <row r="23" spans="1:68" ht="12" customHeight="1">
      <c r="A23" s="51"/>
      <c r="B23" s="56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4"/>
      <c r="AU23" s="55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42"/>
      <c r="BO23" s="42"/>
      <c r="BP23" s="47"/>
    </row>
    <row r="24" spans="1:68" ht="12">
      <c r="A24" s="51"/>
      <c r="B24" s="56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4"/>
      <c r="AU24" s="55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42"/>
      <c r="BO24" s="42"/>
      <c r="BP24" s="47"/>
    </row>
    <row r="25" spans="1:68" ht="12">
      <c r="A25" s="51"/>
      <c r="B25" s="56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4"/>
      <c r="AU25" s="55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42"/>
      <c r="BO25" s="42"/>
      <c r="BP25" s="47"/>
    </row>
    <row r="26" spans="1:68" ht="12">
      <c r="A26" s="51"/>
      <c r="B26" s="56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4"/>
      <c r="AU26" s="55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42"/>
      <c r="BO26" s="42"/>
      <c r="BP26" s="47"/>
    </row>
    <row r="27" spans="1:68" ht="12">
      <c r="A27" s="51"/>
      <c r="B27" s="56"/>
      <c r="C27" s="53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4"/>
      <c r="AU27" s="55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42"/>
      <c r="BO27" s="42"/>
      <c r="BP27" s="47"/>
    </row>
    <row r="28" spans="1:68" ht="12" customHeight="1">
      <c r="A28" s="51"/>
      <c r="B28" s="56"/>
      <c r="C28" s="53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4"/>
      <c r="AU28" s="55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42"/>
      <c r="BO28" s="42"/>
      <c r="BP28" s="47"/>
    </row>
    <row r="29" spans="1:68" ht="12">
      <c r="A29" s="51"/>
      <c r="B29" s="56"/>
      <c r="C29" s="53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4"/>
      <c r="AU29" s="55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42"/>
      <c r="BO29" s="42"/>
      <c r="BP29" s="47"/>
    </row>
    <row r="30" spans="1:68" ht="12">
      <c r="A30" s="51"/>
      <c r="B30" s="56"/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4"/>
      <c r="AU30" s="55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42"/>
      <c r="BO30" s="42"/>
      <c r="BP30" s="47"/>
    </row>
    <row r="31" spans="1:68" ht="12">
      <c r="A31" s="51"/>
      <c r="B31" s="56"/>
      <c r="C31" s="53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4"/>
      <c r="AU31" s="55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42"/>
      <c r="BO31" s="42"/>
      <c r="BP31" s="47"/>
    </row>
    <row r="32" spans="1:68" ht="12" customHeight="1">
      <c r="A32" s="51"/>
      <c r="B32" s="56"/>
      <c r="C32" s="53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4"/>
      <c r="AU32" s="55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42"/>
      <c r="BO32" s="42"/>
      <c r="BP32" s="47"/>
    </row>
    <row r="33" spans="1:68" ht="12" customHeight="1">
      <c r="A33" s="51"/>
      <c r="B33" s="56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4"/>
      <c r="AU33" s="55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42"/>
      <c r="BO33" s="42"/>
      <c r="BP33" s="47"/>
    </row>
    <row r="34" spans="1:68" ht="12">
      <c r="A34" s="51"/>
      <c r="B34" s="56"/>
      <c r="C34" s="53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4"/>
      <c r="AU34" s="55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42"/>
      <c r="BO34" s="42"/>
      <c r="BP34" s="47"/>
    </row>
    <row r="35" spans="1:68" ht="12">
      <c r="A35" s="51"/>
      <c r="B35" s="56"/>
      <c r="C35" s="53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4"/>
      <c r="AU35" s="55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42"/>
      <c r="BO35" s="42"/>
      <c r="BP35" s="47"/>
    </row>
    <row r="36" spans="1:68" ht="12" customHeight="1">
      <c r="A36" s="51"/>
      <c r="B36" s="56"/>
      <c r="C36" s="53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4"/>
      <c r="AU36" s="55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42"/>
      <c r="BO36" s="42"/>
      <c r="BP36" s="47"/>
    </row>
    <row r="37" spans="1:68" ht="12">
      <c r="A37" s="51"/>
      <c r="B37" s="56"/>
      <c r="C37" s="53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4"/>
      <c r="AU37" s="55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42"/>
      <c r="BO37" s="42"/>
      <c r="BP37" s="47"/>
    </row>
    <row r="38" spans="1:68" ht="12">
      <c r="A38" s="51"/>
      <c r="B38" s="56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4"/>
      <c r="AU38" s="55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42"/>
      <c r="BO38" s="42"/>
      <c r="BP38" s="47"/>
    </row>
    <row r="39" spans="1:68" ht="12">
      <c r="A39" s="51"/>
      <c r="B39" s="56"/>
      <c r="C39" s="53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4"/>
      <c r="AU39" s="55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42"/>
      <c r="BO39" s="42"/>
      <c r="BP39" s="47"/>
    </row>
    <row r="40" spans="1:68" ht="12">
      <c r="A40" s="51"/>
      <c r="B40" s="56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4"/>
      <c r="AU40" s="55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42"/>
      <c r="BO40" s="42"/>
      <c r="BP40" s="47"/>
    </row>
    <row r="41" spans="1:68" ht="12" customHeight="1">
      <c r="A41" s="51"/>
      <c r="B41" s="56"/>
      <c r="C41" s="53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4"/>
      <c r="AU41" s="55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42"/>
      <c r="BO41" s="42"/>
      <c r="BP41" s="47"/>
    </row>
    <row r="42" spans="1:68" ht="12" customHeight="1">
      <c r="A42" s="51"/>
      <c r="B42" s="56"/>
      <c r="C42" s="53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4"/>
      <c r="AU42" s="55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42"/>
      <c r="BO42" s="42"/>
      <c r="BP42" s="47"/>
    </row>
    <row r="43" spans="1:68" ht="12">
      <c r="A43" s="51"/>
      <c r="B43" s="56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4"/>
      <c r="AU43" s="55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42"/>
      <c r="BO43" s="42"/>
      <c r="BP43" s="47"/>
    </row>
    <row r="44" spans="1:68" ht="12">
      <c r="A44" s="51"/>
      <c r="B44" s="56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42"/>
      <c r="BO44" s="42"/>
      <c r="BP44" s="47"/>
    </row>
    <row r="45" spans="1:68" ht="12">
      <c r="A45" s="51"/>
      <c r="B45" s="56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4"/>
      <c r="AU45" s="55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42"/>
      <c r="BO45" s="42"/>
      <c r="BP45" s="47"/>
    </row>
    <row r="46" spans="1:68" ht="12" customHeight="1">
      <c r="A46" s="51"/>
      <c r="B46" s="56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4"/>
      <c r="AU46" s="55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42"/>
      <c r="BO46" s="42"/>
      <c r="BP46" s="47"/>
    </row>
    <row r="47" spans="1:68" ht="12">
      <c r="A47" s="51"/>
      <c r="B47" s="56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4"/>
      <c r="AU47" s="55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42"/>
      <c r="BO47" s="42"/>
      <c r="BP47" s="47"/>
    </row>
    <row r="48" spans="1:68" ht="12">
      <c r="A48" s="51"/>
      <c r="B48" s="56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4"/>
      <c r="AU48" s="55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42"/>
      <c r="BO48" s="42"/>
      <c r="BP48" s="47"/>
    </row>
    <row r="49" spans="1:68" ht="12" customHeight="1">
      <c r="A49" s="51"/>
      <c r="B49" s="56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4"/>
      <c r="AU49" s="55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42"/>
      <c r="BO49" s="42"/>
      <c r="BP49" s="47"/>
    </row>
    <row r="50" spans="1:68" ht="12">
      <c r="A50" s="23" t="s">
        <v>50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5"/>
    </row>
    <row r="51" spans="1:68" ht="12" customHeight="1">
      <c r="A51" s="51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4"/>
      <c r="AU51" s="55"/>
      <c r="AV51" s="55"/>
      <c r="AW51" s="45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7"/>
    </row>
    <row r="52" spans="1:68" ht="14.25">
      <c r="A52" s="51"/>
      <c r="B52" s="67" t="s">
        <v>474</v>
      </c>
      <c r="C52" s="67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4"/>
      <c r="AU52" s="65"/>
      <c r="AV52" s="65"/>
      <c r="AW52" s="59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7"/>
    </row>
    <row r="53" spans="1:68" ht="12">
      <c r="A53" s="51"/>
      <c r="B53" s="80"/>
      <c r="C53" s="63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4"/>
      <c r="AU53" s="65"/>
      <c r="AV53" s="65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7"/>
    </row>
    <row r="54" spans="1:68" ht="14.25">
      <c r="A54" s="51"/>
      <c r="B54" s="66"/>
      <c r="C54" s="67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4"/>
      <c r="AU54" s="65"/>
      <c r="AV54" s="65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7"/>
    </row>
    <row r="55" spans="1:68" ht="14.25">
      <c r="A55" s="51"/>
      <c r="B55" s="67"/>
      <c r="C55" s="63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4"/>
      <c r="AU55" s="65"/>
      <c r="AV55" s="65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7"/>
    </row>
    <row r="56" spans="1:68" ht="12" customHeight="1">
      <c r="A56" s="51"/>
      <c r="B56" s="52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4"/>
      <c r="AU56" s="55"/>
      <c r="AV56" s="55"/>
      <c r="AW56" s="50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7"/>
    </row>
    <row r="57" spans="1:68" ht="12">
      <c r="A57" s="233" t="s">
        <v>120</v>
      </c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5"/>
      <c r="U57" s="23" t="s">
        <v>51</v>
      </c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5"/>
    </row>
    <row r="58" spans="1:68" ht="12" customHeight="1">
      <c r="A58" s="233" t="s">
        <v>52</v>
      </c>
      <c r="B58" s="234"/>
      <c r="C58" s="234"/>
      <c r="D58" s="234"/>
      <c r="E58" s="234"/>
      <c r="F58" s="234"/>
      <c r="G58" s="234"/>
      <c r="H58" s="234"/>
      <c r="I58" s="246"/>
      <c r="J58" s="259" t="s">
        <v>53</v>
      </c>
      <c r="K58" s="234"/>
      <c r="L58" s="234"/>
      <c r="M58" s="234"/>
      <c r="N58" s="234"/>
      <c r="O58" s="234"/>
      <c r="P58" s="234"/>
      <c r="Q58" s="234"/>
      <c r="R58" s="234"/>
      <c r="S58" s="234"/>
      <c r="T58" s="235"/>
      <c r="U58" s="123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5"/>
    </row>
    <row r="59" spans="1:68" ht="12" customHeight="1">
      <c r="A59" s="119" t="s">
        <v>475</v>
      </c>
      <c r="B59" s="120"/>
      <c r="C59" s="120"/>
      <c r="D59" s="120"/>
      <c r="E59" s="120"/>
      <c r="F59" s="120"/>
      <c r="G59" s="120"/>
      <c r="H59" s="120"/>
      <c r="I59" s="120"/>
      <c r="J59" s="43" t="s">
        <v>303</v>
      </c>
      <c r="K59" s="120"/>
      <c r="L59" s="120"/>
      <c r="M59" s="120"/>
      <c r="N59" s="120"/>
      <c r="O59" s="120"/>
      <c r="P59" s="120"/>
      <c r="Q59" s="120"/>
      <c r="R59" s="120"/>
      <c r="S59" s="236"/>
      <c r="T59" s="237"/>
      <c r="U59" s="126"/>
      <c r="V59" s="127" t="s">
        <v>296</v>
      </c>
      <c r="W59" s="42"/>
      <c r="X59" s="42"/>
      <c r="Y59" s="127"/>
      <c r="Z59" s="42"/>
      <c r="AA59" s="128"/>
      <c r="AB59" s="105"/>
      <c r="AC59" s="42"/>
      <c r="AD59" s="42"/>
      <c r="AE59" s="127"/>
      <c r="AF59" s="127"/>
      <c r="AG59" s="127"/>
      <c r="AH59" s="128" t="s">
        <v>240</v>
      </c>
      <c r="AI59" s="127"/>
      <c r="AJ59" s="42" t="s">
        <v>224</v>
      </c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7"/>
    </row>
    <row r="60" spans="1:68" ht="12" customHeight="1">
      <c r="A60" s="119"/>
      <c r="B60" s="61"/>
      <c r="C60" s="61"/>
      <c r="D60" s="61"/>
      <c r="E60" s="61"/>
      <c r="F60" s="61"/>
      <c r="G60" s="61"/>
      <c r="H60" s="61"/>
      <c r="I60" s="61"/>
      <c r="J60" s="81"/>
      <c r="K60" s="82"/>
      <c r="L60" s="82"/>
      <c r="M60" s="82"/>
      <c r="N60" s="82"/>
      <c r="O60" s="82"/>
      <c r="P60" s="82"/>
      <c r="Q60" s="82"/>
      <c r="R60" s="82"/>
      <c r="S60" s="241"/>
      <c r="T60" s="248"/>
      <c r="U60" s="158" t="s">
        <v>588</v>
      </c>
      <c r="V60" s="127"/>
      <c r="W60" s="42"/>
      <c r="X60" s="128"/>
      <c r="Y60" s="42"/>
      <c r="Z60" s="42"/>
      <c r="AA60" s="42"/>
      <c r="AB60" s="127"/>
      <c r="AC60" s="127"/>
      <c r="AD60" s="127"/>
      <c r="AE60" s="127"/>
      <c r="AF60" s="127"/>
      <c r="AG60" s="127"/>
      <c r="AH60" s="127"/>
      <c r="AI60" s="127"/>
      <c r="AJ60" s="127"/>
      <c r="AK60" s="128"/>
      <c r="AL60" s="127"/>
      <c r="AM60" s="127"/>
      <c r="AN60" s="127"/>
      <c r="AO60" s="127"/>
      <c r="AP60" s="127"/>
      <c r="AQ60" s="127"/>
      <c r="AR60" s="127"/>
      <c r="AS60" s="127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7"/>
    </row>
    <row r="61" spans="1:68" ht="12" customHeight="1">
      <c r="A61" s="233" t="s">
        <v>121</v>
      </c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5"/>
      <c r="U61" s="126"/>
      <c r="V61" s="42"/>
      <c r="W61" s="42"/>
      <c r="X61" s="42"/>
      <c r="Y61" s="127"/>
      <c r="Z61" s="42"/>
      <c r="AA61" s="42"/>
      <c r="AB61" s="127"/>
      <c r="AC61" s="42"/>
      <c r="AD61" s="128"/>
      <c r="AE61" s="105"/>
      <c r="AF61" s="42"/>
      <c r="AG61" s="42"/>
      <c r="AH61" s="127"/>
      <c r="AI61" s="127"/>
      <c r="AJ61" s="127"/>
      <c r="AK61" s="127"/>
      <c r="AL61" s="127"/>
      <c r="AM61" s="127"/>
      <c r="AN61" s="128"/>
      <c r="AO61" s="127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7"/>
    </row>
    <row r="62" spans="1:68" ht="12" customHeight="1">
      <c r="A62" s="233" t="s">
        <v>52</v>
      </c>
      <c r="B62" s="234"/>
      <c r="C62" s="234"/>
      <c r="D62" s="234"/>
      <c r="E62" s="234"/>
      <c r="F62" s="234"/>
      <c r="G62" s="234"/>
      <c r="H62" s="234"/>
      <c r="I62" s="246"/>
      <c r="J62" s="258" t="s">
        <v>53</v>
      </c>
      <c r="K62" s="258"/>
      <c r="L62" s="258"/>
      <c r="M62" s="258"/>
      <c r="N62" s="258"/>
      <c r="O62" s="258"/>
      <c r="P62" s="258"/>
      <c r="Q62" s="258"/>
      <c r="R62" s="258"/>
      <c r="S62" s="249" t="s">
        <v>54</v>
      </c>
      <c r="T62" s="250"/>
      <c r="U62" s="126"/>
      <c r="V62" s="42"/>
      <c r="W62" s="42"/>
      <c r="X62" s="42"/>
      <c r="Y62" s="127"/>
      <c r="Z62" s="42"/>
      <c r="AA62" s="128"/>
      <c r="AB62" s="42"/>
      <c r="AC62" s="42"/>
      <c r="AD62" s="42"/>
      <c r="AE62" s="127"/>
      <c r="AF62" s="127"/>
      <c r="AG62" s="127"/>
      <c r="AH62" s="127"/>
      <c r="AI62" s="127"/>
      <c r="AJ62" s="127"/>
      <c r="AK62" s="127"/>
      <c r="AL62" s="127"/>
      <c r="AM62" s="127"/>
      <c r="AN62" s="128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9"/>
    </row>
    <row r="63" spans="1:68" ht="12" customHeight="1">
      <c r="A63" s="119" t="s">
        <v>244</v>
      </c>
      <c r="B63" s="61"/>
      <c r="C63" s="61"/>
      <c r="D63" s="61"/>
      <c r="E63" s="61"/>
      <c r="F63" s="61"/>
      <c r="G63" s="61"/>
      <c r="H63" s="61"/>
      <c r="I63" s="61"/>
      <c r="J63" s="43" t="s">
        <v>146</v>
      </c>
      <c r="K63" s="61"/>
      <c r="L63" s="61"/>
      <c r="M63" s="61"/>
      <c r="N63" s="61"/>
      <c r="O63" s="61"/>
      <c r="P63" s="61"/>
      <c r="Q63" s="61"/>
      <c r="R63" s="121"/>
      <c r="S63" s="260" t="s">
        <v>473</v>
      </c>
      <c r="T63" s="261"/>
      <c r="U63" s="126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127"/>
      <c r="BN63" s="127"/>
      <c r="BO63" s="127"/>
      <c r="BP63" s="129"/>
    </row>
    <row r="64" spans="1:68" ht="12" customHeight="1">
      <c r="A64" s="119" t="s">
        <v>587</v>
      </c>
      <c r="B64" s="61"/>
      <c r="C64" s="61"/>
      <c r="D64" s="61"/>
      <c r="E64" s="61"/>
      <c r="F64" s="61"/>
      <c r="G64" s="61"/>
      <c r="H64" s="61"/>
      <c r="I64" s="61"/>
      <c r="J64" s="44"/>
      <c r="K64" s="61"/>
      <c r="L64" s="61"/>
      <c r="M64" s="61"/>
      <c r="N64" s="61"/>
      <c r="O64" s="61"/>
      <c r="P64" s="61"/>
      <c r="Q64" s="61"/>
      <c r="R64" s="121"/>
      <c r="S64" s="262"/>
      <c r="T64" s="263"/>
      <c r="U64" s="126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7"/>
    </row>
    <row r="65" spans="1:68" ht="12" customHeight="1">
      <c r="A65" s="60"/>
      <c r="B65" s="61"/>
      <c r="C65" s="61"/>
      <c r="D65" s="61"/>
      <c r="E65" s="61"/>
      <c r="F65" s="61"/>
      <c r="G65" s="61"/>
      <c r="H65" s="61"/>
      <c r="I65" s="61"/>
      <c r="J65" s="44"/>
      <c r="K65" s="61"/>
      <c r="L65" s="61"/>
      <c r="M65" s="61"/>
      <c r="N65" s="61"/>
      <c r="O65" s="61"/>
      <c r="P65" s="61"/>
      <c r="Q65" s="61"/>
      <c r="R65" s="121"/>
      <c r="S65" s="262"/>
      <c r="T65" s="263"/>
      <c r="U65" s="126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7"/>
    </row>
    <row r="66" spans="1:68" ht="12" customHeight="1">
      <c r="A66" s="60"/>
      <c r="B66" s="61"/>
      <c r="C66" s="61"/>
      <c r="D66" s="61"/>
      <c r="E66" s="61"/>
      <c r="F66" s="61"/>
      <c r="G66" s="61"/>
      <c r="H66" s="61"/>
      <c r="I66" s="61"/>
      <c r="J66" s="44"/>
      <c r="K66" s="61"/>
      <c r="L66" s="61"/>
      <c r="M66" s="61"/>
      <c r="N66" s="61"/>
      <c r="O66" s="61"/>
      <c r="P66" s="61"/>
      <c r="Q66" s="61"/>
      <c r="R66" s="121"/>
      <c r="S66" s="262"/>
      <c r="T66" s="263"/>
      <c r="U66" s="126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7"/>
    </row>
    <row r="67" spans="1:68" ht="12" customHeight="1">
      <c r="A67" s="60"/>
      <c r="B67" s="61"/>
      <c r="C67" s="61"/>
      <c r="D67" s="61"/>
      <c r="E67" s="61"/>
      <c r="F67" s="61"/>
      <c r="G67" s="61"/>
      <c r="H67" s="61"/>
      <c r="I67" s="61"/>
      <c r="J67" s="44"/>
      <c r="K67" s="61"/>
      <c r="L67" s="61"/>
      <c r="M67" s="61"/>
      <c r="N67" s="61"/>
      <c r="O67" s="61"/>
      <c r="P67" s="61"/>
      <c r="Q67" s="61"/>
      <c r="R67" s="121"/>
      <c r="S67" s="262"/>
      <c r="T67" s="263"/>
      <c r="U67" s="126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7"/>
    </row>
    <row r="68" spans="1:68" ht="12" customHeight="1">
      <c r="A68" s="60"/>
      <c r="B68" s="61"/>
      <c r="C68" s="61"/>
      <c r="D68" s="61"/>
      <c r="E68" s="61"/>
      <c r="F68" s="61"/>
      <c r="G68" s="61"/>
      <c r="H68" s="61"/>
      <c r="I68" s="61"/>
      <c r="J68" s="44"/>
      <c r="K68" s="61"/>
      <c r="L68" s="61"/>
      <c r="M68" s="61"/>
      <c r="N68" s="61"/>
      <c r="O68" s="61"/>
      <c r="P68" s="61"/>
      <c r="Q68" s="61"/>
      <c r="R68" s="121"/>
      <c r="S68" s="262"/>
      <c r="T68" s="263"/>
      <c r="U68" s="126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7"/>
    </row>
    <row r="69" spans="1:68" ht="12" customHeight="1">
      <c r="A69" s="60"/>
      <c r="B69" s="61"/>
      <c r="C69" s="61"/>
      <c r="D69" s="61"/>
      <c r="E69" s="61"/>
      <c r="F69" s="61"/>
      <c r="G69" s="61"/>
      <c r="H69" s="61"/>
      <c r="I69" s="61"/>
      <c r="J69" s="44"/>
      <c r="K69" s="61"/>
      <c r="L69" s="61"/>
      <c r="M69" s="61"/>
      <c r="N69" s="61"/>
      <c r="O69" s="61"/>
      <c r="P69" s="61"/>
      <c r="Q69" s="61"/>
      <c r="R69" s="121"/>
      <c r="S69" s="262"/>
      <c r="T69" s="263"/>
      <c r="U69" s="126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7"/>
    </row>
    <row r="70" spans="1:68" ht="12" customHeight="1">
      <c r="A70" s="60"/>
      <c r="B70" s="61"/>
      <c r="C70" s="61"/>
      <c r="D70" s="61"/>
      <c r="E70" s="61"/>
      <c r="F70" s="61"/>
      <c r="G70" s="61"/>
      <c r="H70" s="61"/>
      <c r="I70" s="61"/>
      <c r="J70" s="44"/>
      <c r="K70" s="61"/>
      <c r="L70" s="61"/>
      <c r="M70" s="61"/>
      <c r="N70" s="61"/>
      <c r="O70" s="61"/>
      <c r="P70" s="61"/>
      <c r="Q70" s="61"/>
      <c r="R70" s="121"/>
      <c r="S70" s="262"/>
      <c r="T70" s="263"/>
      <c r="U70" s="126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7"/>
    </row>
    <row r="71" spans="1:68" ht="12" customHeight="1">
      <c r="A71" s="60"/>
      <c r="B71" s="61"/>
      <c r="C71" s="61"/>
      <c r="D71" s="61"/>
      <c r="E71" s="61"/>
      <c r="F71" s="61"/>
      <c r="G71" s="61"/>
      <c r="H71" s="61"/>
      <c r="I71" s="61"/>
      <c r="J71" s="44"/>
      <c r="K71" s="61"/>
      <c r="L71" s="61"/>
      <c r="M71" s="61"/>
      <c r="N71" s="61"/>
      <c r="O71" s="61"/>
      <c r="P71" s="61"/>
      <c r="Q71" s="61"/>
      <c r="R71" s="121"/>
      <c r="S71" s="262"/>
      <c r="T71" s="263"/>
      <c r="U71" s="126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7"/>
    </row>
    <row r="72" spans="1:68" ht="12" customHeight="1">
      <c r="A72" s="60"/>
      <c r="B72" s="61"/>
      <c r="C72" s="61"/>
      <c r="D72" s="61"/>
      <c r="E72" s="61"/>
      <c r="F72" s="61"/>
      <c r="G72" s="61"/>
      <c r="H72" s="61"/>
      <c r="I72" s="61"/>
      <c r="J72" s="44"/>
      <c r="K72" s="61"/>
      <c r="L72" s="61"/>
      <c r="M72" s="61"/>
      <c r="N72" s="61"/>
      <c r="O72" s="61"/>
      <c r="P72" s="61"/>
      <c r="Q72" s="61"/>
      <c r="R72" s="121"/>
      <c r="S72" s="262"/>
      <c r="T72" s="263"/>
      <c r="U72" s="126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7"/>
    </row>
    <row r="73" spans="1:68" ht="12" customHeight="1">
      <c r="A73" s="60"/>
      <c r="B73" s="61"/>
      <c r="C73" s="61"/>
      <c r="D73" s="61"/>
      <c r="E73" s="61"/>
      <c r="F73" s="61"/>
      <c r="G73" s="61"/>
      <c r="H73" s="61"/>
      <c r="I73" s="61"/>
      <c r="J73" s="44"/>
      <c r="K73" s="61"/>
      <c r="L73" s="61"/>
      <c r="M73" s="61"/>
      <c r="N73" s="61"/>
      <c r="O73" s="61"/>
      <c r="P73" s="61"/>
      <c r="Q73" s="61"/>
      <c r="R73" s="121"/>
      <c r="S73" s="262"/>
      <c r="T73" s="263"/>
      <c r="U73" s="233" t="s">
        <v>55</v>
      </c>
      <c r="V73" s="234"/>
      <c r="W73" s="234"/>
      <c r="X73" s="234"/>
      <c r="Y73" s="234"/>
      <c r="Z73" s="234"/>
      <c r="AA73" s="235"/>
      <c r="AB73" s="233" t="s">
        <v>56</v>
      </c>
      <c r="AC73" s="234"/>
      <c r="AD73" s="234"/>
      <c r="AE73" s="234"/>
      <c r="AF73" s="234"/>
      <c r="AG73" s="234"/>
      <c r="AH73" s="235"/>
      <c r="AI73" s="233" t="s">
        <v>57</v>
      </c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8"/>
      <c r="BD73" s="238"/>
      <c r="BE73" s="238"/>
      <c r="BF73" s="238"/>
      <c r="BG73" s="238"/>
      <c r="BH73" s="238"/>
      <c r="BI73" s="238"/>
      <c r="BJ73" s="238"/>
      <c r="BK73" s="238"/>
      <c r="BL73" s="238"/>
      <c r="BM73" s="238"/>
      <c r="BN73" s="238"/>
      <c r="BO73" s="238"/>
      <c r="BP73" s="239"/>
    </row>
    <row r="74" spans="1:68" ht="12" customHeight="1">
      <c r="A74" s="60"/>
      <c r="B74" s="61"/>
      <c r="C74" s="61"/>
      <c r="D74" s="61"/>
      <c r="E74" s="61"/>
      <c r="F74" s="61"/>
      <c r="G74" s="61"/>
      <c r="H74" s="61"/>
      <c r="I74" s="61"/>
      <c r="J74" s="44"/>
      <c r="K74" s="61"/>
      <c r="L74" s="61"/>
      <c r="M74" s="61"/>
      <c r="N74" s="61"/>
      <c r="O74" s="61"/>
      <c r="P74" s="61"/>
      <c r="Q74" s="61"/>
      <c r="R74" s="121"/>
      <c r="S74" s="262"/>
      <c r="T74" s="263"/>
      <c r="U74" s="252" t="s">
        <v>241</v>
      </c>
      <c r="V74" s="253"/>
      <c r="W74" s="253"/>
      <c r="X74" s="253"/>
      <c r="Y74" s="253"/>
      <c r="Z74" s="253"/>
      <c r="AA74" s="254"/>
      <c r="AB74" s="119" t="s">
        <v>555</v>
      </c>
      <c r="AC74" s="120"/>
      <c r="AD74" s="120"/>
      <c r="AE74" s="120"/>
      <c r="AF74" s="120"/>
      <c r="AG74" s="251" t="s">
        <v>234</v>
      </c>
      <c r="AH74" s="237"/>
      <c r="AI74" s="230"/>
      <c r="AJ74" s="231"/>
      <c r="AK74" s="231"/>
      <c r="AL74" s="231"/>
      <c r="AM74" s="232"/>
      <c r="AN74" s="130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2"/>
      <c r="BC74" s="119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57"/>
      <c r="BO74" s="57"/>
      <c r="BP74" s="106"/>
    </row>
    <row r="75" spans="1:68" ht="12.6" customHeight="1">
      <c r="A75" s="60"/>
      <c r="B75" s="61"/>
      <c r="C75" s="61"/>
      <c r="D75" s="61"/>
      <c r="E75" s="61"/>
      <c r="F75" s="61"/>
      <c r="G75" s="61"/>
      <c r="H75" s="61"/>
      <c r="I75" s="61"/>
      <c r="J75" s="44"/>
      <c r="K75" s="82"/>
      <c r="L75" s="82"/>
      <c r="M75" s="82"/>
      <c r="N75" s="82"/>
      <c r="O75" s="82"/>
      <c r="P75" s="82"/>
      <c r="Q75" s="82"/>
      <c r="R75" s="122"/>
      <c r="S75" s="264"/>
      <c r="T75" s="265"/>
      <c r="U75" s="255"/>
      <c r="V75" s="256"/>
      <c r="W75" s="256"/>
      <c r="X75" s="256"/>
      <c r="Y75" s="256"/>
      <c r="Z75" s="256"/>
      <c r="AA75" s="257"/>
      <c r="AB75" s="133" t="s">
        <v>556</v>
      </c>
      <c r="AC75" s="50"/>
      <c r="AD75" s="50"/>
      <c r="AE75" s="50"/>
      <c r="AF75" s="50"/>
      <c r="AG75" s="247" t="s">
        <v>234</v>
      </c>
      <c r="AH75" s="248"/>
      <c r="AI75" s="240"/>
      <c r="AJ75" s="241"/>
      <c r="AK75" s="241"/>
      <c r="AL75" s="241"/>
      <c r="AM75" s="242"/>
      <c r="AN75" s="243"/>
      <c r="AO75" s="244"/>
      <c r="AP75" s="244"/>
      <c r="AQ75" s="244"/>
      <c r="AR75" s="244"/>
      <c r="AS75" s="244"/>
      <c r="AT75" s="244"/>
      <c r="AU75" s="244"/>
      <c r="AV75" s="244"/>
      <c r="AW75" s="244"/>
      <c r="AX75" s="244"/>
      <c r="AY75" s="244"/>
      <c r="AZ75" s="244"/>
      <c r="BA75" s="244"/>
      <c r="BB75" s="245"/>
      <c r="BC75" s="133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107"/>
      <c r="BO75" s="107"/>
      <c r="BP75" s="108"/>
    </row>
  </sheetData>
  <mergeCells count="32">
    <mergeCell ref="S75:T75"/>
    <mergeCell ref="S70:T70"/>
    <mergeCell ref="S71:T71"/>
    <mergeCell ref="S72:T72"/>
    <mergeCell ref="S73:T73"/>
    <mergeCell ref="S74:T74"/>
    <mergeCell ref="J62:R62"/>
    <mergeCell ref="J58:T58"/>
    <mergeCell ref="U73:AA73"/>
    <mergeCell ref="S63:T63"/>
    <mergeCell ref="S64:T64"/>
    <mergeCell ref="S65:T65"/>
    <mergeCell ref="S66:T66"/>
    <mergeCell ref="S67:T67"/>
    <mergeCell ref="S68:T68"/>
    <mergeCell ref="S69:T69"/>
    <mergeCell ref="AI74:AM74"/>
    <mergeCell ref="A5:BP5"/>
    <mergeCell ref="S59:T59"/>
    <mergeCell ref="AI73:BP73"/>
    <mergeCell ref="AI75:AM75"/>
    <mergeCell ref="AN75:BB75"/>
    <mergeCell ref="A57:T57"/>
    <mergeCell ref="A58:I58"/>
    <mergeCell ref="AG75:AH75"/>
    <mergeCell ref="S62:T62"/>
    <mergeCell ref="S60:T60"/>
    <mergeCell ref="AB73:AH73"/>
    <mergeCell ref="AG74:AH74"/>
    <mergeCell ref="U74:AA75"/>
    <mergeCell ref="A61:T61"/>
    <mergeCell ref="A62:I62"/>
  </mergeCells>
  <phoneticPr fontId="9"/>
  <pageMargins left="0.19685039370078741" right="0.23622047244094491" top="0.39370078740157483" bottom="0.39370078740157483" header="0" footer="0.19685039370078741"/>
  <pageSetup paperSize="9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rowBreaks count="1" manualBreakCount="1">
    <brk id="49" max="67" man="1"/>
  </rowBreaks>
  <colBreaks count="1" manualBreakCount="1">
    <brk id="71" max="69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W92"/>
  <sheetViews>
    <sheetView showGridLines="0" tabSelected="1" view="pageBreakPreview" zoomScaleNormal="100" zoomScaleSheetLayoutView="100" workbookViewId="0">
      <pane xSplit="30" ySplit="6" topLeftCell="BJ61" activePane="bottomRight" state="frozen"/>
      <selection pane="topRight" activeCell="AE1" sqref="AE1"/>
      <selection pane="bottomLeft" activeCell="A7" sqref="A7"/>
      <selection pane="bottomRight" activeCell="DN63" sqref="DN63:DX63"/>
    </sheetView>
  </sheetViews>
  <sheetFormatPr defaultColWidth="2.125" defaultRowHeight="12.6" customHeight="1"/>
  <cols>
    <col min="1" max="1" width="3.125" style="5" customWidth="1"/>
    <col min="2" max="10" width="2.125" style="5"/>
    <col min="11" max="16" width="3.625" style="5" customWidth="1"/>
    <col min="17" max="19" width="2.125" style="5" customWidth="1"/>
    <col min="20" max="22" width="2.125" style="5"/>
    <col min="23" max="25" width="2.125" style="5" customWidth="1"/>
    <col min="26" max="30" width="2.125" style="5"/>
    <col min="31" max="54" width="2.125" style="5" customWidth="1"/>
    <col min="55" max="55" width="2.125" style="5"/>
    <col min="56" max="68" width="2.125" style="5" customWidth="1"/>
    <col min="69" max="16384" width="2.125" style="5"/>
  </cols>
  <sheetData>
    <row r="1" spans="1:136" ht="12.6" customHeight="1">
      <c r="DY1" s="35" t="s">
        <v>58</v>
      </c>
      <c r="DZ1" s="35"/>
      <c r="EA1" s="35"/>
      <c r="EB1" s="35"/>
      <c r="EC1" s="36"/>
      <c r="ED1" s="35"/>
      <c r="EE1" s="35"/>
      <c r="EF1" s="35"/>
    </row>
    <row r="2" spans="1:136" ht="12.6" customHeight="1">
      <c r="DY2" s="35"/>
      <c r="DZ2" s="35"/>
      <c r="EA2" s="35"/>
      <c r="EB2" s="35"/>
      <c r="EC2" s="35"/>
      <c r="ED2" s="35"/>
      <c r="EE2" s="35"/>
      <c r="EF2" s="35"/>
    </row>
    <row r="3" spans="1:136" ht="12.6" customHeight="1">
      <c r="DY3" s="35"/>
      <c r="DZ3" s="35"/>
      <c r="EA3" s="35"/>
      <c r="EB3" s="35"/>
      <c r="EC3" s="35"/>
      <c r="ED3" s="35"/>
      <c r="EE3" s="35"/>
      <c r="EF3" s="35"/>
    </row>
    <row r="5" spans="1:136" s="31" customFormat="1" ht="12.6" customHeight="1">
      <c r="A5" s="348" t="s">
        <v>59</v>
      </c>
      <c r="B5" s="233" t="s">
        <v>60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5"/>
      <c r="AE5" s="350" t="s">
        <v>61</v>
      </c>
      <c r="AF5" s="351"/>
      <c r="AG5" s="351"/>
      <c r="AH5" s="351"/>
      <c r="AI5" s="351"/>
      <c r="AJ5" s="351"/>
      <c r="AK5" s="351"/>
      <c r="AL5" s="351"/>
      <c r="AM5" s="351"/>
      <c r="AN5" s="351"/>
      <c r="AO5" s="351"/>
      <c r="AP5" s="351"/>
      <c r="AQ5" s="351"/>
      <c r="AR5" s="351"/>
      <c r="AS5" s="351"/>
      <c r="AT5" s="250"/>
      <c r="AU5" s="342" t="s">
        <v>62</v>
      </c>
      <c r="AV5" s="352"/>
      <c r="AW5" s="352"/>
      <c r="AX5" s="352"/>
      <c r="AY5" s="352"/>
      <c r="AZ5" s="352"/>
      <c r="BA5" s="352"/>
      <c r="BB5" s="352"/>
      <c r="BC5" s="352"/>
      <c r="BD5" s="353"/>
      <c r="BE5" s="342" t="s">
        <v>248</v>
      </c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2"/>
      <c r="BQ5" s="352"/>
      <c r="BR5" s="353"/>
      <c r="BS5" s="342" t="s">
        <v>63</v>
      </c>
      <c r="BT5" s="352"/>
      <c r="BU5" s="352"/>
      <c r="BV5" s="352"/>
      <c r="BW5" s="352"/>
      <c r="BX5" s="352"/>
      <c r="BY5" s="352"/>
      <c r="BZ5" s="352"/>
      <c r="CA5" s="352"/>
      <c r="CB5" s="353"/>
      <c r="CC5" s="342" t="s">
        <v>64</v>
      </c>
      <c r="CD5" s="352"/>
      <c r="CE5" s="352"/>
      <c r="CF5" s="352"/>
      <c r="CG5" s="352"/>
      <c r="CH5" s="352"/>
      <c r="CI5" s="352"/>
      <c r="CJ5" s="352"/>
      <c r="CK5" s="352"/>
      <c r="CL5" s="352"/>
      <c r="CM5" s="352"/>
      <c r="CN5" s="352"/>
      <c r="CO5" s="352"/>
      <c r="CP5" s="352"/>
      <c r="CQ5" s="352"/>
      <c r="CR5" s="352"/>
      <c r="CS5" s="353"/>
      <c r="CT5" s="342" t="s">
        <v>65</v>
      </c>
      <c r="CU5" s="352"/>
      <c r="CV5" s="352"/>
      <c r="CW5" s="352"/>
      <c r="CX5" s="352"/>
      <c r="CY5" s="352"/>
      <c r="CZ5" s="352"/>
      <c r="DA5" s="352"/>
      <c r="DB5" s="352"/>
      <c r="DC5" s="353"/>
      <c r="DD5" s="342" t="s">
        <v>66</v>
      </c>
      <c r="DE5" s="352"/>
      <c r="DF5" s="352"/>
      <c r="DG5" s="352"/>
      <c r="DH5" s="352"/>
      <c r="DI5" s="352"/>
      <c r="DJ5" s="352"/>
      <c r="DK5" s="352"/>
      <c r="DL5" s="352"/>
      <c r="DM5" s="353"/>
      <c r="DN5" s="342" t="s">
        <v>67</v>
      </c>
      <c r="DO5" s="352"/>
      <c r="DP5" s="352"/>
      <c r="DQ5" s="352"/>
      <c r="DR5" s="352"/>
      <c r="DS5" s="352"/>
      <c r="DT5" s="352"/>
      <c r="DU5" s="352"/>
      <c r="DV5" s="352"/>
      <c r="DW5" s="352"/>
      <c r="DX5" s="353"/>
      <c r="DY5" s="259" t="s">
        <v>68</v>
      </c>
      <c r="DZ5" s="234"/>
      <c r="EA5" s="234"/>
      <c r="EB5" s="234"/>
      <c r="EC5" s="234"/>
      <c r="ED5" s="234"/>
      <c r="EE5" s="234"/>
      <c r="EF5" s="235"/>
    </row>
    <row r="6" spans="1:136" s="31" customFormat="1" ht="12.6" customHeight="1">
      <c r="A6" s="349"/>
      <c r="B6" s="342" t="s">
        <v>68</v>
      </c>
      <c r="C6" s="343"/>
      <c r="D6" s="343"/>
      <c r="E6" s="343"/>
      <c r="F6" s="343"/>
      <c r="G6" s="343"/>
      <c r="H6" s="343"/>
      <c r="I6" s="343"/>
      <c r="J6" s="344"/>
      <c r="K6" s="345" t="s">
        <v>69</v>
      </c>
      <c r="L6" s="346"/>
      <c r="M6" s="339" t="s">
        <v>70</v>
      </c>
      <c r="N6" s="340"/>
      <c r="O6" s="345" t="s">
        <v>71</v>
      </c>
      <c r="P6" s="346"/>
      <c r="Q6" s="339" t="s">
        <v>72</v>
      </c>
      <c r="R6" s="347"/>
      <c r="S6" s="340"/>
      <c r="T6" s="339" t="s">
        <v>73</v>
      </c>
      <c r="U6" s="347"/>
      <c r="V6" s="340"/>
      <c r="W6" s="339" t="s">
        <v>74</v>
      </c>
      <c r="X6" s="347"/>
      <c r="Y6" s="340"/>
      <c r="Z6" s="339" t="s">
        <v>75</v>
      </c>
      <c r="AA6" s="347"/>
      <c r="AB6" s="340"/>
      <c r="AC6" s="339" t="s">
        <v>76</v>
      </c>
      <c r="AD6" s="341"/>
      <c r="AE6" s="342" t="s">
        <v>77</v>
      </c>
      <c r="AF6" s="352"/>
      <c r="AG6" s="352"/>
      <c r="AH6" s="352"/>
      <c r="AI6" s="352"/>
      <c r="AJ6" s="352"/>
      <c r="AK6" s="352"/>
      <c r="AL6" s="346"/>
      <c r="AM6" s="345" t="s">
        <v>68</v>
      </c>
      <c r="AN6" s="352"/>
      <c r="AO6" s="352"/>
      <c r="AP6" s="352"/>
      <c r="AQ6" s="352"/>
      <c r="AR6" s="352"/>
      <c r="AS6" s="352"/>
      <c r="AT6" s="353"/>
      <c r="AU6" s="354"/>
      <c r="AV6" s="355"/>
      <c r="AW6" s="355"/>
      <c r="AX6" s="355"/>
      <c r="AY6" s="355"/>
      <c r="AZ6" s="355"/>
      <c r="BA6" s="355"/>
      <c r="BB6" s="355"/>
      <c r="BC6" s="355"/>
      <c r="BD6" s="356"/>
      <c r="BE6" s="354"/>
      <c r="BF6" s="355"/>
      <c r="BG6" s="355"/>
      <c r="BH6" s="355"/>
      <c r="BI6" s="355"/>
      <c r="BJ6" s="355"/>
      <c r="BK6" s="355"/>
      <c r="BL6" s="355"/>
      <c r="BM6" s="355"/>
      <c r="BN6" s="355"/>
      <c r="BO6" s="355"/>
      <c r="BP6" s="355"/>
      <c r="BQ6" s="355"/>
      <c r="BR6" s="356"/>
      <c r="BS6" s="354"/>
      <c r="BT6" s="355"/>
      <c r="BU6" s="355"/>
      <c r="BV6" s="355"/>
      <c r="BW6" s="355"/>
      <c r="BX6" s="355"/>
      <c r="BY6" s="355"/>
      <c r="BZ6" s="355"/>
      <c r="CA6" s="355"/>
      <c r="CB6" s="356"/>
      <c r="CC6" s="354"/>
      <c r="CD6" s="355"/>
      <c r="CE6" s="355"/>
      <c r="CF6" s="355"/>
      <c r="CG6" s="355"/>
      <c r="CH6" s="355"/>
      <c r="CI6" s="355"/>
      <c r="CJ6" s="355"/>
      <c r="CK6" s="355"/>
      <c r="CL6" s="355"/>
      <c r="CM6" s="355"/>
      <c r="CN6" s="355"/>
      <c r="CO6" s="355"/>
      <c r="CP6" s="355"/>
      <c r="CQ6" s="355"/>
      <c r="CR6" s="355"/>
      <c r="CS6" s="356"/>
      <c r="CT6" s="354"/>
      <c r="CU6" s="355"/>
      <c r="CV6" s="355"/>
      <c r="CW6" s="355"/>
      <c r="CX6" s="355"/>
      <c r="CY6" s="355"/>
      <c r="CZ6" s="355"/>
      <c r="DA6" s="355"/>
      <c r="DB6" s="355"/>
      <c r="DC6" s="356"/>
      <c r="DD6" s="354"/>
      <c r="DE6" s="355"/>
      <c r="DF6" s="355"/>
      <c r="DG6" s="355"/>
      <c r="DH6" s="355"/>
      <c r="DI6" s="355"/>
      <c r="DJ6" s="355"/>
      <c r="DK6" s="355"/>
      <c r="DL6" s="355"/>
      <c r="DM6" s="356"/>
      <c r="DN6" s="354"/>
      <c r="DO6" s="355"/>
      <c r="DP6" s="355"/>
      <c r="DQ6" s="355"/>
      <c r="DR6" s="355"/>
      <c r="DS6" s="355"/>
      <c r="DT6" s="355"/>
      <c r="DU6" s="355"/>
      <c r="DV6" s="355"/>
      <c r="DW6" s="355"/>
      <c r="DX6" s="356"/>
      <c r="DY6" s="259" t="s">
        <v>78</v>
      </c>
      <c r="DZ6" s="234"/>
      <c r="EA6" s="234"/>
      <c r="EB6" s="234"/>
      <c r="EC6" s="234"/>
      <c r="ED6" s="234"/>
      <c r="EE6" s="234"/>
      <c r="EF6" s="235"/>
    </row>
    <row r="7" spans="1:136" ht="12" customHeight="1">
      <c r="A7" s="288" t="s">
        <v>144</v>
      </c>
      <c r="B7" s="289"/>
      <c r="C7" s="289"/>
      <c r="D7" s="289"/>
      <c r="E7" s="289"/>
      <c r="F7" s="289"/>
      <c r="G7" s="289"/>
      <c r="H7" s="289"/>
      <c r="I7" s="289"/>
      <c r="J7" s="289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4"/>
      <c r="X7" s="294"/>
      <c r="Y7" s="294"/>
      <c r="Z7" s="294"/>
      <c r="AA7" s="294"/>
      <c r="AB7" s="294"/>
      <c r="AC7" s="295"/>
      <c r="AD7" s="295"/>
      <c r="AE7" s="296"/>
      <c r="AF7" s="296"/>
      <c r="AG7" s="296"/>
      <c r="AH7" s="296"/>
      <c r="AI7" s="296"/>
      <c r="AJ7" s="296"/>
      <c r="AK7" s="296"/>
      <c r="AL7" s="296"/>
      <c r="AM7" s="297"/>
      <c r="AN7" s="297"/>
      <c r="AO7" s="297"/>
      <c r="AP7" s="297"/>
      <c r="AQ7" s="297"/>
      <c r="AR7" s="297"/>
      <c r="AS7" s="297"/>
      <c r="AT7" s="298"/>
      <c r="AU7" s="291"/>
      <c r="AV7" s="292"/>
      <c r="AW7" s="292"/>
      <c r="AX7" s="292"/>
      <c r="AY7" s="292"/>
      <c r="AZ7" s="292"/>
      <c r="BA7" s="292"/>
      <c r="BB7" s="292"/>
      <c r="BC7" s="292"/>
      <c r="BD7" s="293"/>
      <c r="BE7" s="291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3"/>
      <c r="BS7" s="291"/>
      <c r="BT7" s="292"/>
      <c r="BU7" s="292"/>
      <c r="BV7" s="292"/>
      <c r="BW7" s="292"/>
      <c r="BX7" s="292"/>
      <c r="BY7" s="292"/>
      <c r="BZ7" s="292"/>
      <c r="CA7" s="292"/>
      <c r="CB7" s="293"/>
      <c r="CC7" s="291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3"/>
      <c r="CT7" s="291"/>
      <c r="CU7" s="292"/>
      <c r="CV7" s="292"/>
      <c r="CW7" s="292"/>
      <c r="CX7" s="292"/>
      <c r="CY7" s="292"/>
      <c r="CZ7" s="292"/>
      <c r="DA7" s="292"/>
      <c r="DB7" s="292"/>
      <c r="DC7" s="293"/>
      <c r="DD7" s="291"/>
      <c r="DE7" s="292"/>
      <c r="DF7" s="292"/>
      <c r="DG7" s="292"/>
      <c r="DH7" s="292"/>
      <c r="DI7" s="292"/>
      <c r="DJ7" s="292"/>
      <c r="DK7" s="292"/>
      <c r="DL7" s="292"/>
      <c r="DM7" s="293"/>
      <c r="DN7" s="291"/>
      <c r="DO7" s="292"/>
      <c r="DP7" s="292"/>
      <c r="DQ7" s="292"/>
      <c r="DR7" s="292"/>
      <c r="DS7" s="292"/>
      <c r="DT7" s="292"/>
      <c r="DU7" s="292"/>
      <c r="DV7" s="292"/>
      <c r="DW7" s="292"/>
      <c r="DX7" s="293"/>
      <c r="DY7" s="357"/>
      <c r="DZ7" s="358"/>
      <c r="EA7" s="358"/>
      <c r="EB7" s="358"/>
      <c r="EC7" s="358"/>
      <c r="ED7" s="358"/>
      <c r="EE7" s="358"/>
      <c r="EF7" s="359"/>
    </row>
    <row r="8" spans="1:136" s="42" customFormat="1" ht="24.95" customHeight="1">
      <c r="A8" s="134">
        <f>IF(B8&lt;&gt;"",COUNTA($B$8:B8),"")</f>
        <v>1</v>
      </c>
      <c r="B8" s="266" t="s">
        <v>152</v>
      </c>
      <c r="C8" s="267"/>
      <c r="D8" s="267"/>
      <c r="E8" s="267"/>
      <c r="F8" s="267"/>
      <c r="G8" s="267"/>
      <c r="H8" s="267"/>
      <c r="I8" s="267"/>
      <c r="J8" s="269"/>
      <c r="K8" s="262" t="s">
        <v>145</v>
      </c>
      <c r="L8" s="270"/>
      <c r="M8" s="302"/>
      <c r="N8" s="303"/>
      <c r="O8" s="262"/>
      <c r="P8" s="270"/>
      <c r="Q8" s="262" t="s">
        <v>357</v>
      </c>
      <c r="R8" s="279"/>
      <c r="S8" s="279"/>
      <c r="T8" s="262" t="s">
        <v>357</v>
      </c>
      <c r="U8" s="279"/>
      <c r="V8" s="270"/>
      <c r="W8" s="280" t="s">
        <v>358</v>
      </c>
      <c r="X8" s="281"/>
      <c r="Y8" s="282"/>
      <c r="Z8" s="280" t="s">
        <v>358</v>
      </c>
      <c r="AA8" s="281"/>
      <c r="AB8" s="282"/>
      <c r="AC8" s="283"/>
      <c r="AD8" s="305"/>
      <c r="AE8" s="337"/>
      <c r="AF8" s="338"/>
      <c r="AG8" s="338"/>
      <c r="AH8" s="338"/>
      <c r="AI8" s="338"/>
      <c r="AJ8" s="338"/>
      <c r="AK8" s="338"/>
      <c r="AL8" s="338"/>
      <c r="AM8" s="306"/>
      <c r="AN8" s="306"/>
      <c r="AO8" s="306"/>
      <c r="AP8" s="306"/>
      <c r="AQ8" s="306"/>
      <c r="AR8" s="306"/>
      <c r="AS8" s="306"/>
      <c r="AT8" s="307"/>
      <c r="AU8" s="266"/>
      <c r="AV8" s="267"/>
      <c r="AW8" s="267"/>
      <c r="AX8" s="267"/>
      <c r="AY8" s="267"/>
      <c r="AZ8" s="267"/>
      <c r="BA8" s="267"/>
      <c r="BB8" s="267"/>
      <c r="BC8" s="267"/>
      <c r="BD8" s="268"/>
      <c r="BE8" s="266"/>
      <c r="BF8" s="267"/>
      <c r="BG8" s="267"/>
      <c r="BH8" s="267"/>
      <c r="BI8" s="267"/>
      <c r="BJ8" s="267"/>
      <c r="BK8" s="267"/>
      <c r="BL8" s="267"/>
      <c r="BM8" s="267"/>
      <c r="BN8" s="267"/>
      <c r="BO8" s="267"/>
      <c r="BP8" s="267"/>
      <c r="BQ8" s="267"/>
      <c r="BR8" s="267"/>
      <c r="BS8" s="266"/>
      <c r="BT8" s="267"/>
      <c r="BU8" s="267"/>
      <c r="BV8" s="267"/>
      <c r="BW8" s="267"/>
      <c r="BX8" s="267"/>
      <c r="BY8" s="267"/>
      <c r="BZ8" s="267"/>
      <c r="CA8" s="267"/>
      <c r="CB8" s="268"/>
      <c r="CC8" s="266"/>
      <c r="CD8" s="267"/>
      <c r="CE8" s="267"/>
      <c r="CF8" s="267"/>
      <c r="CG8" s="267"/>
      <c r="CH8" s="267"/>
      <c r="CI8" s="267"/>
      <c r="CJ8" s="267"/>
      <c r="CK8" s="267"/>
      <c r="CL8" s="267"/>
      <c r="CM8" s="267"/>
      <c r="CN8" s="267"/>
      <c r="CO8" s="267"/>
      <c r="CP8" s="267"/>
      <c r="CQ8" s="267"/>
      <c r="CR8" s="267"/>
      <c r="CS8" s="268"/>
      <c r="CT8" s="266"/>
      <c r="CU8" s="267"/>
      <c r="CV8" s="267"/>
      <c r="CW8" s="267"/>
      <c r="CX8" s="267"/>
      <c r="CY8" s="267"/>
      <c r="CZ8" s="267"/>
      <c r="DA8" s="267"/>
      <c r="DB8" s="267"/>
      <c r="DC8" s="268"/>
      <c r="DD8" s="266"/>
      <c r="DE8" s="267"/>
      <c r="DF8" s="267"/>
      <c r="DG8" s="267"/>
      <c r="DH8" s="267"/>
      <c r="DI8" s="267"/>
      <c r="DJ8" s="267"/>
      <c r="DK8" s="267"/>
      <c r="DL8" s="267"/>
      <c r="DM8" s="268"/>
      <c r="DN8" s="266"/>
      <c r="DO8" s="267"/>
      <c r="DP8" s="267"/>
      <c r="DQ8" s="267"/>
      <c r="DR8" s="267"/>
      <c r="DS8" s="267"/>
      <c r="DT8" s="267"/>
      <c r="DU8" s="267"/>
      <c r="DV8" s="267"/>
      <c r="DW8" s="267"/>
      <c r="DX8" s="268"/>
      <c r="DY8" s="308"/>
      <c r="DZ8" s="309"/>
      <c r="EA8" s="309"/>
      <c r="EB8" s="309"/>
      <c r="EC8" s="309"/>
      <c r="ED8" s="309"/>
      <c r="EE8" s="309"/>
      <c r="EF8" s="310"/>
    </row>
    <row r="9" spans="1:136" ht="12" customHeight="1">
      <c r="A9" s="288" t="s">
        <v>179</v>
      </c>
      <c r="B9" s="289"/>
      <c r="C9" s="289"/>
      <c r="D9" s="289"/>
      <c r="E9" s="289"/>
      <c r="F9" s="289"/>
      <c r="G9" s="289"/>
      <c r="H9" s="289"/>
      <c r="I9" s="289"/>
      <c r="J9" s="289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4"/>
      <c r="X9" s="294"/>
      <c r="Y9" s="294"/>
      <c r="Z9" s="294"/>
      <c r="AA9" s="294"/>
      <c r="AB9" s="294"/>
      <c r="AC9" s="295"/>
      <c r="AD9" s="295"/>
      <c r="AE9" s="296"/>
      <c r="AF9" s="296"/>
      <c r="AG9" s="296"/>
      <c r="AH9" s="296"/>
      <c r="AI9" s="296"/>
      <c r="AJ9" s="296"/>
      <c r="AK9" s="296"/>
      <c r="AL9" s="296"/>
      <c r="AM9" s="297"/>
      <c r="AN9" s="297"/>
      <c r="AO9" s="297"/>
      <c r="AP9" s="297"/>
      <c r="AQ9" s="297"/>
      <c r="AR9" s="297"/>
      <c r="AS9" s="297"/>
      <c r="AT9" s="298"/>
      <c r="AU9" s="291"/>
      <c r="AV9" s="292"/>
      <c r="AW9" s="292"/>
      <c r="AX9" s="292"/>
      <c r="AY9" s="292"/>
      <c r="AZ9" s="292"/>
      <c r="BA9" s="292"/>
      <c r="BB9" s="292"/>
      <c r="BC9" s="292"/>
      <c r="BD9" s="293"/>
      <c r="BE9" s="291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  <c r="BR9" s="293"/>
      <c r="BS9" s="291"/>
      <c r="BT9" s="292"/>
      <c r="BU9" s="292"/>
      <c r="BV9" s="292"/>
      <c r="BW9" s="292"/>
      <c r="BX9" s="292"/>
      <c r="BY9" s="292"/>
      <c r="BZ9" s="292"/>
      <c r="CA9" s="292"/>
      <c r="CB9" s="293"/>
      <c r="CC9" s="291"/>
      <c r="CD9" s="292"/>
      <c r="CE9" s="292"/>
      <c r="CF9" s="292"/>
      <c r="CG9" s="292"/>
      <c r="CH9" s="292"/>
      <c r="CI9" s="292"/>
      <c r="CJ9" s="292"/>
      <c r="CK9" s="292"/>
      <c r="CL9" s="292"/>
      <c r="CM9" s="292"/>
      <c r="CN9" s="292"/>
      <c r="CO9" s="292"/>
      <c r="CP9" s="292"/>
      <c r="CQ9" s="292"/>
      <c r="CR9" s="292"/>
      <c r="CS9" s="293"/>
      <c r="CT9" s="291"/>
      <c r="CU9" s="292"/>
      <c r="CV9" s="292"/>
      <c r="CW9" s="292"/>
      <c r="CX9" s="292"/>
      <c r="CY9" s="292"/>
      <c r="CZ9" s="292"/>
      <c r="DA9" s="292"/>
      <c r="DB9" s="292"/>
      <c r="DC9" s="293"/>
      <c r="DD9" s="291"/>
      <c r="DE9" s="292"/>
      <c r="DF9" s="292"/>
      <c r="DG9" s="292"/>
      <c r="DH9" s="292"/>
      <c r="DI9" s="292"/>
      <c r="DJ9" s="292"/>
      <c r="DK9" s="292"/>
      <c r="DL9" s="292"/>
      <c r="DM9" s="293"/>
      <c r="DN9" s="291"/>
      <c r="DO9" s="292"/>
      <c r="DP9" s="292"/>
      <c r="DQ9" s="292"/>
      <c r="DR9" s="292"/>
      <c r="DS9" s="292"/>
      <c r="DT9" s="292"/>
      <c r="DU9" s="292"/>
      <c r="DV9" s="292"/>
      <c r="DW9" s="292"/>
      <c r="DX9" s="293"/>
      <c r="DY9" s="299"/>
      <c r="DZ9" s="300"/>
      <c r="EA9" s="300"/>
      <c r="EB9" s="300"/>
      <c r="EC9" s="300"/>
      <c r="ED9" s="300"/>
      <c r="EE9" s="300"/>
      <c r="EF9" s="301"/>
    </row>
    <row r="10" spans="1:136" s="42" customFormat="1" ht="24.95" customHeight="1">
      <c r="A10" s="134">
        <f>IF(B10&lt;&gt;"",COUNTA($B$8:B10),"")</f>
        <v>2</v>
      </c>
      <c r="B10" s="266" t="s">
        <v>265</v>
      </c>
      <c r="C10" s="267"/>
      <c r="D10" s="267"/>
      <c r="E10" s="267"/>
      <c r="F10" s="267"/>
      <c r="G10" s="267"/>
      <c r="H10" s="267"/>
      <c r="I10" s="267"/>
      <c r="J10" s="269"/>
      <c r="K10" s="262" t="s">
        <v>204</v>
      </c>
      <c r="L10" s="270"/>
      <c r="M10" s="302"/>
      <c r="N10" s="303"/>
      <c r="O10" s="262" t="s">
        <v>211</v>
      </c>
      <c r="P10" s="270"/>
      <c r="Q10" s="262" t="s">
        <v>207</v>
      </c>
      <c r="R10" s="279"/>
      <c r="S10" s="279"/>
      <c r="T10" s="262" t="s">
        <v>208</v>
      </c>
      <c r="U10" s="279"/>
      <c r="V10" s="270"/>
      <c r="W10" s="280" t="s">
        <v>207</v>
      </c>
      <c r="X10" s="281"/>
      <c r="Y10" s="282"/>
      <c r="Z10" s="280">
        <v>5</v>
      </c>
      <c r="AA10" s="281"/>
      <c r="AB10" s="282"/>
      <c r="AC10" s="304"/>
      <c r="AD10" s="305"/>
      <c r="AE10" s="273" t="s">
        <v>244</v>
      </c>
      <c r="AF10" s="274"/>
      <c r="AG10" s="274"/>
      <c r="AH10" s="274"/>
      <c r="AI10" s="274"/>
      <c r="AJ10" s="274"/>
      <c r="AK10" s="274"/>
      <c r="AL10" s="275"/>
      <c r="AM10" s="276" t="s">
        <v>238</v>
      </c>
      <c r="AN10" s="277"/>
      <c r="AO10" s="277"/>
      <c r="AP10" s="277"/>
      <c r="AQ10" s="277"/>
      <c r="AR10" s="277"/>
      <c r="AS10" s="277"/>
      <c r="AT10" s="278"/>
      <c r="AU10" s="266"/>
      <c r="AV10" s="267"/>
      <c r="AW10" s="267"/>
      <c r="AX10" s="267"/>
      <c r="AY10" s="267"/>
      <c r="AZ10" s="267"/>
      <c r="BA10" s="267"/>
      <c r="BB10" s="267"/>
      <c r="BC10" s="267"/>
      <c r="BD10" s="268"/>
      <c r="BE10" s="266" t="s">
        <v>322</v>
      </c>
      <c r="BF10" s="267"/>
      <c r="BG10" s="267"/>
      <c r="BH10" s="267"/>
      <c r="BI10" s="267"/>
      <c r="BJ10" s="267"/>
      <c r="BK10" s="267"/>
      <c r="BL10" s="267"/>
      <c r="BM10" s="267"/>
      <c r="BN10" s="267"/>
      <c r="BO10" s="267"/>
      <c r="BP10" s="267"/>
      <c r="BQ10" s="267"/>
      <c r="BR10" s="267"/>
      <c r="BS10" s="266"/>
      <c r="BT10" s="267"/>
      <c r="BU10" s="267"/>
      <c r="BV10" s="267"/>
      <c r="BW10" s="267"/>
      <c r="BX10" s="267"/>
      <c r="BY10" s="267"/>
      <c r="BZ10" s="267"/>
      <c r="CA10" s="267"/>
      <c r="CB10" s="268"/>
      <c r="CC10" s="285"/>
      <c r="CD10" s="267"/>
      <c r="CE10" s="267"/>
      <c r="CF10" s="267"/>
      <c r="CG10" s="267"/>
      <c r="CH10" s="267"/>
      <c r="CI10" s="267"/>
      <c r="CJ10" s="267"/>
      <c r="CK10" s="267"/>
      <c r="CL10" s="267"/>
      <c r="CM10" s="267"/>
      <c r="CN10" s="267"/>
      <c r="CO10" s="267"/>
      <c r="CP10" s="267"/>
      <c r="CQ10" s="267"/>
      <c r="CR10" s="267"/>
      <c r="CS10" s="268"/>
      <c r="CT10" s="266"/>
      <c r="CU10" s="267"/>
      <c r="CV10" s="267"/>
      <c r="CW10" s="267"/>
      <c r="CX10" s="267"/>
      <c r="CY10" s="267"/>
      <c r="CZ10" s="267"/>
      <c r="DA10" s="267"/>
      <c r="DB10" s="267"/>
      <c r="DC10" s="268"/>
      <c r="DD10" s="266"/>
      <c r="DE10" s="267"/>
      <c r="DF10" s="267"/>
      <c r="DG10" s="267"/>
      <c r="DH10" s="267"/>
      <c r="DI10" s="267"/>
      <c r="DJ10" s="267"/>
      <c r="DK10" s="267"/>
      <c r="DL10" s="267"/>
      <c r="DM10" s="268"/>
      <c r="DN10" s="266"/>
      <c r="DO10" s="267"/>
      <c r="DP10" s="267"/>
      <c r="DQ10" s="267"/>
      <c r="DR10" s="267"/>
      <c r="DS10" s="267"/>
      <c r="DT10" s="267"/>
      <c r="DU10" s="267"/>
      <c r="DV10" s="267"/>
      <c r="DW10" s="267"/>
      <c r="DX10" s="268"/>
      <c r="DY10" s="266"/>
      <c r="DZ10" s="267"/>
      <c r="EA10" s="267"/>
      <c r="EB10" s="267"/>
      <c r="EC10" s="267"/>
      <c r="ED10" s="267"/>
      <c r="EE10" s="267"/>
      <c r="EF10" s="268"/>
    </row>
    <row r="11" spans="1:136" s="42" customFormat="1" ht="24.95" customHeight="1">
      <c r="A11" s="134">
        <f>IF(B11&lt;&gt;"",COUNTA($B$8:B11),"")</f>
        <v>3</v>
      </c>
      <c r="B11" s="266" t="s">
        <v>238</v>
      </c>
      <c r="C11" s="267"/>
      <c r="D11" s="267"/>
      <c r="E11" s="267"/>
      <c r="F11" s="267"/>
      <c r="G11" s="267"/>
      <c r="H11" s="267"/>
      <c r="I11" s="267"/>
      <c r="J11" s="269"/>
      <c r="K11" s="262" t="s">
        <v>41</v>
      </c>
      <c r="L11" s="270"/>
      <c r="M11" s="302"/>
      <c r="N11" s="303"/>
      <c r="O11" s="262"/>
      <c r="P11" s="270"/>
      <c r="Q11" s="262" t="s">
        <v>207</v>
      </c>
      <c r="R11" s="279"/>
      <c r="S11" s="279"/>
      <c r="T11" s="262" t="s">
        <v>209</v>
      </c>
      <c r="U11" s="279"/>
      <c r="V11" s="270"/>
      <c r="W11" s="280" t="s">
        <v>207</v>
      </c>
      <c r="X11" s="281"/>
      <c r="Y11" s="282"/>
      <c r="Z11" s="280">
        <v>255</v>
      </c>
      <c r="AA11" s="281"/>
      <c r="AB11" s="282"/>
      <c r="AC11" s="304"/>
      <c r="AD11" s="305"/>
      <c r="AE11" s="273" t="s">
        <v>244</v>
      </c>
      <c r="AF11" s="274"/>
      <c r="AG11" s="274"/>
      <c r="AH11" s="274"/>
      <c r="AI11" s="274"/>
      <c r="AJ11" s="274"/>
      <c r="AK11" s="274"/>
      <c r="AL11" s="275"/>
      <c r="AM11" s="276" t="s">
        <v>566</v>
      </c>
      <c r="AN11" s="277"/>
      <c r="AO11" s="277"/>
      <c r="AP11" s="277"/>
      <c r="AQ11" s="277"/>
      <c r="AR11" s="277"/>
      <c r="AS11" s="277"/>
      <c r="AT11" s="278"/>
      <c r="AU11" s="266"/>
      <c r="AV11" s="267"/>
      <c r="AW11" s="267"/>
      <c r="AX11" s="267"/>
      <c r="AY11" s="267"/>
      <c r="AZ11" s="267"/>
      <c r="BA11" s="267"/>
      <c r="BB11" s="267"/>
      <c r="BC11" s="267"/>
      <c r="BD11" s="268"/>
      <c r="BE11" s="266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6"/>
      <c r="BT11" s="267"/>
      <c r="BU11" s="267"/>
      <c r="BV11" s="267"/>
      <c r="BW11" s="267"/>
      <c r="BX11" s="267"/>
      <c r="BY11" s="267"/>
      <c r="BZ11" s="267"/>
      <c r="CA11" s="267"/>
      <c r="CB11" s="268"/>
      <c r="CC11" s="285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8"/>
      <c r="CT11" s="266"/>
      <c r="CU11" s="267"/>
      <c r="CV11" s="267"/>
      <c r="CW11" s="267"/>
      <c r="CX11" s="267"/>
      <c r="CY11" s="267"/>
      <c r="CZ11" s="267"/>
      <c r="DA11" s="267"/>
      <c r="DB11" s="267"/>
      <c r="DC11" s="268"/>
      <c r="DD11" s="266"/>
      <c r="DE11" s="267"/>
      <c r="DF11" s="267"/>
      <c r="DG11" s="267"/>
      <c r="DH11" s="267"/>
      <c r="DI11" s="267"/>
      <c r="DJ11" s="267"/>
      <c r="DK11" s="267"/>
      <c r="DL11" s="267"/>
      <c r="DM11" s="268"/>
      <c r="DN11" s="266"/>
      <c r="DO11" s="267"/>
      <c r="DP11" s="267"/>
      <c r="DQ11" s="267"/>
      <c r="DR11" s="267"/>
      <c r="DS11" s="267"/>
      <c r="DT11" s="267"/>
      <c r="DU11" s="267"/>
      <c r="DV11" s="267"/>
      <c r="DW11" s="267"/>
      <c r="DX11" s="268"/>
      <c r="DY11" s="266"/>
      <c r="DZ11" s="267"/>
      <c r="EA11" s="267"/>
      <c r="EB11" s="267"/>
      <c r="EC11" s="267"/>
      <c r="ED11" s="267"/>
      <c r="EE11" s="267"/>
      <c r="EF11" s="268"/>
    </row>
    <row r="12" spans="1:136" s="42" customFormat="1" ht="24.95" customHeight="1">
      <c r="A12" s="134">
        <f>IF(B12&lt;&gt;"",COUNTA($B$8:B12),"")</f>
        <v>4</v>
      </c>
      <c r="B12" s="266" t="s">
        <v>154</v>
      </c>
      <c r="C12" s="267"/>
      <c r="D12" s="267"/>
      <c r="E12" s="267"/>
      <c r="F12" s="267"/>
      <c r="G12" s="267"/>
      <c r="H12" s="267"/>
      <c r="I12" s="267"/>
      <c r="J12" s="269"/>
      <c r="K12" s="262" t="s">
        <v>41</v>
      </c>
      <c r="L12" s="270"/>
      <c r="M12" s="302"/>
      <c r="N12" s="303"/>
      <c r="O12" s="262" t="s">
        <v>212</v>
      </c>
      <c r="P12" s="270"/>
      <c r="Q12" s="262" t="s">
        <v>207</v>
      </c>
      <c r="R12" s="279"/>
      <c r="S12" s="279"/>
      <c r="T12" s="262" t="s">
        <v>208</v>
      </c>
      <c r="U12" s="279"/>
      <c r="V12" s="270"/>
      <c r="W12" s="280" t="s">
        <v>207</v>
      </c>
      <c r="X12" s="281"/>
      <c r="Y12" s="282"/>
      <c r="Z12" s="280">
        <v>1</v>
      </c>
      <c r="AA12" s="281"/>
      <c r="AB12" s="282"/>
      <c r="AC12" s="304"/>
      <c r="AD12" s="305"/>
      <c r="AE12" s="273" t="s">
        <v>244</v>
      </c>
      <c r="AF12" s="274"/>
      <c r="AG12" s="274"/>
      <c r="AH12" s="274"/>
      <c r="AI12" s="274"/>
      <c r="AJ12" s="274"/>
      <c r="AK12" s="274"/>
      <c r="AL12" s="275"/>
      <c r="AM12" s="276" t="s">
        <v>215</v>
      </c>
      <c r="AN12" s="277"/>
      <c r="AO12" s="277"/>
      <c r="AP12" s="277"/>
      <c r="AQ12" s="277"/>
      <c r="AR12" s="277"/>
      <c r="AS12" s="277"/>
      <c r="AT12" s="278"/>
      <c r="AU12" s="266"/>
      <c r="AV12" s="267"/>
      <c r="AW12" s="267"/>
      <c r="AX12" s="267"/>
      <c r="AY12" s="267"/>
      <c r="AZ12" s="267"/>
      <c r="BA12" s="267"/>
      <c r="BB12" s="267"/>
      <c r="BC12" s="267"/>
      <c r="BD12" s="268"/>
      <c r="BE12" s="266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7"/>
      <c r="BS12" s="266"/>
      <c r="BT12" s="267"/>
      <c r="BU12" s="267"/>
      <c r="BV12" s="267"/>
      <c r="BW12" s="267"/>
      <c r="BX12" s="267"/>
      <c r="BY12" s="267"/>
      <c r="BZ12" s="267"/>
      <c r="CA12" s="267"/>
      <c r="CB12" s="268"/>
      <c r="CC12" s="285"/>
      <c r="CD12" s="267"/>
      <c r="CE12" s="267"/>
      <c r="CF12" s="267"/>
      <c r="CG12" s="267"/>
      <c r="CH12" s="267"/>
      <c r="CI12" s="267"/>
      <c r="CJ12" s="267"/>
      <c r="CK12" s="267"/>
      <c r="CL12" s="267"/>
      <c r="CM12" s="267"/>
      <c r="CN12" s="267"/>
      <c r="CO12" s="267"/>
      <c r="CP12" s="267"/>
      <c r="CQ12" s="267"/>
      <c r="CR12" s="267"/>
      <c r="CS12" s="268"/>
      <c r="CT12" s="266"/>
      <c r="CU12" s="267"/>
      <c r="CV12" s="267"/>
      <c r="CW12" s="267"/>
      <c r="CX12" s="267"/>
      <c r="CY12" s="267"/>
      <c r="CZ12" s="267"/>
      <c r="DA12" s="267"/>
      <c r="DB12" s="267"/>
      <c r="DC12" s="268"/>
      <c r="DD12" s="266"/>
      <c r="DE12" s="267"/>
      <c r="DF12" s="267"/>
      <c r="DG12" s="267"/>
      <c r="DH12" s="267"/>
      <c r="DI12" s="267"/>
      <c r="DJ12" s="267"/>
      <c r="DK12" s="267"/>
      <c r="DL12" s="267"/>
      <c r="DM12" s="268"/>
      <c r="DN12" s="266"/>
      <c r="DO12" s="267"/>
      <c r="DP12" s="267"/>
      <c r="DQ12" s="267"/>
      <c r="DR12" s="267"/>
      <c r="DS12" s="267"/>
      <c r="DT12" s="267"/>
      <c r="DU12" s="267"/>
      <c r="DV12" s="267"/>
      <c r="DW12" s="267"/>
      <c r="DX12" s="268"/>
      <c r="DY12" s="266"/>
      <c r="DZ12" s="267"/>
      <c r="EA12" s="267"/>
      <c r="EB12" s="267"/>
      <c r="EC12" s="267"/>
      <c r="ED12" s="267"/>
      <c r="EE12" s="267"/>
      <c r="EF12" s="268"/>
    </row>
    <row r="13" spans="1:136" s="42" customFormat="1" ht="24.95" customHeight="1">
      <c r="A13" s="134">
        <f>IF(B13&lt;&gt;"",COUNTA($B$8:B13),"")</f>
        <v>5</v>
      </c>
      <c r="B13" s="266" t="s">
        <v>155</v>
      </c>
      <c r="C13" s="267"/>
      <c r="D13" s="267"/>
      <c r="E13" s="267"/>
      <c r="F13" s="267"/>
      <c r="G13" s="267"/>
      <c r="H13" s="267"/>
      <c r="I13" s="267"/>
      <c r="J13" s="269"/>
      <c r="K13" s="262" t="s">
        <v>41</v>
      </c>
      <c r="L13" s="270"/>
      <c r="M13" s="302"/>
      <c r="N13" s="303"/>
      <c r="O13" s="262" t="s">
        <v>212</v>
      </c>
      <c r="P13" s="270"/>
      <c r="Q13" s="262" t="s">
        <v>207</v>
      </c>
      <c r="R13" s="279"/>
      <c r="S13" s="279"/>
      <c r="T13" s="262" t="s">
        <v>208</v>
      </c>
      <c r="U13" s="279"/>
      <c r="V13" s="270"/>
      <c r="W13" s="280" t="s">
        <v>207</v>
      </c>
      <c r="X13" s="281"/>
      <c r="Y13" s="282"/>
      <c r="Z13" s="280">
        <v>1</v>
      </c>
      <c r="AA13" s="281"/>
      <c r="AB13" s="282"/>
      <c r="AC13" s="283"/>
      <c r="AD13" s="305"/>
      <c r="AE13" s="273" t="s">
        <v>244</v>
      </c>
      <c r="AF13" s="274"/>
      <c r="AG13" s="274"/>
      <c r="AH13" s="274"/>
      <c r="AI13" s="274"/>
      <c r="AJ13" s="274"/>
      <c r="AK13" s="274"/>
      <c r="AL13" s="275"/>
      <c r="AM13" s="276" t="s">
        <v>216</v>
      </c>
      <c r="AN13" s="277"/>
      <c r="AO13" s="277"/>
      <c r="AP13" s="277"/>
      <c r="AQ13" s="277"/>
      <c r="AR13" s="277"/>
      <c r="AS13" s="277"/>
      <c r="AT13" s="278"/>
      <c r="AU13" s="266"/>
      <c r="AV13" s="267"/>
      <c r="AW13" s="267"/>
      <c r="AX13" s="267"/>
      <c r="AY13" s="267"/>
      <c r="AZ13" s="267"/>
      <c r="BA13" s="267"/>
      <c r="BB13" s="267"/>
      <c r="BC13" s="267"/>
      <c r="BD13" s="268"/>
      <c r="BE13" s="266"/>
      <c r="BF13" s="267"/>
      <c r="BG13" s="267"/>
      <c r="BH13" s="267"/>
      <c r="BI13" s="267"/>
      <c r="BJ13" s="267"/>
      <c r="BK13" s="267"/>
      <c r="BL13" s="267"/>
      <c r="BM13" s="267"/>
      <c r="BN13" s="267"/>
      <c r="BO13" s="267"/>
      <c r="BP13" s="267"/>
      <c r="BQ13" s="267"/>
      <c r="BR13" s="267"/>
      <c r="BS13" s="266"/>
      <c r="BT13" s="267"/>
      <c r="BU13" s="267"/>
      <c r="BV13" s="267"/>
      <c r="BW13" s="267"/>
      <c r="BX13" s="267"/>
      <c r="BY13" s="267"/>
      <c r="BZ13" s="267"/>
      <c r="CA13" s="267"/>
      <c r="CB13" s="268"/>
      <c r="CC13" s="266"/>
      <c r="CD13" s="267"/>
      <c r="CE13" s="267"/>
      <c r="CF13" s="267"/>
      <c r="CG13" s="267"/>
      <c r="CH13" s="267"/>
      <c r="CI13" s="267"/>
      <c r="CJ13" s="267"/>
      <c r="CK13" s="267"/>
      <c r="CL13" s="267"/>
      <c r="CM13" s="267"/>
      <c r="CN13" s="267"/>
      <c r="CO13" s="267"/>
      <c r="CP13" s="267"/>
      <c r="CQ13" s="267"/>
      <c r="CR13" s="267"/>
      <c r="CS13" s="268"/>
      <c r="CT13" s="266"/>
      <c r="CU13" s="267"/>
      <c r="CV13" s="267"/>
      <c r="CW13" s="267"/>
      <c r="CX13" s="267"/>
      <c r="CY13" s="267"/>
      <c r="CZ13" s="267"/>
      <c r="DA13" s="267"/>
      <c r="DB13" s="267"/>
      <c r="DC13" s="268"/>
      <c r="DD13" s="266"/>
      <c r="DE13" s="267"/>
      <c r="DF13" s="267"/>
      <c r="DG13" s="267"/>
      <c r="DH13" s="267"/>
      <c r="DI13" s="267"/>
      <c r="DJ13" s="267"/>
      <c r="DK13" s="267"/>
      <c r="DL13" s="267"/>
      <c r="DM13" s="268"/>
      <c r="DN13" s="266"/>
      <c r="DO13" s="267"/>
      <c r="DP13" s="267"/>
      <c r="DQ13" s="267"/>
      <c r="DR13" s="267"/>
      <c r="DS13" s="267"/>
      <c r="DT13" s="267"/>
      <c r="DU13" s="267"/>
      <c r="DV13" s="267"/>
      <c r="DW13" s="267"/>
      <c r="DX13" s="268"/>
      <c r="DY13" s="266"/>
      <c r="DZ13" s="267"/>
      <c r="EA13" s="267"/>
      <c r="EB13" s="267"/>
      <c r="EC13" s="267"/>
      <c r="ED13" s="267"/>
      <c r="EE13" s="267"/>
      <c r="EF13" s="268"/>
    </row>
    <row r="14" spans="1:136" s="42" customFormat="1" ht="39.950000000000003" customHeight="1">
      <c r="A14" s="134">
        <f>IF(B14&lt;&gt;"",COUNTA($B$8:B14),"")</f>
        <v>6</v>
      </c>
      <c r="B14" s="266" t="s">
        <v>156</v>
      </c>
      <c r="C14" s="267"/>
      <c r="D14" s="267"/>
      <c r="E14" s="267"/>
      <c r="F14" s="267"/>
      <c r="G14" s="267"/>
      <c r="H14" s="267"/>
      <c r="I14" s="267"/>
      <c r="J14" s="269"/>
      <c r="K14" s="262" t="s">
        <v>41</v>
      </c>
      <c r="L14" s="270"/>
      <c r="M14" s="302"/>
      <c r="N14" s="303"/>
      <c r="O14" s="262" t="s">
        <v>212</v>
      </c>
      <c r="P14" s="270"/>
      <c r="Q14" s="262" t="s">
        <v>207</v>
      </c>
      <c r="R14" s="279"/>
      <c r="S14" s="279"/>
      <c r="T14" s="262" t="s">
        <v>209</v>
      </c>
      <c r="U14" s="279"/>
      <c r="V14" s="270"/>
      <c r="W14" s="280" t="s">
        <v>245</v>
      </c>
      <c r="X14" s="281"/>
      <c r="Y14" s="282"/>
      <c r="Z14" s="280">
        <v>100</v>
      </c>
      <c r="AA14" s="281"/>
      <c r="AB14" s="282"/>
      <c r="AC14" s="283"/>
      <c r="AD14" s="305"/>
      <c r="AE14" s="337" t="s">
        <v>246</v>
      </c>
      <c r="AF14" s="338"/>
      <c r="AG14" s="338"/>
      <c r="AH14" s="338"/>
      <c r="AI14" s="338"/>
      <c r="AJ14" s="338"/>
      <c r="AK14" s="338"/>
      <c r="AL14" s="338"/>
      <c r="AM14" s="306" t="s">
        <v>247</v>
      </c>
      <c r="AN14" s="306"/>
      <c r="AO14" s="306"/>
      <c r="AP14" s="306"/>
      <c r="AQ14" s="306"/>
      <c r="AR14" s="306"/>
      <c r="AS14" s="306"/>
      <c r="AT14" s="307"/>
      <c r="AU14" s="266"/>
      <c r="AV14" s="267"/>
      <c r="AW14" s="267"/>
      <c r="AX14" s="267"/>
      <c r="AY14" s="267"/>
      <c r="AZ14" s="267"/>
      <c r="BA14" s="267"/>
      <c r="BB14" s="267"/>
      <c r="BC14" s="267"/>
      <c r="BD14" s="268"/>
      <c r="BE14" s="285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266"/>
      <c r="BT14" s="267"/>
      <c r="BU14" s="267"/>
      <c r="BV14" s="267"/>
      <c r="BW14" s="267"/>
      <c r="BX14" s="267"/>
      <c r="BY14" s="267"/>
      <c r="BZ14" s="267"/>
      <c r="CA14" s="267"/>
      <c r="CB14" s="268"/>
      <c r="CC14" s="266" t="s">
        <v>610</v>
      </c>
      <c r="CD14" s="267"/>
      <c r="CE14" s="267"/>
      <c r="CF14" s="267"/>
      <c r="CG14" s="267"/>
      <c r="CH14" s="267"/>
      <c r="CI14" s="267"/>
      <c r="CJ14" s="267"/>
      <c r="CK14" s="267"/>
      <c r="CL14" s="267"/>
      <c r="CM14" s="267"/>
      <c r="CN14" s="267"/>
      <c r="CO14" s="267"/>
      <c r="CP14" s="267"/>
      <c r="CQ14" s="267"/>
      <c r="CR14" s="267"/>
      <c r="CS14" s="268"/>
      <c r="CT14" s="266"/>
      <c r="CU14" s="267"/>
      <c r="CV14" s="267"/>
      <c r="CW14" s="267"/>
      <c r="CX14" s="267"/>
      <c r="CY14" s="267"/>
      <c r="CZ14" s="267"/>
      <c r="DA14" s="267"/>
      <c r="DB14" s="267"/>
      <c r="DC14" s="268"/>
      <c r="DD14" s="266"/>
      <c r="DE14" s="267"/>
      <c r="DF14" s="267"/>
      <c r="DG14" s="267"/>
      <c r="DH14" s="267"/>
      <c r="DI14" s="267"/>
      <c r="DJ14" s="267"/>
      <c r="DK14" s="267"/>
      <c r="DL14" s="267"/>
      <c r="DM14" s="268"/>
      <c r="DN14" s="266"/>
      <c r="DO14" s="267"/>
      <c r="DP14" s="267"/>
      <c r="DQ14" s="267"/>
      <c r="DR14" s="267"/>
      <c r="DS14" s="267"/>
      <c r="DT14" s="267"/>
      <c r="DU14" s="267"/>
      <c r="DV14" s="267"/>
      <c r="DW14" s="267"/>
      <c r="DX14" s="268"/>
      <c r="DY14" s="266"/>
      <c r="DZ14" s="267"/>
      <c r="EA14" s="267"/>
      <c r="EB14" s="267"/>
      <c r="EC14" s="267"/>
      <c r="ED14" s="267"/>
      <c r="EE14" s="267"/>
      <c r="EF14" s="268"/>
    </row>
    <row r="15" spans="1:136" s="42" customFormat="1" ht="12">
      <c r="A15" s="134">
        <f>IF(B15&lt;&gt;"",COUNTA($B$8:B15),"")</f>
        <v>7</v>
      </c>
      <c r="B15" s="266" t="s">
        <v>157</v>
      </c>
      <c r="C15" s="267"/>
      <c r="D15" s="267"/>
      <c r="E15" s="267"/>
      <c r="F15" s="267"/>
      <c r="G15" s="267"/>
      <c r="H15" s="267"/>
      <c r="I15" s="267"/>
      <c r="J15" s="269"/>
      <c r="K15" s="262" t="s">
        <v>41</v>
      </c>
      <c r="L15" s="270"/>
      <c r="M15" s="302"/>
      <c r="N15" s="303"/>
      <c r="O15" s="262" t="s">
        <v>212</v>
      </c>
      <c r="P15" s="270"/>
      <c r="Q15" s="262" t="s">
        <v>207</v>
      </c>
      <c r="R15" s="279"/>
      <c r="S15" s="279"/>
      <c r="T15" s="262" t="s">
        <v>210</v>
      </c>
      <c r="U15" s="279"/>
      <c r="V15" s="270"/>
      <c r="W15" s="280" t="s">
        <v>207</v>
      </c>
      <c r="X15" s="281"/>
      <c r="Y15" s="282"/>
      <c r="Z15" s="280">
        <v>3</v>
      </c>
      <c r="AA15" s="281"/>
      <c r="AB15" s="282"/>
      <c r="AC15" s="283"/>
      <c r="AD15" s="305"/>
      <c r="AE15" s="273" t="s">
        <v>244</v>
      </c>
      <c r="AF15" s="274"/>
      <c r="AG15" s="274"/>
      <c r="AH15" s="274"/>
      <c r="AI15" s="274"/>
      <c r="AJ15" s="274"/>
      <c r="AK15" s="274"/>
      <c r="AL15" s="275"/>
      <c r="AM15" s="306" t="s">
        <v>217</v>
      </c>
      <c r="AN15" s="306"/>
      <c r="AO15" s="306"/>
      <c r="AP15" s="306"/>
      <c r="AQ15" s="306"/>
      <c r="AR15" s="306"/>
      <c r="AS15" s="306"/>
      <c r="AT15" s="307"/>
      <c r="AU15" s="266"/>
      <c r="AV15" s="267"/>
      <c r="AW15" s="267"/>
      <c r="AX15" s="267"/>
      <c r="AY15" s="267"/>
      <c r="AZ15" s="267"/>
      <c r="BA15" s="267"/>
      <c r="BB15" s="267"/>
      <c r="BC15" s="267"/>
      <c r="BD15" s="268"/>
      <c r="BE15" s="266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266"/>
      <c r="BT15" s="267"/>
      <c r="BU15" s="267"/>
      <c r="BV15" s="267"/>
      <c r="BW15" s="267"/>
      <c r="BX15" s="267"/>
      <c r="BY15" s="267"/>
      <c r="BZ15" s="267"/>
      <c r="CA15" s="267"/>
      <c r="CB15" s="268"/>
      <c r="CC15" s="266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8"/>
      <c r="CT15" s="266"/>
      <c r="CU15" s="267"/>
      <c r="CV15" s="267"/>
      <c r="CW15" s="267"/>
      <c r="CX15" s="267"/>
      <c r="CY15" s="267"/>
      <c r="CZ15" s="267"/>
      <c r="DA15" s="267"/>
      <c r="DB15" s="267"/>
      <c r="DC15" s="268"/>
      <c r="DD15" s="266"/>
      <c r="DE15" s="267"/>
      <c r="DF15" s="267"/>
      <c r="DG15" s="267"/>
      <c r="DH15" s="267"/>
      <c r="DI15" s="267"/>
      <c r="DJ15" s="267"/>
      <c r="DK15" s="267"/>
      <c r="DL15" s="267"/>
      <c r="DM15" s="268"/>
      <c r="DN15" s="266"/>
      <c r="DO15" s="267"/>
      <c r="DP15" s="267"/>
      <c r="DQ15" s="267"/>
      <c r="DR15" s="267"/>
      <c r="DS15" s="267"/>
      <c r="DT15" s="267"/>
      <c r="DU15" s="267"/>
      <c r="DV15" s="267"/>
      <c r="DW15" s="267"/>
      <c r="DX15" s="268"/>
      <c r="DY15" s="266"/>
      <c r="DZ15" s="267"/>
      <c r="EA15" s="267"/>
      <c r="EB15" s="267"/>
      <c r="EC15" s="267"/>
      <c r="ED15" s="267"/>
      <c r="EE15" s="267"/>
      <c r="EF15" s="268"/>
    </row>
    <row r="16" spans="1:136" s="42" customFormat="1" ht="12">
      <c r="A16" s="134">
        <f>IF(B16&lt;&gt;"",COUNTA($B$8:B16),"")</f>
        <v>8</v>
      </c>
      <c r="B16" s="266" t="s">
        <v>158</v>
      </c>
      <c r="C16" s="267"/>
      <c r="D16" s="267"/>
      <c r="E16" s="267"/>
      <c r="F16" s="267"/>
      <c r="G16" s="267"/>
      <c r="H16" s="267"/>
      <c r="I16" s="267"/>
      <c r="J16" s="269"/>
      <c r="K16" s="262" t="s">
        <v>41</v>
      </c>
      <c r="L16" s="270"/>
      <c r="M16" s="302"/>
      <c r="N16" s="303"/>
      <c r="O16" s="262" t="s">
        <v>212</v>
      </c>
      <c r="P16" s="270"/>
      <c r="Q16" s="262" t="s">
        <v>207</v>
      </c>
      <c r="R16" s="279"/>
      <c r="S16" s="279"/>
      <c r="T16" s="262" t="s">
        <v>210</v>
      </c>
      <c r="U16" s="279"/>
      <c r="V16" s="270"/>
      <c r="W16" s="280" t="s">
        <v>207</v>
      </c>
      <c r="X16" s="281"/>
      <c r="Y16" s="282"/>
      <c r="Z16" s="280">
        <v>10</v>
      </c>
      <c r="AA16" s="281"/>
      <c r="AB16" s="282"/>
      <c r="AC16" s="304"/>
      <c r="AD16" s="305"/>
      <c r="AE16" s="273" t="s">
        <v>244</v>
      </c>
      <c r="AF16" s="274"/>
      <c r="AG16" s="274"/>
      <c r="AH16" s="274"/>
      <c r="AI16" s="274"/>
      <c r="AJ16" s="274"/>
      <c r="AK16" s="274"/>
      <c r="AL16" s="275"/>
      <c r="AM16" s="306" t="s">
        <v>218</v>
      </c>
      <c r="AN16" s="306"/>
      <c r="AO16" s="306"/>
      <c r="AP16" s="306"/>
      <c r="AQ16" s="306"/>
      <c r="AR16" s="306"/>
      <c r="AS16" s="306"/>
      <c r="AT16" s="307"/>
      <c r="AU16" s="266"/>
      <c r="AV16" s="267"/>
      <c r="AW16" s="267"/>
      <c r="AX16" s="267"/>
      <c r="AY16" s="267"/>
      <c r="AZ16" s="267"/>
      <c r="BA16" s="267"/>
      <c r="BB16" s="267"/>
      <c r="BC16" s="267"/>
      <c r="BD16" s="268"/>
      <c r="BE16" s="266"/>
      <c r="BF16" s="267"/>
      <c r="BG16" s="267"/>
      <c r="BH16" s="267"/>
      <c r="BI16" s="267"/>
      <c r="BJ16" s="267"/>
      <c r="BK16" s="267"/>
      <c r="BL16" s="267"/>
      <c r="BM16" s="267"/>
      <c r="BN16" s="267"/>
      <c r="BO16" s="267"/>
      <c r="BP16" s="267"/>
      <c r="BQ16" s="267"/>
      <c r="BR16" s="267"/>
      <c r="BS16" s="266"/>
      <c r="BT16" s="267"/>
      <c r="BU16" s="267"/>
      <c r="BV16" s="267"/>
      <c r="BW16" s="267"/>
      <c r="BX16" s="267"/>
      <c r="BY16" s="267"/>
      <c r="BZ16" s="267"/>
      <c r="CA16" s="267"/>
      <c r="CB16" s="268"/>
      <c r="CC16" s="266"/>
      <c r="CD16" s="267"/>
      <c r="CE16" s="267"/>
      <c r="CF16" s="267"/>
      <c r="CG16" s="267"/>
      <c r="CH16" s="267"/>
      <c r="CI16" s="267"/>
      <c r="CJ16" s="267"/>
      <c r="CK16" s="267"/>
      <c r="CL16" s="267"/>
      <c r="CM16" s="267"/>
      <c r="CN16" s="267"/>
      <c r="CO16" s="267"/>
      <c r="CP16" s="267"/>
      <c r="CQ16" s="267"/>
      <c r="CR16" s="267"/>
      <c r="CS16" s="268"/>
      <c r="CT16" s="266"/>
      <c r="CU16" s="267"/>
      <c r="CV16" s="267"/>
      <c r="CW16" s="267"/>
      <c r="CX16" s="267"/>
      <c r="CY16" s="267"/>
      <c r="CZ16" s="267"/>
      <c r="DA16" s="267"/>
      <c r="DB16" s="267"/>
      <c r="DC16" s="268"/>
      <c r="DD16" s="266"/>
      <c r="DE16" s="267"/>
      <c r="DF16" s="267"/>
      <c r="DG16" s="267"/>
      <c r="DH16" s="267"/>
      <c r="DI16" s="267"/>
      <c r="DJ16" s="267"/>
      <c r="DK16" s="267"/>
      <c r="DL16" s="267"/>
      <c r="DM16" s="268"/>
      <c r="DN16" s="266"/>
      <c r="DO16" s="267"/>
      <c r="DP16" s="267"/>
      <c r="DQ16" s="267"/>
      <c r="DR16" s="267"/>
      <c r="DS16" s="267"/>
      <c r="DT16" s="267"/>
      <c r="DU16" s="267"/>
      <c r="DV16" s="267"/>
      <c r="DW16" s="267"/>
      <c r="DX16" s="268"/>
      <c r="DY16" s="266"/>
      <c r="DZ16" s="267"/>
      <c r="EA16" s="267"/>
      <c r="EB16" s="267"/>
      <c r="EC16" s="267"/>
      <c r="ED16" s="267"/>
      <c r="EE16" s="267"/>
      <c r="EF16" s="268"/>
    </row>
    <row r="17" spans="1:136" s="42" customFormat="1" ht="12">
      <c r="A17" s="134">
        <f>IF(B17&lt;&gt;"",COUNTA($B$8:B17),"")</f>
        <v>9</v>
      </c>
      <c r="B17" s="266" t="s">
        <v>159</v>
      </c>
      <c r="C17" s="267"/>
      <c r="D17" s="267"/>
      <c r="E17" s="267"/>
      <c r="F17" s="267"/>
      <c r="G17" s="267"/>
      <c r="H17" s="267"/>
      <c r="I17" s="267"/>
      <c r="J17" s="269"/>
      <c r="K17" s="262" t="s">
        <v>41</v>
      </c>
      <c r="L17" s="270"/>
      <c r="M17" s="302"/>
      <c r="N17" s="303"/>
      <c r="O17" s="262" t="s">
        <v>212</v>
      </c>
      <c r="P17" s="270"/>
      <c r="Q17" s="262" t="s">
        <v>207</v>
      </c>
      <c r="R17" s="279"/>
      <c r="S17" s="279"/>
      <c r="T17" s="262" t="s">
        <v>210</v>
      </c>
      <c r="U17" s="279"/>
      <c r="V17" s="270"/>
      <c r="W17" s="280" t="s">
        <v>207</v>
      </c>
      <c r="X17" s="281"/>
      <c r="Y17" s="282"/>
      <c r="Z17" s="280">
        <v>10</v>
      </c>
      <c r="AA17" s="281"/>
      <c r="AB17" s="282"/>
      <c r="AC17" s="304"/>
      <c r="AD17" s="305"/>
      <c r="AE17" s="273" t="s">
        <v>244</v>
      </c>
      <c r="AF17" s="274"/>
      <c r="AG17" s="274"/>
      <c r="AH17" s="274"/>
      <c r="AI17" s="274"/>
      <c r="AJ17" s="274"/>
      <c r="AK17" s="274"/>
      <c r="AL17" s="275"/>
      <c r="AM17" s="306" t="s">
        <v>219</v>
      </c>
      <c r="AN17" s="306"/>
      <c r="AO17" s="306"/>
      <c r="AP17" s="306"/>
      <c r="AQ17" s="306"/>
      <c r="AR17" s="306"/>
      <c r="AS17" s="306"/>
      <c r="AT17" s="307"/>
      <c r="AU17" s="266"/>
      <c r="AV17" s="267"/>
      <c r="AW17" s="267"/>
      <c r="AX17" s="267"/>
      <c r="AY17" s="267"/>
      <c r="AZ17" s="267"/>
      <c r="BA17" s="267"/>
      <c r="BB17" s="267"/>
      <c r="BC17" s="267"/>
      <c r="BD17" s="268"/>
      <c r="BE17" s="285"/>
      <c r="BF17" s="267"/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267"/>
      <c r="BS17" s="266"/>
      <c r="BT17" s="267"/>
      <c r="BU17" s="267"/>
      <c r="BV17" s="267"/>
      <c r="BW17" s="267"/>
      <c r="BX17" s="267"/>
      <c r="BY17" s="267"/>
      <c r="BZ17" s="267"/>
      <c r="CA17" s="267"/>
      <c r="CB17" s="268"/>
      <c r="CC17" s="266"/>
      <c r="CD17" s="267"/>
      <c r="CE17" s="267"/>
      <c r="CF17" s="267"/>
      <c r="CG17" s="267"/>
      <c r="CH17" s="267"/>
      <c r="CI17" s="267"/>
      <c r="CJ17" s="267"/>
      <c r="CK17" s="267"/>
      <c r="CL17" s="267"/>
      <c r="CM17" s="267"/>
      <c r="CN17" s="267"/>
      <c r="CO17" s="267"/>
      <c r="CP17" s="267"/>
      <c r="CQ17" s="267"/>
      <c r="CR17" s="267"/>
      <c r="CS17" s="268"/>
      <c r="CT17" s="266"/>
      <c r="CU17" s="267"/>
      <c r="CV17" s="267"/>
      <c r="CW17" s="267"/>
      <c r="CX17" s="267"/>
      <c r="CY17" s="267"/>
      <c r="CZ17" s="267"/>
      <c r="DA17" s="267"/>
      <c r="DB17" s="267"/>
      <c r="DC17" s="268"/>
      <c r="DD17" s="266"/>
      <c r="DE17" s="267"/>
      <c r="DF17" s="267"/>
      <c r="DG17" s="267"/>
      <c r="DH17" s="267"/>
      <c r="DI17" s="267"/>
      <c r="DJ17" s="267"/>
      <c r="DK17" s="267"/>
      <c r="DL17" s="267"/>
      <c r="DM17" s="268"/>
      <c r="DN17" s="266"/>
      <c r="DO17" s="267"/>
      <c r="DP17" s="267"/>
      <c r="DQ17" s="267"/>
      <c r="DR17" s="267"/>
      <c r="DS17" s="267"/>
      <c r="DT17" s="267"/>
      <c r="DU17" s="267"/>
      <c r="DV17" s="267"/>
      <c r="DW17" s="267"/>
      <c r="DX17" s="268"/>
      <c r="DY17" s="266"/>
      <c r="DZ17" s="267"/>
      <c r="EA17" s="267"/>
      <c r="EB17" s="267"/>
      <c r="EC17" s="267"/>
      <c r="ED17" s="267"/>
      <c r="EE17" s="267"/>
      <c r="EF17" s="268"/>
    </row>
    <row r="18" spans="1:136" s="42" customFormat="1" ht="12">
      <c r="A18" s="134">
        <f>IF(B18&lt;&gt;"",COUNTA($B$8:B18),"")</f>
        <v>10</v>
      </c>
      <c r="B18" s="266" t="s">
        <v>160</v>
      </c>
      <c r="C18" s="267"/>
      <c r="D18" s="267"/>
      <c r="E18" s="267"/>
      <c r="F18" s="267"/>
      <c r="G18" s="267"/>
      <c r="H18" s="267"/>
      <c r="I18" s="267"/>
      <c r="J18" s="269"/>
      <c r="K18" s="262" t="s">
        <v>41</v>
      </c>
      <c r="L18" s="270"/>
      <c r="M18" s="302"/>
      <c r="N18" s="303"/>
      <c r="O18" s="262" t="s">
        <v>212</v>
      </c>
      <c r="P18" s="270"/>
      <c r="Q18" s="262" t="s">
        <v>207</v>
      </c>
      <c r="R18" s="279"/>
      <c r="S18" s="279"/>
      <c r="T18" s="262" t="s">
        <v>208</v>
      </c>
      <c r="U18" s="279"/>
      <c r="V18" s="270"/>
      <c r="W18" s="280" t="s">
        <v>207</v>
      </c>
      <c r="X18" s="281"/>
      <c r="Y18" s="282"/>
      <c r="Z18" s="280">
        <v>1</v>
      </c>
      <c r="AA18" s="281"/>
      <c r="AB18" s="282"/>
      <c r="AC18" s="304"/>
      <c r="AD18" s="305"/>
      <c r="AE18" s="273" t="s">
        <v>244</v>
      </c>
      <c r="AF18" s="274"/>
      <c r="AG18" s="274"/>
      <c r="AH18" s="274"/>
      <c r="AI18" s="274"/>
      <c r="AJ18" s="274"/>
      <c r="AK18" s="274"/>
      <c r="AL18" s="275"/>
      <c r="AM18" s="306" t="s">
        <v>220</v>
      </c>
      <c r="AN18" s="306"/>
      <c r="AO18" s="306"/>
      <c r="AP18" s="306"/>
      <c r="AQ18" s="306"/>
      <c r="AR18" s="306"/>
      <c r="AS18" s="306"/>
      <c r="AT18" s="307"/>
      <c r="AU18" s="266"/>
      <c r="AV18" s="267"/>
      <c r="AW18" s="267"/>
      <c r="AX18" s="267"/>
      <c r="AY18" s="267"/>
      <c r="AZ18" s="267"/>
      <c r="BA18" s="267"/>
      <c r="BB18" s="267"/>
      <c r="BC18" s="267"/>
      <c r="BD18" s="268"/>
      <c r="BE18" s="266"/>
      <c r="BF18" s="267"/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267"/>
      <c r="BS18" s="266"/>
      <c r="BT18" s="267"/>
      <c r="BU18" s="267"/>
      <c r="BV18" s="267"/>
      <c r="BW18" s="267"/>
      <c r="BX18" s="267"/>
      <c r="BY18" s="267"/>
      <c r="BZ18" s="267"/>
      <c r="CA18" s="267"/>
      <c r="CB18" s="268"/>
      <c r="CC18" s="266"/>
      <c r="CD18" s="267"/>
      <c r="CE18" s="267"/>
      <c r="CF18" s="267"/>
      <c r="CG18" s="267"/>
      <c r="CH18" s="267"/>
      <c r="CI18" s="267"/>
      <c r="CJ18" s="267"/>
      <c r="CK18" s="267"/>
      <c r="CL18" s="267"/>
      <c r="CM18" s="267"/>
      <c r="CN18" s="267"/>
      <c r="CO18" s="267"/>
      <c r="CP18" s="267"/>
      <c r="CQ18" s="267"/>
      <c r="CR18" s="267"/>
      <c r="CS18" s="268"/>
      <c r="CT18" s="266"/>
      <c r="CU18" s="267"/>
      <c r="CV18" s="267"/>
      <c r="CW18" s="267"/>
      <c r="CX18" s="267"/>
      <c r="CY18" s="267"/>
      <c r="CZ18" s="267"/>
      <c r="DA18" s="267"/>
      <c r="DB18" s="267"/>
      <c r="DC18" s="268"/>
      <c r="DD18" s="266"/>
      <c r="DE18" s="267"/>
      <c r="DF18" s="267"/>
      <c r="DG18" s="267"/>
      <c r="DH18" s="267"/>
      <c r="DI18" s="267"/>
      <c r="DJ18" s="267"/>
      <c r="DK18" s="267"/>
      <c r="DL18" s="267"/>
      <c r="DM18" s="268"/>
      <c r="DN18" s="266"/>
      <c r="DO18" s="267"/>
      <c r="DP18" s="267"/>
      <c r="DQ18" s="267"/>
      <c r="DR18" s="267"/>
      <c r="DS18" s="267"/>
      <c r="DT18" s="267"/>
      <c r="DU18" s="267"/>
      <c r="DV18" s="267"/>
      <c r="DW18" s="267"/>
      <c r="DX18" s="268"/>
      <c r="DY18" s="266"/>
      <c r="DZ18" s="267"/>
      <c r="EA18" s="267"/>
      <c r="EB18" s="267"/>
      <c r="EC18" s="267"/>
      <c r="ED18" s="267"/>
      <c r="EE18" s="267"/>
      <c r="EF18" s="268"/>
    </row>
    <row r="19" spans="1:136" s="42" customFormat="1" ht="39.950000000000003" customHeight="1">
      <c r="A19" s="134">
        <f>IF(B19&lt;&gt;"",COUNTA($B$8:B19),"")</f>
        <v>11</v>
      </c>
      <c r="B19" s="266" t="s">
        <v>161</v>
      </c>
      <c r="C19" s="267"/>
      <c r="D19" s="267"/>
      <c r="E19" s="267"/>
      <c r="F19" s="267"/>
      <c r="G19" s="267"/>
      <c r="H19" s="267"/>
      <c r="I19" s="267"/>
      <c r="J19" s="269"/>
      <c r="K19" s="262" t="s">
        <v>41</v>
      </c>
      <c r="L19" s="270"/>
      <c r="M19" s="302"/>
      <c r="N19" s="303"/>
      <c r="O19" s="262" t="s">
        <v>212</v>
      </c>
      <c r="P19" s="270"/>
      <c r="Q19" s="262" t="s">
        <v>207</v>
      </c>
      <c r="R19" s="279"/>
      <c r="S19" s="279"/>
      <c r="T19" s="262" t="s">
        <v>209</v>
      </c>
      <c r="U19" s="279"/>
      <c r="V19" s="270"/>
      <c r="W19" s="280" t="s">
        <v>245</v>
      </c>
      <c r="X19" s="281"/>
      <c r="Y19" s="282"/>
      <c r="Z19" s="280">
        <v>100</v>
      </c>
      <c r="AA19" s="281"/>
      <c r="AB19" s="282"/>
      <c r="AC19" s="304"/>
      <c r="AD19" s="305"/>
      <c r="AE19" s="273" t="s">
        <v>246</v>
      </c>
      <c r="AF19" s="274"/>
      <c r="AG19" s="274"/>
      <c r="AH19" s="274"/>
      <c r="AI19" s="274"/>
      <c r="AJ19" s="274"/>
      <c r="AK19" s="274"/>
      <c r="AL19" s="275"/>
      <c r="AM19" s="306" t="s">
        <v>247</v>
      </c>
      <c r="AN19" s="306"/>
      <c r="AO19" s="306"/>
      <c r="AP19" s="306"/>
      <c r="AQ19" s="306"/>
      <c r="AR19" s="306"/>
      <c r="AS19" s="306"/>
      <c r="AT19" s="307"/>
      <c r="AU19" s="266"/>
      <c r="AV19" s="267"/>
      <c r="AW19" s="267"/>
      <c r="AX19" s="267"/>
      <c r="AY19" s="267"/>
      <c r="AZ19" s="267"/>
      <c r="BA19" s="267"/>
      <c r="BB19" s="267"/>
      <c r="BC19" s="267"/>
      <c r="BD19" s="268"/>
      <c r="BE19" s="266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266"/>
      <c r="BT19" s="267"/>
      <c r="BU19" s="267"/>
      <c r="BV19" s="267"/>
      <c r="BW19" s="267"/>
      <c r="BX19" s="267"/>
      <c r="BY19" s="267"/>
      <c r="BZ19" s="267"/>
      <c r="CA19" s="267"/>
      <c r="CB19" s="268"/>
      <c r="CC19" s="266" t="s">
        <v>559</v>
      </c>
      <c r="CD19" s="267"/>
      <c r="CE19" s="267"/>
      <c r="CF19" s="267"/>
      <c r="CG19" s="267"/>
      <c r="CH19" s="267"/>
      <c r="CI19" s="267"/>
      <c r="CJ19" s="267"/>
      <c r="CK19" s="267"/>
      <c r="CL19" s="267"/>
      <c r="CM19" s="267"/>
      <c r="CN19" s="267"/>
      <c r="CO19" s="267"/>
      <c r="CP19" s="267"/>
      <c r="CQ19" s="267"/>
      <c r="CR19" s="267"/>
      <c r="CS19" s="268"/>
      <c r="CT19" s="266"/>
      <c r="CU19" s="267"/>
      <c r="CV19" s="267"/>
      <c r="CW19" s="267"/>
      <c r="CX19" s="267"/>
      <c r="CY19" s="267"/>
      <c r="CZ19" s="267"/>
      <c r="DA19" s="267"/>
      <c r="DB19" s="267"/>
      <c r="DC19" s="268"/>
      <c r="DD19" s="266"/>
      <c r="DE19" s="267"/>
      <c r="DF19" s="267"/>
      <c r="DG19" s="267"/>
      <c r="DH19" s="267"/>
      <c r="DI19" s="267"/>
      <c r="DJ19" s="267"/>
      <c r="DK19" s="267"/>
      <c r="DL19" s="267"/>
      <c r="DM19" s="268"/>
      <c r="DN19" s="266"/>
      <c r="DO19" s="267"/>
      <c r="DP19" s="267"/>
      <c r="DQ19" s="267"/>
      <c r="DR19" s="267"/>
      <c r="DS19" s="267"/>
      <c r="DT19" s="267"/>
      <c r="DU19" s="267"/>
      <c r="DV19" s="267"/>
      <c r="DW19" s="267"/>
      <c r="DX19" s="268"/>
      <c r="DY19" s="266"/>
      <c r="DZ19" s="267"/>
      <c r="EA19" s="267"/>
      <c r="EB19" s="267"/>
      <c r="EC19" s="267"/>
      <c r="ED19" s="267"/>
      <c r="EE19" s="267"/>
      <c r="EF19" s="268"/>
    </row>
    <row r="20" spans="1:136" s="42" customFormat="1" ht="12">
      <c r="A20" s="134">
        <f>IF(B20&lt;&gt;"",COUNTA($B$8:B20),"")</f>
        <v>12</v>
      </c>
      <c r="B20" s="266" t="s">
        <v>162</v>
      </c>
      <c r="C20" s="267"/>
      <c r="D20" s="267"/>
      <c r="E20" s="267"/>
      <c r="F20" s="267"/>
      <c r="G20" s="267"/>
      <c r="H20" s="267"/>
      <c r="I20" s="267"/>
      <c r="J20" s="269"/>
      <c r="K20" s="262" t="s">
        <v>41</v>
      </c>
      <c r="L20" s="270"/>
      <c r="M20" s="302"/>
      <c r="N20" s="303"/>
      <c r="O20" s="262" t="s">
        <v>212</v>
      </c>
      <c r="P20" s="270"/>
      <c r="Q20" s="262" t="s">
        <v>207</v>
      </c>
      <c r="R20" s="279"/>
      <c r="S20" s="279"/>
      <c r="T20" s="262" t="s">
        <v>210</v>
      </c>
      <c r="U20" s="279"/>
      <c r="V20" s="270"/>
      <c r="W20" s="280" t="s">
        <v>207</v>
      </c>
      <c r="X20" s="281"/>
      <c r="Y20" s="282"/>
      <c r="Z20" s="280">
        <v>3</v>
      </c>
      <c r="AA20" s="281"/>
      <c r="AB20" s="282"/>
      <c r="AC20" s="304"/>
      <c r="AD20" s="305"/>
      <c r="AE20" s="273" t="s">
        <v>244</v>
      </c>
      <c r="AF20" s="274"/>
      <c r="AG20" s="274"/>
      <c r="AH20" s="274"/>
      <c r="AI20" s="274"/>
      <c r="AJ20" s="274"/>
      <c r="AK20" s="274"/>
      <c r="AL20" s="275"/>
      <c r="AM20" s="306" t="s">
        <v>221</v>
      </c>
      <c r="AN20" s="306"/>
      <c r="AO20" s="306"/>
      <c r="AP20" s="306"/>
      <c r="AQ20" s="306"/>
      <c r="AR20" s="306"/>
      <c r="AS20" s="306"/>
      <c r="AT20" s="307"/>
      <c r="AU20" s="266"/>
      <c r="AV20" s="267"/>
      <c r="AW20" s="267"/>
      <c r="AX20" s="267"/>
      <c r="AY20" s="267"/>
      <c r="AZ20" s="267"/>
      <c r="BA20" s="267"/>
      <c r="BB20" s="267"/>
      <c r="BC20" s="267"/>
      <c r="BD20" s="268"/>
      <c r="BE20" s="285"/>
      <c r="BF20" s="267"/>
      <c r="BG20" s="267"/>
      <c r="BH20" s="267"/>
      <c r="BI20" s="267"/>
      <c r="BJ20" s="267"/>
      <c r="BK20" s="267"/>
      <c r="BL20" s="267"/>
      <c r="BM20" s="267"/>
      <c r="BN20" s="267"/>
      <c r="BO20" s="267"/>
      <c r="BP20" s="267"/>
      <c r="BQ20" s="267"/>
      <c r="BR20" s="267"/>
      <c r="BS20" s="266"/>
      <c r="BT20" s="267"/>
      <c r="BU20" s="267"/>
      <c r="BV20" s="267"/>
      <c r="BW20" s="267"/>
      <c r="BX20" s="267"/>
      <c r="BY20" s="267"/>
      <c r="BZ20" s="267"/>
      <c r="CA20" s="267"/>
      <c r="CB20" s="268"/>
      <c r="CC20" s="285"/>
      <c r="CD20" s="267"/>
      <c r="CE20" s="267"/>
      <c r="CF20" s="267"/>
      <c r="CG20" s="267"/>
      <c r="CH20" s="267"/>
      <c r="CI20" s="267"/>
      <c r="CJ20" s="267"/>
      <c r="CK20" s="267"/>
      <c r="CL20" s="267"/>
      <c r="CM20" s="267"/>
      <c r="CN20" s="267"/>
      <c r="CO20" s="267"/>
      <c r="CP20" s="267"/>
      <c r="CQ20" s="267"/>
      <c r="CR20" s="267"/>
      <c r="CS20" s="268"/>
      <c r="CT20" s="266"/>
      <c r="CU20" s="267"/>
      <c r="CV20" s="267"/>
      <c r="CW20" s="267"/>
      <c r="CX20" s="267"/>
      <c r="CY20" s="267"/>
      <c r="CZ20" s="267"/>
      <c r="DA20" s="267"/>
      <c r="DB20" s="267"/>
      <c r="DC20" s="268"/>
      <c r="DD20" s="266"/>
      <c r="DE20" s="267"/>
      <c r="DF20" s="267"/>
      <c r="DG20" s="267"/>
      <c r="DH20" s="267"/>
      <c r="DI20" s="267"/>
      <c r="DJ20" s="267"/>
      <c r="DK20" s="267"/>
      <c r="DL20" s="267"/>
      <c r="DM20" s="268"/>
      <c r="DN20" s="266"/>
      <c r="DO20" s="267"/>
      <c r="DP20" s="267"/>
      <c r="DQ20" s="267"/>
      <c r="DR20" s="267"/>
      <c r="DS20" s="267"/>
      <c r="DT20" s="267"/>
      <c r="DU20" s="267"/>
      <c r="DV20" s="267"/>
      <c r="DW20" s="267"/>
      <c r="DX20" s="268"/>
      <c r="DY20" s="266"/>
      <c r="DZ20" s="267"/>
      <c r="EA20" s="267"/>
      <c r="EB20" s="267"/>
      <c r="EC20" s="267"/>
      <c r="ED20" s="267"/>
      <c r="EE20" s="267"/>
      <c r="EF20" s="268"/>
    </row>
    <row r="21" spans="1:136" s="42" customFormat="1" ht="12">
      <c r="A21" s="134">
        <f>IF(B21&lt;&gt;"",COUNTA($B$8:B21),"")</f>
        <v>13</v>
      </c>
      <c r="B21" s="266" t="s">
        <v>163</v>
      </c>
      <c r="C21" s="267"/>
      <c r="D21" s="267"/>
      <c r="E21" s="267"/>
      <c r="F21" s="267"/>
      <c r="G21" s="267"/>
      <c r="H21" s="267"/>
      <c r="I21" s="267"/>
      <c r="J21" s="269"/>
      <c r="K21" s="262" t="s">
        <v>41</v>
      </c>
      <c r="L21" s="270"/>
      <c r="M21" s="271"/>
      <c r="N21" s="272"/>
      <c r="O21" s="262" t="s">
        <v>212</v>
      </c>
      <c r="P21" s="270"/>
      <c r="Q21" s="262" t="s">
        <v>207</v>
      </c>
      <c r="R21" s="279"/>
      <c r="S21" s="279"/>
      <c r="T21" s="262" t="s">
        <v>210</v>
      </c>
      <c r="U21" s="279"/>
      <c r="V21" s="270"/>
      <c r="W21" s="280" t="s">
        <v>207</v>
      </c>
      <c r="X21" s="281"/>
      <c r="Y21" s="282"/>
      <c r="Z21" s="280">
        <v>3</v>
      </c>
      <c r="AA21" s="281"/>
      <c r="AB21" s="282"/>
      <c r="AC21" s="283"/>
      <c r="AD21" s="284"/>
      <c r="AE21" s="273" t="s">
        <v>244</v>
      </c>
      <c r="AF21" s="274"/>
      <c r="AG21" s="274"/>
      <c r="AH21" s="274"/>
      <c r="AI21" s="274"/>
      <c r="AJ21" s="274"/>
      <c r="AK21" s="274"/>
      <c r="AL21" s="275"/>
      <c r="AM21" s="276" t="s">
        <v>222</v>
      </c>
      <c r="AN21" s="277"/>
      <c r="AO21" s="277"/>
      <c r="AP21" s="277"/>
      <c r="AQ21" s="277"/>
      <c r="AR21" s="277"/>
      <c r="AS21" s="277"/>
      <c r="AT21" s="278"/>
      <c r="AU21" s="285"/>
      <c r="AV21" s="286"/>
      <c r="AW21" s="286"/>
      <c r="AX21" s="286"/>
      <c r="AY21" s="286"/>
      <c r="AZ21" s="286"/>
      <c r="BA21" s="286"/>
      <c r="BB21" s="286"/>
      <c r="BC21" s="286"/>
      <c r="BD21" s="287"/>
      <c r="BE21" s="266"/>
      <c r="BF21" s="267"/>
      <c r="BG21" s="267"/>
      <c r="BH21" s="267"/>
      <c r="BI21" s="267"/>
      <c r="BJ21" s="267"/>
      <c r="BK21" s="267"/>
      <c r="BL21" s="267"/>
      <c r="BM21" s="267"/>
      <c r="BN21" s="267"/>
      <c r="BO21" s="267"/>
      <c r="BP21" s="267"/>
      <c r="BQ21" s="267"/>
      <c r="BR21" s="267"/>
      <c r="BS21" s="285"/>
      <c r="BT21" s="286"/>
      <c r="BU21" s="286"/>
      <c r="BV21" s="286"/>
      <c r="BW21" s="286"/>
      <c r="BX21" s="286"/>
      <c r="BY21" s="286"/>
      <c r="BZ21" s="286"/>
      <c r="CA21" s="286"/>
      <c r="CB21" s="287"/>
      <c r="CC21" s="266"/>
      <c r="CD21" s="267"/>
      <c r="CE21" s="267"/>
      <c r="CF21" s="267"/>
      <c r="CG21" s="267"/>
      <c r="CH21" s="267"/>
      <c r="CI21" s="267"/>
      <c r="CJ21" s="267"/>
      <c r="CK21" s="267"/>
      <c r="CL21" s="267"/>
      <c r="CM21" s="267"/>
      <c r="CN21" s="267"/>
      <c r="CO21" s="267"/>
      <c r="CP21" s="267"/>
      <c r="CQ21" s="267"/>
      <c r="CR21" s="267"/>
      <c r="CS21" s="268"/>
      <c r="CT21" s="266"/>
      <c r="CU21" s="267"/>
      <c r="CV21" s="267"/>
      <c r="CW21" s="267"/>
      <c r="CX21" s="267"/>
      <c r="CY21" s="267"/>
      <c r="CZ21" s="267"/>
      <c r="DA21" s="267"/>
      <c r="DB21" s="267"/>
      <c r="DC21" s="268"/>
      <c r="DD21" s="266"/>
      <c r="DE21" s="267"/>
      <c r="DF21" s="267"/>
      <c r="DG21" s="267"/>
      <c r="DH21" s="267"/>
      <c r="DI21" s="267"/>
      <c r="DJ21" s="267"/>
      <c r="DK21" s="267"/>
      <c r="DL21" s="267"/>
      <c r="DM21" s="268"/>
      <c r="DN21" s="266"/>
      <c r="DO21" s="267"/>
      <c r="DP21" s="267"/>
      <c r="DQ21" s="267"/>
      <c r="DR21" s="267"/>
      <c r="DS21" s="267"/>
      <c r="DT21" s="267"/>
      <c r="DU21" s="267"/>
      <c r="DV21" s="267"/>
      <c r="DW21" s="267"/>
      <c r="DX21" s="268"/>
      <c r="DY21" s="266"/>
      <c r="DZ21" s="267"/>
      <c r="EA21" s="267"/>
      <c r="EB21" s="267"/>
      <c r="EC21" s="267"/>
      <c r="ED21" s="267"/>
      <c r="EE21" s="267"/>
      <c r="EF21" s="268"/>
    </row>
    <row r="22" spans="1:136" s="42" customFormat="1" ht="12">
      <c r="A22" s="134">
        <f>IF(B22&lt;&gt;"",COUNTA($B$8:B22),"")</f>
        <v>14</v>
      </c>
      <c r="B22" s="266" t="s">
        <v>164</v>
      </c>
      <c r="C22" s="267"/>
      <c r="D22" s="267"/>
      <c r="E22" s="267"/>
      <c r="F22" s="267"/>
      <c r="G22" s="267"/>
      <c r="H22" s="267"/>
      <c r="I22" s="267"/>
      <c r="J22" s="269"/>
      <c r="K22" s="262" t="s">
        <v>41</v>
      </c>
      <c r="L22" s="270"/>
      <c r="M22" s="302"/>
      <c r="N22" s="303"/>
      <c r="O22" s="262" t="s">
        <v>212</v>
      </c>
      <c r="P22" s="270"/>
      <c r="Q22" s="262" t="s">
        <v>207</v>
      </c>
      <c r="R22" s="279"/>
      <c r="S22" s="279"/>
      <c r="T22" s="262" t="s">
        <v>252</v>
      </c>
      <c r="U22" s="279"/>
      <c r="V22" s="270"/>
      <c r="W22" s="280" t="s">
        <v>207</v>
      </c>
      <c r="X22" s="281"/>
      <c r="Y22" s="282"/>
      <c r="Z22" s="280" t="s">
        <v>239</v>
      </c>
      <c r="AA22" s="281"/>
      <c r="AB22" s="282"/>
      <c r="AC22" s="304"/>
      <c r="AD22" s="305"/>
      <c r="AE22" s="273" t="s">
        <v>244</v>
      </c>
      <c r="AF22" s="274"/>
      <c r="AG22" s="274"/>
      <c r="AH22" s="274"/>
      <c r="AI22" s="274"/>
      <c r="AJ22" s="274"/>
      <c r="AK22" s="274"/>
      <c r="AL22" s="275"/>
      <c r="AM22" s="306" t="s">
        <v>164</v>
      </c>
      <c r="AN22" s="306"/>
      <c r="AO22" s="306"/>
      <c r="AP22" s="306"/>
      <c r="AQ22" s="306"/>
      <c r="AR22" s="306"/>
      <c r="AS22" s="306"/>
      <c r="AT22" s="307"/>
      <c r="AU22" s="266"/>
      <c r="AV22" s="267"/>
      <c r="AW22" s="267"/>
      <c r="AX22" s="267"/>
      <c r="AY22" s="267"/>
      <c r="AZ22" s="267"/>
      <c r="BA22" s="267"/>
      <c r="BB22" s="267"/>
      <c r="BC22" s="267"/>
      <c r="BD22" s="268"/>
      <c r="BE22" s="266"/>
      <c r="BF22" s="267"/>
      <c r="BG22" s="267"/>
      <c r="BH22" s="267"/>
      <c r="BI22" s="267"/>
      <c r="BJ22" s="267"/>
      <c r="BK22" s="267"/>
      <c r="BL22" s="267"/>
      <c r="BM22" s="267"/>
      <c r="BN22" s="267"/>
      <c r="BO22" s="267"/>
      <c r="BP22" s="267"/>
      <c r="BQ22" s="267"/>
      <c r="BR22" s="267"/>
      <c r="BS22" s="266"/>
      <c r="BT22" s="267"/>
      <c r="BU22" s="267"/>
      <c r="BV22" s="267"/>
      <c r="BW22" s="267"/>
      <c r="BX22" s="267"/>
      <c r="BY22" s="267"/>
      <c r="BZ22" s="267"/>
      <c r="CA22" s="267"/>
      <c r="CB22" s="268"/>
      <c r="CC22" s="266"/>
      <c r="CD22" s="267"/>
      <c r="CE22" s="267"/>
      <c r="CF22" s="267"/>
      <c r="CG22" s="267"/>
      <c r="CH22" s="267"/>
      <c r="CI22" s="267"/>
      <c r="CJ22" s="267"/>
      <c r="CK22" s="267"/>
      <c r="CL22" s="267"/>
      <c r="CM22" s="267"/>
      <c r="CN22" s="267"/>
      <c r="CO22" s="267"/>
      <c r="CP22" s="267"/>
      <c r="CQ22" s="267"/>
      <c r="CR22" s="267"/>
      <c r="CS22" s="268"/>
      <c r="CT22" s="266"/>
      <c r="CU22" s="267"/>
      <c r="CV22" s="267"/>
      <c r="CW22" s="267"/>
      <c r="CX22" s="267"/>
      <c r="CY22" s="267"/>
      <c r="CZ22" s="267"/>
      <c r="DA22" s="267"/>
      <c r="DB22" s="267"/>
      <c r="DC22" s="268"/>
      <c r="DD22" s="266"/>
      <c r="DE22" s="267"/>
      <c r="DF22" s="267"/>
      <c r="DG22" s="267"/>
      <c r="DH22" s="267"/>
      <c r="DI22" s="267"/>
      <c r="DJ22" s="267"/>
      <c r="DK22" s="267"/>
      <c r="DL22" s="267"/>
      <c r="DM22" s="268"/>
      <c r="DN22" s="266"/>
      <c r="DO22" s="267"/>
      <c r="DP22" s="267"/>
      <c r="DQ22" s="267"/>
      <c r="DR22" s="267"/>
      <c r="DS22" s="267"/>
      <c r="DT22" s="267"/>
      <c r="DU22" s="267"/>
      <c r="DV22" s="267"/>
      <c r="DW22" s="267"/>
      <c r="DX22" s="268"/>
      <c r="DY22" s="266"/>
      <c r="DZ22" s="267"/>
      <c r="EA22" s="267"/>
      <c r="EB22" s="267"/>
      <c r="EC22" s="267"/>
      <c r="ED22" s="267"/>
      <c r="EE22" s="267"/>
      <c r="EF22" s="268"/>
    </row>
    <row r="23" spans="1:136" s="42" customFormat="1" ht="12">
      <c r="A23" s="134">
        <f>IF(B23&lt;&gt;"",COUNTA($B$8:B23),"")</f>
        <v>15</v>
      </c>
      <c r="B23" s="266" t="s">
        <v>165</v>
      </c>
      <c r="C23" s="267"/>
      <c r="D23" s="267"/>
      <c r="E23" s="267"/>
      <c r="F23" s="267"/>
      <c r="G23" s="267"/>
      <c r="H23" s="267"/>
      <c r="I23" s="267"/>
      <c r="J23" s="269"/>
      <c r="K23" s="262" t="s">
        <v>41</v>
      </c>
      <c r="L23" s="270"/>
      <c r="M23" s="302"/>
      <c r="N23" s="303"/>
      <c r="O23" s="262" t="s">
        <v>212</v>
      </c>
      <c r="P23" s="270"/>
      <c r="Q23" s="262" t="s">
        <v>207</v>
      </c>
      <c r="R23" s="279"/>
      <c r="S23" s="279"/>
      <c r="T23" s="262" t="s">
        <v>252</v>
      </c>
      <c r="U23" s="279"/>
      <c r="V23" s="270"/>
      <c r="W23" s="280" t="s">
        <v>207</v>
      </c>
      <c r="X23" s="281"/>
      <c r="Y23" s="282"/>
      <c r="Z23" s="280" t="s">
        <v>239</v>
      </c>
      <c r="AA23" s="281"/>
      <c r="AB23" s="282"/>
      <c r="AC23" s="304"/>
      <c r="AD23" s="305"/>
      <c r="AE23" s="273" t="s">
        <v>244</v>
      </c>
      <c r="AF23" s="274"/>
      <c r="AG23" s="274"/>
      <c r="AH23" s="274"/>
      <c r="AI23" s="274"/>
      <c r="AJ23" s="274"/>
      <c r="AK23" s="274"/>
      <c r="AL23" s="275"/>
      <c r="AM23" s="306" t="s">
        <v>165</v>
      </c>
      <c r="AN23" s="306"/>
      <c r="AO23" s="306"/>
      <c r="AP23" s="306"/>
      <c r="AQ23" s="306"/>
      <c r="AR23" s="306"/>
      <c r="AS23" s="306"/>
      <c r="AT23" s="307"/>
      <c r="AU23" s="285"/>
      <c r="AV23" s="267"/>
      <c r="AW23" s="267"/>
      <c r="AX23" s="267"/>
      <c r="AY23" s="267"/>
      <c r="AZ23" s="267"/>
      <c r="BA23" s="267"/>
      <c r="BB23" s="267"/>
      <c r="BC23" s="267"/>
      <c r="BD23" s="268"/>
      <c r="BE23" s="285"/>
      <c r="BF23" s="267"/>
      <c r="BG23" s="267"/>
      <c r="BH23" s="267"/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6"/>
      <c r="BT23" s="267"/>
      <c r="BU23" s="267"/>
      <c r="BV23" s="267"/>
      <c r="BW23" s="267"/>
      <c r="BX23" s="267"/>
      <c r="BY23" s="267"/>
      <c r="BZ23" s="267"/>
      <c r="CA23" s="267"/>
      <c r="CB23" s="268"/>
      <c r="CC23" s="266"/>
      <c r="CD23" s="267"/>
      <c r="CE23" s="267"/>
      <c r="CF23" s="267"/>
      <c r="CG23" s="267"/>
      <c r="CH23" s="267"/>
      <c r="CI23" s="267"/>
      <c r="CJ23" s="267"/>
      <c r="CK23" s="267"/>
      <c r="CL23" s="267"/>
      <c r="CM23" s="267"/>
      <c r="CN23" s="267"/>
      <c r="CO23" s="267"/>
      <c r="CP23" s="267"/>
      <c r="CQ23" s="267"/>
      <c r="CR23" s="267"/>
      <c r="CS23" s="268"/>
      <c r="CT23" s="266"/>
      <c r="CU23" s="267"/>
      <c r="CV23" s="267"/>
      <c r="CW23" s="267"/>
      <c r="CX23" s="267"/>
      <c r="CY23" s="267"/>
      <c r="CZ23" s="267"/>
      <c r="DA23" s="267"/>
      <c r="DB23" s="267"/>
      <c r="DC23" s="268"/>
      <c r="DD23" s="266"/>
      <c r="DE23" s="267"/>
      <c r="DF23" s="267"/>
      <c r="DG23" s="267"/>
      <c r="DH23" s="267"/>
      <c r="DI23" s="267"/>
      <c r="DJ23" s="267"/>
      <c r="DK23" s="267"/>
      <c r="DL23" s="267"/>
      <c r="DM23" s="268"/>
      <c r="DN23" s="266"/>
      <c r="DO23" s="267"/>
      <c r="DP23" s="267"/>
      <c r="DQ23" s="267"/>
      <c r="DR23" s="267"/>
      <c r="DS23" s="267"/>
      <c r="DT23" s="267"/>
      <c r="DU23" s="267"/>
      <c r="DV23" s="267"/>
      <c r="DW23" s="267"/>
      <c r="DX23" s="268"/>
      <c r="DY23" s="266"/>
      <c r="DZ23" s="267"/>
      <c r="EA23" s="267"/>
      <c r="EB23" s="267"/>
      <c r="EC23" s="267"/>
      <c r="ED23" s="267"/>
      <c r="EE23" s="267"/>
      <c r="EF23" s="268"/>
    </row>
    <row r="24" spans="1:136" s="42" customFormat="1" ht="12">
      <c r="A24" s="134">
        <f>IF(B24&lt;&gt;"",COUNTA($B$8:B24),"")</f>
        <v>16</v>
      </c>
      <c r="B24" s="266" t="s">
        <v>166</v>
      </c>
      <c r="C24" s="267"/>
      <c r="D24" s="267"/>
      <c r="E24" s="267"/>
      <c r="F24" s="267"/>
      <c r="G24" s="267"/>
      <c r="H24" s="267"/>
      <c r="I24" s="267"/>
      <c r="J24" s="269"/>
      <c r="K24" s="262" t="s">
        <v>41</v>
      </c>
      <c r="L24" s="270"/>
      <c r="M24" s="302"/>
      <c r="N24" s="303"/>
      <c r="O24" s="262" t="s">
        <v>212</v>
      </c>
      <c r="P24" s="270"/>
      <c r="Q24" s="262" t="s">
        <v>207</v>
      </c>
      <c r="R24" s="279"/>
      <c r="S24" s="279"/>
      <c r="T24" s="262" t="s">
        <v>252</v>
      </c>
      <c r="U24" s="279"/>
      <c r="V24" s="270"/>
      <c r="W24" s="280" t="s">
        <v>207</v>
      </c>
      <c r="X24" s="281"/>
      <c r="Y24" s="282"/>
      <c r="Z24" s="280" t="s">
        <v>239</v>
      </c>
      <c r="AA24" s="281"/>
      <c r="AB24" s="282"/>
      <c r="AC24" s="304"/>
      <c r="AD24" s="305"/>
      <c r="AE24" s="273" t="s">
        <v>244</v>
      </c>
      <c r="AF24" s="274"/>
      <c r="AG24" s="274"/>
      <c r="AH24" s="274"/>
      <c r="AI24" s="274"/>
      <c r="AJ24" s="274"/>
      <c r="AK24" s="274"/>
      <c r="AL24" s="275"/>
      <c r="AM24" s="306" t="s">
        <v>166</v>
      </c>
      <c r="AN24" s="306"/>
      <c r="AO24" s="306"/>
      <c r="AP24" s="306"/>
      <c r="AQ24" s="306"/>
      <c r="AR24" s="306"/>
      <c r="AS24" s="306"/>
      <c r="AT24" s="307"/>
      <c r="AU24" s="266"/>
      <c r="AV24" s="267"/>
      <c r="AW24" s="267"/>
      <c r="AX24" s="267"/>
      <c r="AY24" s="267"/>
      <c r="AZ24" s="267"/>
      <c r="BA24" s="267"/>
      <c r="BB24" s="267"/>
      <c r="BC24" s="267"/>
      <c r="BD24" s="268"/>
      <c r="BE24" s="266"/>
      <c r="BF24" s="267"/>
      <c r="BG24" s="267"/>
      <c r="BH24" s="267"/>
      <c r="BI24" s="267"/>
      <c r="BJ24" s="267"/>
      <c r="BK24" s="267"/>
      <c r="BL24" s="267"/>
      <c r="BM24" s="267"/>
      <c r="BN24" s="267"/>
      <c r="BO24" s="267"/>
      <c r="BP24" s="267"/>
      <c r="BQ24" s="267"/>
      <c r="BR24" s="267"/>
      <c r="BS24" s="266"/>
      <c r="BT24" s="267"/>
      <c r="BU24" s="267"/>
      <c r="BV24" s="267"/>
      <c r="BW24" s="267"/>
      <c r="BX24" s="267"/>
      <c r="BY24" s="267"/>
      <c r="BZ24" s="267"/>
      <c r="CA24" s="267"/>
      <c r="CB24" s="268"/>
      <c r="CC24" s="266"/>
      <c r="CD24" s="267"/>
      <c r="CE24" s="267"/>
      <c r="CF24" s="267"/>
      <c r="CG24" s="267"/>
      <c r="CH24" s="267"/>
      <c r="CI24" s="267"/>
      <c r="CJ24" s="267"/>
      <c r="CK24" s="267"/>
      <c r="CL24" s="267"/>
      <c r="CM24" s="267"/>
      <c r="CN24" s="267"/>
      <c r="CO24" s="267"/>
      <c r="CP24" s="267"/>
      <c r="CQ24" s="267"/>
      <c r="CR24" s="267"/>
      <c r="CS24" s="268"/>
      <c r="CT24" s="266"/>
      <c r="CU24" s="267"/>
      <c r="CV24" s="267"/>
      <c r="CW24" s="267"/>
      <c r="CX24" s="267"/>
      <c r="CY24" s="267"/>
      <c r="CZ24" s="267"/>
      <c r="DA24" s="267"/>
      <c r="DB24" s="267"/>
      <c r="DC24" s="268"/>
      <c r="DD24" s="266"/>
      <c r="DE24" s="267"/>
      <c r="DF24" s="267"/>
      <c r="DG24" s="267"/>
      <c r="DH24" s="267"/>
      <c r="DI24" s="267"/>
      <c r="DJ24" s="267"/>
      <c r="DK24" s="267"/>
      <c r="DL24" s="267"/>
      <c r="DM24" s="268"/>
      <c r="DN24" s="266"/>
      <c r="DO24" s="267"/>
      <c r="DP24" s="267"/>
      <c r="DQ24" s="267"/>
      <c r="DR24" s="267"/>
      <c r="DS24" s="267"/>
      <c r="DT24" s="267"/>
      <c r="DU24" s="267"/>
      <c r="DV24" s="267"/>
      <c r="DW24" s="267"/>
      <c r="DX24" s="268"/>
      <c r="DY24" s="266"/>
      <c r="DZ24" s="267"/>
      <c r="EA24" s="267"/>
      <c r="EB24" s="267"/>
      <c r="EC24" s="267"/>
      <c r="ED24" s="267"/>
      <c r="EE24" s="267"/>
      <c r="EF24" s="268"/>
    </row>
    <row r="25" spans="1:136" s="42" customFormat="1" ht="12">
      <c r="A25" s="134">
        <f>IF(B25&lt;&gt;"",COUNTA($B$8:B25),"")</f>
        <v>17</v>
      </c>
      <c r="B25" s="266" t="s">
        <v>167</v>
      </c>
      <c r="C25" s="267"/>
      <c r="D25" s="267"/>
      <c r="E25" s="267"/>
      <c r="F25" s="267"/>
      <c r="G25" s="267"/>
      <c r="H25" s="267"/>
      <c r="I25" s="267"/>
      <c r="J25" s="269"/>
      <c r="K25" s="262" t="s">
        <v>41</v>
      </c>
      <c r="L25" s="270"/>
      <c r="M25" s="302"/>
      <c r="N25" s="303"/>
      <c r="O25" s="262" t="s">
        <v>212</v>
      </c>
      <c r="P25" s="270"/>
      <c r="Q25" s="262" t="s">
        <v>207</v>
      </c>
      <c r="R25" s="279"/>
      <c r="S25" s="279"/>
      <c r="T25" s="262" t="s">
        <v>252</v>
      </c>
      <c r="U25" s="279"/>
      <c r="V25" s="270"/>
      <c r="W25" s="280" t="s">
        <v>207</v>
      </c>
      <c r="X25" s="281"/>
      <c r="Y25" s="282"/>
      <c r="Z25" s="280" t="s">
        <v>239</v>
      </c>
      <c r="AA25" s="281"/>
      <c r="AB25" s="282"/>
      <c r="AC25" s="304"/>
      <c r="AD25" s="305"/>
      <c r="AE25" s="273" t="s">
        <v>244</v>
      </c>
      <c r="AF25" s="274"/>
      <c r="AG25" s="274"/>
      <c r="AH25" s="274"/>
      <c r="AI25" s="274"/>
      <c r="AJ25" s="274"/>
      <c r="AK25" s="274"/>
      <c r="AL25" s="275"/>
      <c r="AM25" s="306" t="s">
        <v>167</v>
      </c>
      <c r="AN25" s="306"/>
      <c r="AO25" s="306"/>
      <c r="AP25" s="306"/>
      <c r="AQ25" s="306"/>
      <c r="AR25" s="306"/>
      <c r="AS25" s="306"/>
      <c r="AT25" s="307"/>
      <c r="AU25" s="266"/>
      <c r="AV25" s="267"/>
      <c r="AW25" s="267"/>
      <c r="AX25" s="267"/>
      <c r="AY25" s="267"/>
      <c r="AZ25" s="267"/>
      <c r="BA25" s="267"/>
      <c r="BB25" s="267"/>
      <c r="BC25" s="267"/>
      <c r="BD25" s="268"/>
      <c r="BE25" s="266"/>
      <c r="BF25" s="267"/>
      <c r="BG25" s="267"/>
      <c r="BH25" s="267"/>
      <c r="BI25" s="267"/>
      <c r="BJ25" s="267"/>
      <c r="BK25" s="267"/>
      <c r="BL25" s="267"/>
      <c r="BM25" s="267"/>
      <c r="BN25" s="267"/>
      <c r="BO25" s="267"/>
      <c r="BP25" s="267"/>
      <c r="BQ25" s="267"/>
      <c r="BR25" s="267"/>
      <c r="BS25" s="266"/>
      <c r="BT25" s="267"/>
      <c r="BU25" s="267"/>
      <c r="BV25" s="267"/>
      <c r="BW25" s="267"/>
      <c r="BX25" s="267"/>
      <c r="BY25" s="267"/>
      <c r="BZ25" s="267"/>
      <c r="CA25" s="267"/>
      <c r="CB25" s="268"/>
      <c r="CC25" s="266"/>
      <c r="CD25" s="267"/>
      <c r="CE25" s="267"/>
      <c r="CF25" s="267"/>
      <c r="CG25" s="267"/>
      <c r="CH25" s="267"/>
      <c r="CI25" s="267"/>
      <c r="CJ25" s="267"/>
      <c r="CK25" s="267"/>
      <c r="CL25" s="267"/>
      <c r="CM25" s="267"/>
      <c r="CN25" s="267"/>
      <c r="CO25" s="267"/>
      <c r="CP25" s="267"/>
      <c r="CQ25" s="267"/>
      <c r="CR25" s="267"/>
      <c r="CS25" s="268"/>
      <c r="CT25" s="266"/>
      <c r="CU25" s="267"/>
      <c r="CV25" s="267"/>
      <c r="CW25" s="267"/>
      <c r="CX25" s="267"/>
      <c r="CY25" s="267"/>
      <c r="CZ25" s="267"/>
      <c r="DA25" s="267"/>
      <c r="DB25" s="267"/>
      <c r="DC25" s="268"/>
      <c r="DD25" s="266"/>
      <c r="DE25" s="267"/>
      <c r="DF25" s="267"/>
      <c r="DG25" s="267"/>
      <c r="DH25" s="267"/>
      <c r="DI25" s="267"/>
      <c r="DJ25" s="267"/>
      <c r="DK25" s="267"/>
      <c r="DL25" s="267"/>
      <c r="DM25" s="268"/>
      <c r="DN25" s="266"/>
      <c r="DO25" s="267"/>
      <c r="DP25" s="267"/>
      <c r="DQ25" s="267"/>
      <c r="DR25" s="267"/>
      <c r="DS25" s="267"/>
      <c r="DT25" s="267"/>
      <c r="DU25" s="267"/>
      <c r="DV25" s="267"/>
      <c r="DW25" s="267"/>
      <c r="DX25" s="268"/>
      <c r="DY25" s="266"/>
      <c r="DZ25" s="267"/>
      <c r="EA25" s="267"/>
      <c r="EB25" s="267"/>
      <c r="EC25" s="267"/>
      <c r="ED25" s="267"/>
      <c r="EE25" s="267"/>
      <c r="EF25" s="268"/>
    </row>
    <row r="26" spans="1:136" s="42" customFormat="1" ht="12">
      <c r="A26" s="134">
        <f>IF(B26&lt;&gt;"",COUNTA($B$8:B26),"")</f>
        <v>18</v>
      </c>
      <c r="B26" s="266" t="s">
        <v>168</v>
      </c>
      <c r="C26" s="267"/>
      <c r="D26" s="267"/>
      <c r="E26" s="267"/>
      <c r="F26" s="267"/>
      <c r="G26" s="267"/>
      <c r="H26" s="267"/>
      <c r="I26" s="267"/>
      <c r="J26" s="269"/>
      <c r="K26" s="262" t="s">
        <v>41</v>
      </c>
      <c r="L26" s="270"/>
      <c r="M26" s="302"/>
      <c r="N26" s="303"/>
      <c r="O26" s="262" t="s">
        <v>212</v>
      </c>
      <c r="P26" s="270"/>
      <c r="Q26" s="262" t="s">
        <v>207</v>
      </c>
      <c r="R26" s="279"/>
      <c r="S26" s="279"/>
      <c r="T26" s="262" t="s">
        <v>252</v>
      </c>
      <c r="U26" s="279"/>
      <c r="V26" s="270"/>
      <c r="W26" s="280" t="s">
        <v>207</v>
      </c>
      <c r="X26" s="281"/>
      <c r="Y26" s="282"/>
      <c r="Z26" s="280" t="s">
        <v>239</v>
      </c>
      <c r="AA26" s="281"/>
      <c r="AB26" s="282"/>
      <c r="AC26" s="304"/>
      <c r="AD26" s="305"/>
      <c r="AE26" s="273" t="s">
        <v>244</v>
      </c>
      <c r="AF26" s="274"/>
      <c r="AG26" s="274"/>
      <c r="AH26" s="274"/>
      <c r="AI26" s="274"/>
      <c r="AJ26" s="274"/>
      <c r="AK26" s="274"/>
      <c r="AL26" s="275"/>
      <c r="AM26" s="306" t="s">
        <v>168</v>
      </c>
      <c r="AN26" s="306"/>
      <c r="AO26" s="306"/>
      <c r="AP26" s="306"/>
      <c r="AQ26" s="306"/>
      <c r="AR26" s="306"/>
      <c r="AS26" s="306"/>
      <c r="AT26" s="307"/>
      <c r="AU26" s="266"/>
      <c r="AV26" s="267"/>
      <c r="AW26" s="267"/>
      <c r="AX26" s="267"/>
      <c r="AY26" s="267"/>
      <c r="AZ26" s="267"/>
      <c r="BA26" s="267"/>
      <c r="BB26" s="267"/>
      <c r="BC26" s="267"/>
      <c r="BD26" s="268"/>
      <c r="BE26" s="266"/>
      <c r="BF26" s="267"/>
      <c r="BG26" s="267"/>
      <c r="BH26" s="267"/>
      <c r="BI26" s="267"/>
      <c r="BJ26" s="267"/>
      <c r="BK26" s="267"/>
      <c r="BL26" s="267"/>
      <c r="BM26" s="267"/>
      <c r="BN26" s="267"/>
      <c r="BO26" s="267"/>
      <c r="BP26" s="267"/>
      <c r="BQ26" s="267"/>
      <c r="BR26" s="267"/>
      <c r="BS26" s="266"/>
      <c r="BT26" s="267"/>
      <c r="BU26" s="267"/>
      <c r="BV26" s="267"/>
      <c r="BW26" s="267"/>
      <c r="BX26" s="267"/>
      <c r="BY26" s="267"/>
      <c r="BZ26" s="267"/>
      <c r="CA26" s="267"/>
      <c r="CB26" s="268"/>
      <c r="CC26" s="266"/>
      <c r="CD26" s="267"/>
      <c r="CE26" s="267"/>
      <c r="CF26" s="267"/>
      <c r="CG26" s="267"/>
      <c r="CH26" s="267"/>
      <c r="CI26" s="267"/>
      <c r="CJ26" s="267"/>
      <c r="CK26" s="267"/>
      <c r="CL26" s="267"/>
      <c r="CM26" s="267"/>
      <c r="CN26" s="267"/>
      <c r="CO26" s="267"/>
      <c r="CP26" s="267"/>
      <c r="CQ26" s="267"/>
      <c r="CR26" s="267"/>
      <c r="CS26" s="268"/>
      <c r="CT26" s="266"/>
      <c r="CU26" s="267"/>
      <c r="CV26" s="267"/>
      <c r="CW26" s="267"/>
      <c r="CX26" s="267"/>
      <c r="CY26" s="267"/>
      <c r="CZ26" s="267"/>
      <c r="DA26" s="267"/>
      <c r="DB26" s="267"/>
      <c r="DC26" s="268"/>
      <c r="DD26" s="266"/>
      <c r="DE26" s="267"/>
      <c r="DF26" s="267"/>
      <c r="DG26" s="267"/>
      <c r="DH26" s="267"/>
      <c r="DI26" s="267"/>
      <c r="DJ26" s="267"/>
      <c r="DK26" s="267"/>
      <c r="DL26" s="267"/>
      <c r="DM26" s="268"/>
      <c r="DN26" s="266"/>
      <c r="DO26" s="267"/>
      <c r="DP26" s="267"/>
      <c r="DQ26" s="267"/>
      <c r="DR26" s="267"/>
      <c r="DS26" s="267"/>
      <c r="DT26" s="267"/>
      <c r="DU26" s="267"/>
      <c r="DV26" s="267"/>
      <c r="DW26" s="267"/>
      <c r="DX26" s="268"/>
      <c r="DY26" s="266"/>
      <c r="DZ26" s="267"/>
      <c r="EA26" s="267"/>
      <c r="EB26" s="267"/>
      <c r="EC26" s="267"/>
      <c r="ED26" s="267"/>
      <c r="EE26" s="267"/>
      <c r="EF26" s="268"/>
    </row>
    <row r="27" spans="1:136" s="42" customFormat="1" ht="12">
      <c r="A27" s="134">
        <f>IF(B27&lt;&gt;"",COUNTA($B$8:B27),"")</f>
        <v>19</v>
      </c>
      <c r="B27" s="266" t="s">
        <v>169</v>
      </c>
      <c r="C27" s="267"/>
      <c r="D27" s="267"/>
      <c r="E27" s="267"/>
      <c r="F27" s="267"/>
      <c r="G27" s="267"/>
      <c r="H27" s="267"/>
      <c r="I27" s="267"/>
      <c r="J27" s="269"/>
      <c r="K27" s="262" t="s">
        <v>41</v>
      </c>
      <c r="L27" s="270"/>
      <c r="M27" s="302"/>
      <c r="N27" s="303"/>
      <c r="O27" s="262" t="s">
        <v>212</v>
      </c>
      <c r="P27" s="270"/>
      <c r="Q27" s="262" t="s">
        <v>207</v>
      </c>
      <c r="R27" s="279"/>
      <c r="S27" s="279"/>
      <c r="T27" s="262" t="s">
        <v>252</v>
      </c>
      <c r="U27" s="279"/>
      <c r="V27" s="270"/>
      <c r="W27" s="280" t="s">
        <v>207</v>
      </c>
      <c r="X27" s="281"/>
      <c r="Y27" s="282"/>
      <c r="Z27" s="280" t="s">
        <v>239</v>
      </c>
      <c r="AA27" s="281"/>
      <c r="AB27" s="282"/>
      <c r="AC27" s="304"/>
      <c r="AD27" s="305"/>
      <c r="AE27" s="273" t="s">
        <v>244</v>
      </c>
      <c r="AF27" s="274"/>
      <c r="AG27" s="274"/>
      <c r="AH27" s="274"/>
      <c r="AI27" s="274"/>
      <c r="AJ27" s="274"/>
      <c r="AK27" s="274"/>
      <c r="AL27" s="275"/>
      <c r="AM27" s="306" t="s">
        <v>169</v>
      </c>
      <c r="AN27" s="306"/>
      <c r="AO27" s="306"/>
      <c r="AP27" s="306"/>
      <c r="AQ27" s="306"/>
      <c r="AR27" s="306"/>
      <c r="AS27" s="306"/>
      <c r="AT27" s="307"/>
      <c r="AU27" s="266"/>
      <c r="AV27" s="267"/>
      <c r="AW27" s="267"/>
      <c r="AX27" s="267"/>
      <c r="AY27" s="267"/>
      <c r="AZ27" s="267"/>
      <c r="BA27" s="267"/>
      <c r="BB27" s="267"/>
      <c r="BC27" s="267"/>
      <c r="BD27" s="268"/>
      <c r="BE27" s="266"/>
      <c r="BF27" s="267"/>
      <c r="BG27" s="267"/>
      <c r="BH27" s="267"/>
      <c r="BI27" s="267"/>
      <c r="BJ27" s="267"/>
      <c r="BK27" s="267"/>
      <c r="BL27" s="267"/>
      <c r="BM27" s="267"/>
      <c r="BN27" s="267"/>
      <c r="BO27" s="267"/>
      <c r="BP27" s="267"/>
      <c r="BQ27" s="267"/>
      <c r="BR27" s="267"/>
      <c r="BS27" s="266"/>
      <c r="BT27" s="267"/>
      <c r="BU27" s="267"/>
      <c r="BV27" s="267"/>
      <c r="BW27" s="267"/>
      <c r="BX27" s="267"/>
      <c r="BY27" s="267"/>
      <c r="BZ27" s="267"/>
      <c r="CA27" s="267"/>
      <c r="CB27" s="268"/>
      <c r="CC27" s="285"/>
      <c r="CD27" s="267"/>
      <c r="CE27" s="267"/>
      <c r="CF27" s="267"/>
      <c r="CG27" s="267"/>
      <c r="CH27" s="267"/>
      <c r="CI27" s="267"/>
      <c r="CJ27" s="267"/>
      <c r="CK27" s="267"/>
      <c r="CL27" s="267"/>
      <c r="CM27" s="267"/>
      <c r="CN27" s="267"/>
      <c r="CO27" s="267"/>
      <c r="CP27" s="267"/>
      <c r="CQ27" s="267"/>
      <c r="CR27" s="267"/>
      <c r="CS27" s="268"/>
      <c r="CT27" s="285"/>
      <c r="CU27" s="267"/>
      <c r="CV27" s="267"/>
      <c r="CW27" s="267"/>
      <c r="CX27" s="267"/>
      <c r="CY27" s="267"/>
      <c r="CZ27" s="267"/>
      <c r="DA27" s="267"/>
      <c r="DB27" s="267"/>
      <c r="DC27" s="268"/>
      <c r="DD27" s="266"/>
      <c r="DE27" s="267"/>
      <c r="DF27" s="267"/>
      <c r="DG27" s="267"/>
      <c r="DH27" s="267"/>
      <c r="DI27" s="267"/>
      <c r="DJ27" s="267"/>
      <c r="DK27" s="267"/>
      <c r="DL27" s="267"/>
      <c r="DM27" s="268"/>
      <c r="DN27" s="266"/>
      <c r="DO27" s="267"/>
      <c r="DP27" s="267"/>
      <c r="DQ27" s="267"/>
      <c r="DR27" s="267"/>
      <c r="DS27" s="267"/>
      <c r="DT27" s="267"/>
      <c r="DU27" s="267"/>
      <c r="DV27" s="267"/>
      <c r="DW27" s="267"/>
      <c r="DX27" s="268"/>
      <c r="DY27" s="266"/>
      <c r="DZ27" s="267"/>
      <c r="EA27" s="267"/>
      <c r="EB27" s="267"/>
      <c r="EC27" s="267"/>
      <c r="ED27" s="267"/>
      <c r="EE27" s="267"/>
      <c r="EF27" s="268"/>
    </row>
    <row r="28" spans="1:136" s="42" customFormat="1" ht="12">
      <c r="A28" s="134">
        <f>IF(B28&lt;&gt;"",COUNTA($B$8:B28),"")</f>
        <v>20</v>
      </c>
      <c r="B28" s="266" t="s">
        <v>170</v>
      </c>
      <c r="C28" s="267"/>
      <c r="D28" s="267"/>
      <c r="E28" s="267"/>
      <c r="F28" s="267"/>
      <c r="G28" s="267"/>
      <c r="H28" s="267"/>
      <c r="I28" s="267"/>
      <c r="J28" s="269"/>
      <c r="K28" s="262" t="s">
        <v>41</v>
      </c>
      <c r="L28" s="270"/>
      <c r="M28" s="271"/>
      <c r="N28" s="272"/>
      <c r="O28" s="262" t="s">
        <v>212</v>
      </c>
      <c r="P28" s="270"/>
      <c r="Q28" s="262" t="s">
        <v>207</v>
      </c>
      <c r="R28" s="279"/>
      <c r="S28" s="279"/>
      <c r="T28" s="262" t="s">
        <v>252</v>
      </c>
      <c r="U28" s="279"/>
      <c r="V28" s="270"/>
      <c r="W28" s="280" t="s">
        <v>207</v>
      </c>
      <c r="X28" s="281"/>
      <c r="Y28" s="282"/>
      <c r="Z28" s="280" t="s">
        <v>239</v>
      </c>
      <c r="AA28" s="281"/>
      <c r="AB28" s="282"/>
      <c r="AC28" s="283"/>
      <c r="AD28" s="284"/>
      <c r="AE28" s="273" t="s">
        <v>244</v>
      </c>
      <c r="AF28" s="274"/>
      <c r="AG28" s="274"/>
      <c r="AH28" s="274"/>
      <c r="AI28" s="274"/>
      <c r="AJ28" s="274"/>
      <c r="AK28" s="274"/>
      <c r="AL28" s="275"/>
      <c r="AM28" s="276" t="s">
        <v>170</v>
      </c>
      <c r="AN28" s="277"/>
      <c r="AO28" s="277"/>
      <c r="AP28" s="277"/>
      <c r="AQ28" s="277"/>
      <c r="AR28" s="277"/>
      <c r="AS28" s="277"/>
      <c r="AT28" s="278"/>
      <c r="AU28" s="266"/>
      <c r="AV28" s="267"/>
      <c r="AW28" s="267"/>
      <c r="AX28" s="267"/>
      <c r="AY28" s="267"/>
      <c r="AZ28" s="267"/>
      <c r="BA28" s="267"/>
      <c r="BB28" s="267"/>
      <c r="BC28" s="267"/>
      <c r="BD28" s="268"/>
      <c r="BE28" s="266"/>
      <c r="BF28" s="267"/>
      <c r="BG28" s="267"/>
      <c r="BH28" s="267"/>
      <c r="BI28" s="267"/>
      <c r="BJ28" s="267"/>
      <c r="BK28" s="267"/>
      <c r="BL28" s="267"/>
      <c r="BM28" s="267"/>
      <c r="BN28" s="267"/>
      <c r="BO28" s="267"/>
      <c r="BP28" s="267"/>
      <c r="BQ28" s="267"/>
      <c r="BR28" s="267"/>
      <c r="BS28" s="285"/>
      <c r="BT28" s="286"/>
      <c r="BU28" s="286"/>
      <c r="BV28" s="286"/>
      <c r="BW28" s="286"/>
      <c r="BX28" s="286"/>
      <c r="BY28" s="286"/>
      <c r="BZ28" s="286"/>
      <c r="CA28" s="286"/>
      <c r="CB28" s="287"/>
      <c r="CC28" s="266"/>
      <c r="CD28" s="267"/>
      <c r="CE28" s="267"/>
      <c r="CF28" s="267"/>
      <c r="CG28" s="267"/>
      <c r="CH28" s="267"/>
      <c r="CI28" s="267"/>
      <c r="CJ28" s="267"/>
      <c r="CK28" s="267"/>
      <c r="CL28" s="267"/>
      <c r="CM28" s="267"/>
      <c r="CN28" s="267"/>
      <c r="CO28" s="267"/>
      <c r="CP28" s="267"/>
      <c r="CQ28" s="267"/>
      <c r="CR28" s="267"/>
      <c r="CS28" s="268"/>
      <c r="CT28" s="266"/>
      <c r="CU28" s="267"/>
      <c r="CV28" s="267"/>
      <c r="CW28" s="267"/>
      <c r="CX28" s="267"/>
      <c r="CY28" s="267"/>
      <c r="CZ28" s="267"/>
      <c r="DA28" s="267"/>
      <c r="DB28" s="267"/>
      <c r="DC28" s="268"/>
      <c r="DD28" s="266"/>
      <c r="DE28" s="267"/>
      <c r="DF28" s="267"/>
      <c r="DG28" s="267"/>
      <c r="DH28" s="267"/>
      <c r="DI28" s="267"/>
      <c r="DJ28" s="267"/>
      <c r="DK28" s="267"/>
      <c r="DL28" s="267"/>
      <c r="DM28" s="268"/>
      <c r="DN28" s="266"/>
      <c r="DO28" s="267"/>
      <c r="DP28" s="267"/>
      <c r="DQ28" s="267"/>
      <c r="DR28" s="267"/>
      <c r="DS28" s="267"/>
      <c r="DT28" s="267"/>
      <c r="DU28" s="267"/>
      <c r="DV28" s="267"/>
      <c r="DW28" s="267"/>
      <c r="DX28" s="268"/>
      <c r="DY28" s="266"/>
      <c r="DZ28" s="267"/>
      <c r="EA28" s="267"/>
      <c r="EB28" s="267"/>
      <c r="EC28" s="267"/>
      <c r="ED28" s="267"/>
      <c r="EE28" s="267"/>
      <c r="EF28" s="268"/>
    </row>
    <row r="29" spans="1:136" s="42" customFormat="1" ht="12">
      <c r="A29" s="134">
        <f>IF(B29&lt;&gt;"",COUNTA($B$8:B29),"")</f>
        <v>21</v>
      </c>
      <c r="B29" s="266" t="s">
        <v>171</v>
      </c>
      <c r="C29" s="267"/>
      <c r="D29" s="267"/>
      <c r="E29" s="267"/>
      <c r="F29" s="267"/>
      <c r="G29" s="267"/>
      <c r="H29" s="267"/>
      <c r="I29" s="267"/>
      <c r="J29" s="269"/>
      <c r="K29" s="262" t="s">
        <v>41</v>
      </c>
      <c r="L29" s="270"/>
      <c r="M29" s="302"/>
      <c r="N29" s="303"/>
      <c r="O29" s="262" t="s">
        <v>212</v>
      </c>
      <c r="P29" s="270"/>
      <c r="Q29" s="262" t="s">
        <v>207</v>
      </c>
      <c r="R29" s="279"/>
      <c r="S29" s="279"/>
      <c r="T29" s="262" t="s">
        <v>252</v>
      </c>
      <c r="U29" s="279"/>
      <c r="V29" s="270"/>
      <c r="W29" s="280" t="s">
        <v>207</v>
      </c>
      <c r="X29" s="281"/>
      <c r="Y29" s="282"/>
      <c r="Z29" s="280" t="s">
        <v>239</v>
      </c>
      <c r="AA29" s="281"/>
      <c r="AB29" s="282"/>
      <c r="AC29" s="304"/>
      <c r="AD29" s="305"/>
      <c r="AE29" s="273" t="s">
        <v>244</v>
      </c>
      <c r="AF29" s="274"/>
      <c r="AG29" s="274"/>
      <c r="AH29" s="274"/>
      <c r="AI29" s="274"/>
      <c r="AJ29" s="274"/>
      <c r="AK29" s="274"/>
      <c r="AL29" s="275"/>
      <c r="AM29" s="306" t="s">
        <v>171</v>
      </c>
      <c r="AN29" s="306"/>
      <c r="AO29" s="306"/>
      <c r="AP29" s="306"/>
      <c r="AQ29" s="306"/>
      <c r="AR29" s="306"/>
      <c r="AS29" s="306"/>
      <c r="AT29" s="307"/>
      <c r="AU29" s="266"/>
      <c r="AV29" s="267"/>
      <c r="AW29" s="267"/>
      <c r="AX29" s="267"/>
      <c r="AY29" s="267"/>
      <c r="AZ29" s="267"/>
      <c r="BA29" s="267"/>
      <c r="BB29" s="267"/>
      <c r="BC29" s="267"/>
      <c r="BD29" s="268"/>
      <c r="BE29" s="266"/>
      <c r="BF29" s="267"/>
      <c r="BG29" s="267"/>
      <c r="BH29" s="267"/>
      <c r="BI29" s="267"/>
      <c r="BJ29" s="267"/>
      <c r="BK29" s="267"/>
      <c r="BL29" s="267"/>
      <c r="BM29" s="267"/>
      <c r="BN29" s="267"/>
      <c r="BO29" s="267"/>
      <c r="BP29" s="267"/>
      <c r="BQ29" s="267"/>
      <c r="BR29" s="267"/>
      <c r="BS29" s="266"/>
      <c r="BT29" s="267"/>
      <c r="BU29" s="267"/>
      <c r="BV29" s="267"/>
      <c r="BW29" s="267"/>
      <c r="BX29" s="267"/>
      <c r="BY29" s="267"/>
      <c r="BZ29" s="267"/>
      <c r="CA29" s="267"/>
      <c r="CB29" s="268"/>
      <c r="CC29" s="266"/>
      <c r="CD29" s="267"/>
      <c r="CE29" s="267"/>
      <c r="CF29" s="267"/>
      <c r="CG29" s="267"/>
      <c r="CH29" s="267"/>
      <c r="CI29" s="267"/>
      <c r="CJ29" s="267"/>
      <c r="CK29" s="267"/>
      <c r="CL29" s="267"/>
      <c r="CM29" s="267"/>
      <c r="CN29" s="267"/>
      <c r="CO29" s="267"/>
      <c r="CP29" s="267"/>
      <c r="CQ29" s="267"/>
      <c r="CR29" s="267"/>
      <c r="CS29" s="268"/>
      <c r="CT29" s="266"/>
      <c r="CU29" s="267"/>
      <c r="CV29" s="267"/>
      <c r="CW29" s="267"/>
      <c r="CX29" s="267"/>
      <c r="CY29" s="267"/>
      <c r="CZ29" s="267"/>
      <c r="DA29" s="267"/>
      <c r="DB29" s="267"/>
      <c r="DC29" s="268"/>
      <c r="DD29" s="266"/>
      <c r="DE29" s="267"/>
      <c r="DF29" s="267"/>
      <c r="DG29" s="267"/>
      <c r="DH29" s="267"/>
      <c r="DI29" s="267"/>
      <c r="DJ29" s="267"/>
      <c r="DK29" s="267"/>
      <c r="DL29" s="267"/>
      <c r="DM29" s="268"/>
      <c r="DN29" s="266"/>
      <c r="DO29" s="267"/>
      <c r="DP29" s="267"/>
      <c r="DQ29" s="267"/>
      <c r="DR29" s="267"/>
      <c r="DS29" s="267"/>
      <c r="DT29" s="267"/>
      <c r="DU29" s="267"/>
      <c r="DV29" s="267"/>
      <c r="DW29" s="267"/>
      <c r="DX29" s="268"/>
      <c r="DY29" s="266"/>
      <c r="DZ29" s="267"/>
      <c r="EA29" s="267"/>
      <c r="EB29" s="267"/>
      <c r="EC29" s="267"/>
      <c r="ED29" s="267"/>
      <c r="EE29" s="267"/>
      <c r="EF29" s="268"/>
    </row>
    <row r="30" spans="1:136" s="42" customFormat="1" ht="12">
      <c r="A30" s="134">
        <f>IF(B30&lt;&gt;"",COUNTA($B$8:B30),"")</f>
        <v>22</v>
      </c>
      <c r="B30" s="266" t="s">
        <v>172</v>
      </c>
      <c r="C30" s="267"/>
      <c r="D30" s="267"/>
      <c r="E30" s="267"/>
      <c r="F30" s="267"/>
      <c r="G30" s="267"/>
      <c r="H30" s="267"/>
      <c r="I30" s="267"/>
      <c r="J30" s="269"/>
      <c r="K30" s="262" t="s">
        <v>41</v>
      </c>
      <c r="L30" s="270"/>
      <c r="M30" s="302"/>
      <c r="N30" s="303"/>
      <c r="O30" s="262" t="s">
        <v>212</v>
      </c>
      <c r="P30" s="270"/>
      <c r="Q30" s="262" t="s">
        <v>207</v>
      </c>
      <c r="R30" s="279"/>
      <c r="S30" s="279"/>
      <c r="T30" s="262" t="s">
        <v>252</v>
      </c>
      <c r="U30" s="279"/>
      <c r="V30" s="270"/>
      <c r="W30" s="280" t="s">
        <v>207</v>
      </c>
      <c r="X30" s="281"/>
      <c r="Y30" s="282"/>
      <c r="Z30" s="280" t="s">
        <v>239</v>
      </c>
      <c r="AA30" s="281"/>
      <c r="AB30" s="282"/>
      <c r="AC30" s="283"/>
      <c r="AD30" s="305"/>
      <c r="AE30" s="273" t="s">
        <v>244</v>
      </c>
      <c r="AF30" s="274"/>
      <c r="AG30" s="274"/>
      <c r="AH30" s="274"/>
      <c r="AI30" s="274"/>
      <c r="AJ30" s="274"/>
      <c r="AK30" s="274"/>
      <c r="AL30" s="275"/>
      <c r="AM30" s="306" t="s">
        <v>172</v>
      </c>
      <c r="AN30" s="306"/>
      <c r="AO30" s="306"/>
      <c r="AP30" s="306"/>
      <c r="AQ30" s="306"/>
      <c r="AR30" s="306"/>
      <c r="AS30" s="306"/>
      <c r="AT30" s="307"/>
      <c r="AU30" s="266"/>
      <c r="AV30" s="267"/>
      <c r="AW30" s="267"/>
      <c r="AX30" s="267"/>
      <c r="AY30" s="267"/>
      <c r="AZ30" s="267"/>
      <c r="BA30" s="267"/>
      <c r="BB30" s="267"/>
      <c r="BC30" s="267"/>
      <c r="BD30" s="268"/>
      <c r="BE30" s="266"/>
      <c r="BF30" s="267"/>
      <c r="BG30" s="267"/>
      <c r="BH30" s="267"/>
      <c r="BI30" s="267"/>
      <c r="BJ30" s="267"/>
      <c r="BK30" s="267"/>
      <c r="BL30" s="267"/>
      <c r="BM30" s="267"/>
      <c r="BN30" s="267"/>
      <c r="BO30" s="267"/>
      <c r="BP30" s="267"/>
      <c r="BQ30" s="267"/>
      <c r="BR30" s="267"/>
      <c r="BS30" s="266"/>
      <c r="BT30" s="267"/>
      <c r="BU30" s="267"/>
      <c r="BV30" s="267"/>
      <c r="BW30" s="267"/>
      <c r="BX30" s="267"/>
      <c r="BY30" s="267"/>
      <c r="BZ30" s="267"/>
      <c r="CA30" s="267"/>
      <c r="CB30" s="268"/>
      <c r="CC30" s="266"/>
      <c r="CD30" s="267"/>
      <c r="CE30" s="267"/>
      <c r="CF30" s="267"/>
      <c r="CG30" s="267"/>
      <c r="CH30" s="267"/>
      <c r="CI30" s="267"/>
      <c r="CJ30" s="267"/>
      <c r="CK30" s="267"/>
      <c r="CL30" s="267"/>
      <c r="CM30" s="267"/>
      <c r="CN30" s="267"/>
      <c r="CO30" s="267"/>
      <c r="CP30" s="267"/>
      <c r="CQ30" s="267"/>
      <c r="CR30" s="267"/>
      <c r="CS30" s="268"/>
      <c r="CT30" s="266"/>
      <c r="CU30" s="267"/>
      <c r="CV30" s="267"/>
      <c r="CW30" s="267"/>
      <c r="CX30" s="267"/>
      <c r="CY30" s="267"/>
      <c r="CZ30" s="267"/>
      <c r="DA30" s="267"/>
      <c r="DB30" s="267"/>
      <c r="DC30" s="268"/>
      <c r="DD30" s="266"/>
      <c r="DE30" s="267"/>
      <c r="DF30" s="267"/>
      <c r="DG30" s="267"/>
      <c r="DH30" s="267"/>
      <c r="DI30" s="267"/>
      <c r="DJ30" s="267"/>
      <c r="DK30" s="267"/>
      <c r="DL30" s="267"/>
      <c r="DM30" s="268"/>
      <c r="DN30" s="266"/>
      <c r="DO30" s="267"/>
      <c r="DP30" s="267"/>
      <c r="DQ30" s="267"/>
      <c r="DR30" s="267"/>
      <c r="DS30" s="267"/>
      <c r="DT30" s="267"/>
      <c r="DU30" s="267"/>
      <c r="DV30" s="267"/>
      <c r="DW30" s="267"/>
      <c r="DX30" s="268"/>
      <c r="DY30" s="266"/>
      <c r="DZ30" s="267"/>
      <c r="EA30" s="267"/>
      <c r="EB30" s="267"/>
      <c r="EC30" s="267"/>
      <c r="ED30" s="267"/>
      <c r="EE30" s="267"/>
      <c r="EF30" s="268"/>
    </row>
    <row r="31" spans="1:136" s="42" customFormat="1" ht="12">
      <c r="A31" s="134">
        <f>IF(B31&lt;&gt;"",COUNTA($B$8:B31),"")</f>
        <v>23</v>
      </c>
      <c r="B31" s="266" t="s">
        <v>173</v>
      </c>
      <c r="C31" s="267"/>
      <c r="D31" s="267"/>
      <c r="E31" s="267"/>
      <c r="F31" s="267"/>
      <c r="G31" s="267"/>
      <c r="H31" s="267"/>
      <c r="I31" s="267"/>
      <c r="J31" s="269"/>
      <c r="K31" s="262" t="s">
        <v>41</v>
      </c>
      <c r="L31" s="270"/>
      <c r="M31" s="302"/>
      <c r="N31" s="303"/>
      <c r="O31" s="262" t="s">
        <v>212</v>
      </c>
      <c r="P31" s="270"/>
      <c r="Q31" s="262" t="s">
        <v>207</v>
      </c>
      <c r="R31" s="279"/>
      <c r="S31" s="279"/>
      <c r="T31" s="262" t="s">
        <v>252</v>
      </c>
      <c r="U31" s="279"/>
      <c r="V31" s="270"/>
      <c r="W31" s="280" t="s">
        <v>207</v>
      </c>
      <c r="X31" s="281"/>
      <c r="Y31" s="282"/>
      <c r="Z31" s="280" t="s">
        <v>239</v>
      </c>
      <c r="AA31" s="281"/>
      <c r="AB31" s="282"/>
      <c r="AC31" s="304"/>
      <c r="AD31" s="305"/>
      <c r="AE31" s="273" t="s">
        <v>244</v>
      </c>
      <c r="AF31" s="274"/>
      <c r="AG31" s="274"/>
      <c r="AH31" s="274"/>
      <c r="AI31" s="274"/>
      <c r="AJ31" s="274"/>
      <c r="AK31" s="274"/>
      <c r="AL31" s="275"/>
      <c r="AM31" s="306" t="s">
        <v>173</v>
      </c>
      <c r="AN31" s="306"/>
      <c r="AO31" s="306"/>
      <c r="AP31" s="306"/>
      <c r="AQ31" s="306"/>
      <c r="AR31" s="306"/>
      <c r="AS31" s="306"/>
      <c r="AT31" s="307"/>
      <c r="AU31" s="266"/>
      <c r="AV31" s="267"/>
      <c r="AW31" s="267"/>
      <c r="AX31" s="267"/>
      <c r="AY31" s="267"/>
      <c r="AZ31" s="267"/>
      <c r="BA31" s="267"/>
      <c r="BB31" s="267"/>
      <c r="BC31" s="267"/>
      <c r="BD31" s="268"/>
      <c r="BE31" s="266"/>
      <c r="BF31" s="267"/>
      <c r="BG31" s="267"/>
      <c r="BH31" s="267"/>
      <c r="BI31" s="267"/>
      <c r="BJ31" s="267"/>
      <c r="BK31" s="267"/>
      <c r="BL31" s="267"/>
      <c r="BM31" s="267"/>
      <c r="BN31" s="267"/>
      <c r="BO31" s="267"/>
      <c r="BP31" s="267"/>
      <c r="BQ31" s="267"/>
      <c r="BR31" s="267"/>
      <c r="BS31" s="266"/>
      <c r="BT31" s="267"/>
      <c r="BU31" s="267"/>
      <c r="BV31" s="267"/>
      <c r="BW31" s="267"/>
      <c r="BX31" s="267"/>
      <c r="BY31" s="267"/>
      <c r="BZ31" s="267"/>
      <c r="CA31" s="267"/>
      <c r="CB31" s="268"/>
      <c r="CC31" s="266"/>
      <c r="CD31" s="267"/>
      <c r="CE31" s="267"/>
      <c r="CF31" s="267"/>
      <c r="CG31" s="267"/>
      <c r="CH31" s="267"/>
      <c r="CI31" s="267"/>
      <c r="CJ31" s="267"/>
      <c r="CK31" s="267"/>
      <c r="CL31" s="267"/>
      <c r="CM31" s="267"/>
      <c r="CN31" s="267"/>
      <c r="CO31" s="267"/>
      <c r="CP31" s="267"/>
      <c r="CQ31" s="267"/>
      <c r="CR31" s="267"/>
      <c r="CS31" s="268"/>
      <c r="CT31" s="266"/>
      <c r="CU31" s="267"/>
      <c r="CV31" s="267"/>
      <c r="CW31" s="267"/>
      <c r="CX31" s="267"/>
      <c r="CY31" s="267"/>
      <c r="CZ31" s="267"/>
      <c r="DA31" s="267"/>
      <c r="DB31" s="267"/>
      <c r="DC31" s="268"/>
      <c r="DD31" s="266"/>
      <c r="DE31" s="267"/>
      <c r="DF31" s="267"/>
      <c r="DG31" s="267"/>
      <c r="DH31" s="267"/>
      <c r="DI31" s="267"/>
      <c r="DJ31" s="267"/>
      <c r="DK31" s="267"/>
      <c r="DL31" s="267"/>
      <c r="DM31" s="268"/>
      <c r="DN31" s="266"/>
      <c r="DO31" s="267"/>
      <c r="DP31" s="267"/>
      <c r="DQ31" s="267"/>
      <c r="DR31" s="267"/>
      <c r="DS31" s="267"/>
      <c r="DT31" s="267"/>
      <c r="DU31" s="267"/>
      <c r="DV31" s="267"/>
      <c r="DW31" s="267"/>
      <c r="DX31" s="268"/>
      <c r="DY31" s="266"/>
      <c r="DZ31" s="267"/>
      <c r="EA31" s="267"/>
      <c r="EB31" s="267"/>
      <c r="EC31" s="267"/>
      <c r="ED31" s="267"/>
      <c r="EE31" s="267"/>
      <c r="EF31" s="268"/>
    </row>
    <row r="32" spans="1:136" s="42" customFormat="1" ht="12">
      <c r="A32" s="134">
        <f>IF(B32&lt;&gt;"",COUNTA($B$8:B32),"")</f>
        <v>24</v>
      </c>
      <c r="B32" s="266" t="s">
        <v>174</v>
      </c>
      <c r="C32" s="267"/>
      <c r="D32" s="267"/>
      <c r="E32" s="267"/>
      <c r="F32" s="267"/>
      <c r="G32" s="267"/>
      <c r="H32" s="267"/>
      <c r="I32" s="267"/>
      <c r="J32" s="269"/>
      <c r="K32" s="262" t="s">
        <v>41</v>
      </c>
      <c r="L32" s="270"/>
      <c r="M32" s="302"/>
      <c r="N32" s="303"/>
      <c r="O32" s="262" t="s">
        <v>212</v>
      </c>
      <c r="P32" s="270"/>
      <c r="Q32" s="262" t="s">
        <v>207</v>
      </c>
      <c r="R32" s="279"/>
      <c r="S32" s="270"/>
      <c r="T32" s="262" t="s">
        <v>252</v>
      </c>
      <c r="U32" s="279"/>
      <c r="V32" s="270"/>
      <c r="W32" s="280" t="s">
        <v>207</v>
      </c>
      <c r="X32" s="281"/>
      <c r="Y32" s="282"/>
      <c r="Z32" s="280" t="s">
        <v>239</v>
      </c>
      <c r="AA32" s="281"/>
      <c r="AB32" s="282"/>
      <c r="AC32" s="304"/>
      <c r="AD32" s="305"/>
      <c r="AE32" s="273" t="s">
        <v>244</v>
      </c>
      <c r="AF32" s="274"/>
      <c r="AG32" s="274"/>
      <c r="AH32" s="274"/>
      <c r="AI32" s="274"/>
      <c r="AJ32" s="274"/>
      <c r="AK32" s="274"/>
      <c r="AL32" s="275"/>
      <c r="AM32" s="306" t="s">
        <v>174</v>
      </c>
      <c r="AN32" s="306"/>
      <c r="AO32" s="306"/>
      <c r="AP32" s="306"/>
      <c r="AQ32" s="306"/>
      <c r="AR32" s="306"/>
      <c r="AS32" s="306"/>
      <c r="AT32" s="307"/>
      <c r="AU32" s="266"/>
      <c r="AV32" s="267"/>
      <c r="AW32" s="267"/>
      <c r="AX32" s="267"/>
      <c r="AY32" s="267"/>
      <c r="AZ32" s="267"/>
      <c r="BA32" s="267"/>
      <c r="BB32" s="267"/>
      <c r="BC32" s="267"/>
      <c r="BD32" s="268"/>
      <c r="BE32" s="266"/>
      <c r="BF32" s="267"/>
      <c r="BG32" s="267"/>
      <c r="BH32" s="267"/>
      <c r="BI32" s="267"/>
      <c r="BJ32" s="267"/>
      <c r="BK32" s="267"/>
      <c r="BL32" s="267"/>
      <c r="BM32" s="267"/>
      <c r="BN32" s="267"/>
      <c r="BO32" s="267"/>
      <c r="BP32" s="267"/>
      <c r="BQ32" s="267"/>
      <c r="BR32" s="267"/>
      <c r="BS32" s="266"/>
      <c r="BT32" s="267"/>
      <c r="BU32" s="267"/>
      <c r="BV32" s="267"/>
      <c r="BW32" s="267"/>
      <c r="BX32" s="267"/>
      <c r="BY32" s="267"/>
      <c r="BZ32" s="267"/>
      <c r="CA32" s="267"/>
      <c r="CB32" s="268"/>
      <c r="CC32" s="266"/>
      <c r="CD32" s="267"/>
      <c r="CE32" s="267"/>
      <c r="CF32" s="267"/>
      <c r="CG32" s="267"/>
      <c r="CH32" s="267"/>
      <c r="CI32" s="267"/>
      <c r="CJ32" s="267"/>
      <c r="CK32" s="267"/>
      <c r="CL32" s="267"/>
      <c r="CM32" s="267"/>
      <c r="CN32" s="267"/>
      <c r="CO32" s="267"/>
      <c r="CP32" s="267"/>
      <c r="CQ32" s="267"/>
      <c r="CR32" s="267"/>
      <c r="CS32" s="268"/>
      <c r="CT32" s="266"/>
      <c r="CU32" s="267"/>
      <c r="CV32" s="267"/>
      <c r="CW32" s="267"/>
      <c r="CX32" s="267"/>
      <c r="CY32" s="267"/>
      <c r="CZ32" s="267"/>
      <c r="DA32" s="267"/>
      <c r="DB32" s="267"/>
      <c r="DC32" s="268"/>
      <c r="DD32" s="266"/>
      <c r="DE32" s="267"/>
      <c r="DF32" s="267"/>
      <c r="DG32" s="267"/>
      <c r="DH32" s="267"/>
      <c r="DI32" s="267"/>
      <c r="DJ32" s="267"/>
      <c r="DK32" s="267"/>
      <c r="DL32" s="267"/>
      <c r="DM32" s="268"/>
      <c r="DN32" s="266"/>
      <c r="DO32" s="267"/>
      <c r="DP32" s="267"/>
      <c r="DQ32" s="267"/>
      <c r="DR32" s="267"/>
      <c r="DS32" s="267"/>
      <c r="DT32" s="267"/>
      <c r="DU32" s="267"/>
      <c r="DV32" s="267"/>
      <c r="DW32" s="267"/>
      <c r="DX32" s="268"/>
      <c r="DY32" s="266"/>
      <c r="DZ32" s="267"/>
      <c r="EA32" s="267"/>
      <c r="EB32" s="267"/>
      <c r="EC32" s="267"/>
      <c r="ED32" s="267"/>
      <c r="EE32" s="267"/>
      <c r="EF32" s="268"/>
    </row>
    <row r="33" spans="1:136" s="42" customFormat="1" ht="12">
      <c r="A33" s="134">
        <f>IF(B33&lt;&gt;"",COUNTA($B$8:B33),"")</f>
        <v>25</v>
      </c>
      <c r="B33" s="266" t="s">
        <v>175</v>
      </c>
      <c r="C33" s="267"/>
      <c r="D33" s="267"/>
      <c r="E33" s="267"/>
      <c r="F33" s="267"/>
      <c r="G33" s="267"/>
      <c r="H33" s="267"/>
      <c r="I33" s="267"/>
      <c r="J33" s="269"/>
      <c r="K33" s="262" t="s">
        <v>41</v>
      </c>
      <c r="L33" s="270"/>
      <c r="M33" s="302"/>
      <c r="N33" s="303"/>
      <c r="O33" s="262" t="s">
        <v>212</v>
      </c>
      <c r="P33" s="270"/>
      <c r="Q33" s="262" t="s">
        <v>207</v>
      </c>
      <c r="R33" s="279"/>
      <c r="S33" s="270"/>
      <c r="T33" s="262" t="s">
        <v>252</v>
      </c>
      <c r="U33" s="279"/>
      <c r="V33" s="270"/>
      <c r="W33" s="280" t="s">
        <v>207</v>
      </c>
      <c r="X33" s="281"/>
      <c r="Y33" s="282"/>
      <c r="Z33" s="280" t="s">
        <v>239</v>
      </c>
      <c r="AA33" s="281"/>
      <c r="AB33" s="282"/>
      <c r="AC33" s="304"/>
      <c r="AD33" s="305"/>
      <c r="AE33" s="273" t="s">
        <v>244</v>
      </c>
      <c r="AF33" s="274"/>
      <c r="AG33" s="274"/>
      <c r="AH33" s="274"/>
      <c r="AI33" s="274"/>
      <c r="AJ33" s="274"/>
      <c r="AK33" s="274"/>
      <c r="AL33" s="275"/>
      <c r="AM33" s="306" t="s">
        <v>175</v>
      </c>
      <c r="AN33" s="306"/>
      <c r="AO33" s="306"/>
      <c r="AP33" s="306"/>
      <c r="AQ33" s="306"/>
      <c r="AR33" s="306"/>
      <c r="AS33" s="306"/>
      <c r="AT33" s="307"/>
      <c r="AU33" s="266"/>
      <c r="AV33" s="267"/>
      <c r="AW33" s="267"/>
      <c r="AX33" s="267"/>
      <c r="AY33" s="267"/>
      <c r="AZ33" s="267"/>
      <c r="BA33" s="267"/>
      <c r="BB33" s="267"/>
      <c r="BC33" s="267"/>
      <c r="BD33" s="268"/>
      <c r="BE33" s="266"/>
      <c r="BF33" s="267"/>
      <c r="BG33" s="267"/>
      <c r="BH33" s="267"/>
      <c r="BI33" s="267"/>
      <c r="BJ33" s="267"/>
      <c r="BK33" s="267"/>
      <c r="BL33" s="267"/>
      <c r="BM33" s="267"/>
      <c r="BN33" s="267"/>
      <c r="BO33" s="267"/>
      <c r="BP33" s="267"/>
      <c r="BQ33" s="267"/>
      <c r="BR33" s="267"/>
      <c r="BS33" s="266"/>
      <c r="BT33" s="267"/>
      <c r="BU33" s="267"/>
      <c r="BV33" s="267"/>
      <c r="BW33" s="267"/>
      <c r="BX33" s="267"/>
      <c r="BY33" s="267"/>
      <c r="BZ33" s="267"/>
      <c r="CA33" s="267"/>
      <c r="CB33" s="268"/>
      <c r="CC33" s="266"/>
      <c r="CD33" s="267"/>
      <c r="CE33" s="267"/>
      <c r="CF33" s="267"/>
      <c r="CG33" s="267"/>
      <c r="CH33" s="267"/>
      <c r="CI33" s="267"/>
      <c r="CJ33" s="267"/>
      <c r="CK33" s="267"/>
      <c r="CL33" s="267"/>
      <c r="CM33" s="267"/>
      <c r="CN33" s="267"/>
      <c r="CO33" s="267"/>
      <c r="CP33" s="267"/>
      <c r="CQ33" s="267"/>
      <c r="CR33" s="267"/>
      <c r="CS33" s="268"/>
      <c r="CT33" s="266"/>
      <c r="CU33" s="267"/>
      <c r="CV33" s="267"/>
      <c r="CW33" s="267"/>
      <c r="CX33" s="267"/>
      <c r="CY33" s="267"/>
      <c r="CZ33" s="267"/>
      <c r="DA33" s="267"/>
      <c r="DB33" s="267"/>
      <c r="DC33" s="268"/>
      <c r="DD33" s="266"/>
      <c r="DE33" s="267"/>
      <c r="DF33" s="267"/>
      <c r="DG33" s="267"/>
      <c r="DH33" s="267"/>
      <c r="DI33" s="267"/>
      <c r="DJ33" s="267"/>
      <c r="DK33" s="267"/>
      <c r="DL33" s="267"/>
      <c r="DM33" s="268"/>
      <c r="DN33" s="266"/>
      <c r="DO33" s="267"/>
      <c r="DP33" s="267"/>
      <c r="DQ33" s="267"/>
      <c r="DR33" s="267"/>
      <c r="DS33" s="267"/>
      <c r="DT33" s="267"/>
      <c r="DU33" s="267"/>
      <c r="DV33" s="267"/>
      <c r="DW33" s="267"/>
      <c r="DX33" s="268"/>
      <c r="DY33" s="266"/>
      <c r="DZ33" s="267"/>
      <c r="EA33" s="267"/>
      <c r="EB33" s="267"/>
      <c r="EC33" s="267"/>
      <c r="ED33" s="267"/>
      <c r="EE33" s="267"/>
      <c r="EF33" s="268"/>
    </row>
    <row r="34" spans="1:136" s="42" customFormat="1" ht="12">
      <c r="A34" s="134">
        <f>IF(B34&lt;&gt;"",COUNTA($B$8:B34),"")</f>
        <v>26</v>
      </c>
      <c r="B34" s="266" t="s">
        <v>176</v>
      </c>
      <c r="C34" s="267"/>
      <c r="D34" s="267"/>
      <c r="E34" s="267"/>
      <c r="F34" s="267"/>
      <c r="G34" s="267"/>
      <c r="H34" s="267"/>
      <c r="I34" s="267"/>
      <c r="J34" s="269"/>
      <c r="K34" s="262" t="s">
        <v>41</v>
      </c>
      <c r="L34" s="270"/>
      <c r="M34" s="302"/>
      <c r="N34" s="303"/>
      <c r="O34" s="262" t="s">
        <v>212</v>
      </c>
      <c r="P34" s="270"/>
      <c r="Q34" s="262" t="s">
        <v>207</v>
      </c>
      <c r="R34" s="279"/>
      <c r="S34" s="270"/>
      <c r="T34" s="262" t="s">
        <v>252</v>
      </c>
      <c r="U34" s="279"/>
      <c r="V34" s="270"/>
      <c r="W34" s="280" t="s">
        <v>207</v>
      </c>
      <c r="X34" s="281"/>
      <c r="Y34" s="282"/>
      <c r="Z34" s="280" t="s">
        <v>239</v>
      </c>
      <c r="AA34" s="281"/>
      <c r="AB34" s="282"/>
      <c r="AC34" s="304"/>
      <c r="AD34" s="305"/>
      <c r="AE34" s="273" t="s">
        <v>244</v>
      </c>
      <c r="AF34" s="274"/>
      <c r="AG34" s="274"/>
      <c r="AH34" s="274"/>
      <c r="AI34" s="274"/>
      <c r="AJ34" s="274"/>
      <c r="AK34" s="274"/>
      <c r="AL34" s="275"/>
      <c r="AM34" s="306" t="s">
        <v>176</v>
      </c>
      <c r="AN34" s="306"/>
      <c r="AO34" s="306"/>
      <c r="AP34" s="306"/>
      <c r="AQ34" s="306"/>
      <c r="AR34" s="306"/>
      <c r="AS34" s="306"/>
      <c r="AT34" s="307"/>
      <c r="AU34" s="266"/>
      <c r="AV34" s="267"/>
      <c r="AW34" s="267"/>
      <c r="AX34" s="267"/>
      <c r="AY34" s="267"/>
      <c r="AZ34" s="267"/>
      <c r="BA34" s="267"/>
      <c r="BB34" s="267"/>
      <c r="BC34" s="267"/>
      <c r="BD34" s="268"/>
      <c r="BE34" s="266"/>
      <c r="BF34" s="267"/>
      <c r="BG34" s="267"/>
      <c r="BH34" s="267"/>
      <c r="BI34" s="267"/>
      <c r="BJ34" s="267"/>
      <c r="BK34" s="267"/>
      <c r="BL34" s="267"/>
      <c r="BM34" s="267"/>
      <c r="BN34" s="267"/>
      <c r="BO34" s="267"/>
      <c r="BP34" s="267"/>
      <c r="BQ34" s="267"/>
      <c r="BR34" s="267"/>
      <c r="BS34" s="266"/>
      <c r="BT34" s="267"/>
      <c r="BU34" s="267"/>
      <c r="BV34" s="267"/>
      <c r="BW34" s="267"/>
      <c r="BX34" s="267"/>
      <c r="BY34" s="267"/>
      <c r="BZ34" s="267"/>
      <c r="CA34" s="267"/>
      <c r="CB34" s="268"/>
      <c r="CC34" s="266"/>
      <c r="CD34" s="267"/>
      <c r="CE34" s="267"/>
      <c r="CF34" s="267"/>
      <c r="CG34" s="267"/>
      <c r="CH34" s="267"/>
      <c r="CI34" s="267"/>
      <c r="CJ34" s="267"/>
      <c r="CK34" s="267"/>
      <c r="CL34" s="267"/>
      <c r="CM34" s="267"/>
      <c r="CN34" s="267"/>
      <c r="CO34" s="267"/>
      <c r="CP34" s="267"/>
      <c r="CQ34" s="267"/>
      <c r="CR34" s="267"/>
      <c r="CS34" s="268"/>
      <c r="CT34" s="266"/>
      <c r="CU34" s="267"/>
      <c r="CV34" s="267"/>
      <c r="CW34" s="267"/>
      <c r="CX34" s="267"/>
      <c r="CY34" s="267"/>
      <c r="CZ34" s="267"/>
      <c r="DA34" s="267"/>
      <c r="DB34" s="267"/>
      <c r="DC34" s="268"/>
      <c r="DD34" s="266"/>
      <c r="DE34" s="267"/>
      <c r="DF34" s="267"/>
      <c r="DG34" s="267"/>
      <c r="DH34" s="267"/>
      <c r="DI34" s="267"/>
      <c r="DJ34" s="267"/>
      <c r="DK34" s="267"/>
      <c r="DL34" s="267"/>
      <c r="DM34" s="268"/>
      <c r="DN34" s="266"/>
      <c r="DO34" s="267"/>
      <c r="DP34" s="267"/>
      <c r="DQ34" s="267"/>
      <c r="DR34" s="267"/>
      <c r="DS34" s="267"/>
      <c r="DT34" s="267"/>
      <c r="DU34" s="267"/>
      <c r="DV34" s="267"/>
      <c r="DW34" s="267"/>
      <c r="DX34" s="268"/>
      <c r="DY34" s="266"/>
      <c r="DZ34" s="267"/>
      <c r="EA34" s="267"/>
      <c r="EB34" s="267"/>
      <c r="EC34" s="267"/>
      <c r="ED34" s="267"/>
      <c r="EE34" s="267"/>
      <c r="EF34" s="268"/>
    </row>
    <row r="35" spans="1:136" s="42" customFormat="1" ht="12">
      <c r="A35" s="134">
        <f>IF(B35&lt;&gt;"",COUNTA($B$8:B35),"")</f>
        <v>27</v>
      </c>
      <c r="B35" s="266" t="s">
        <v>177</v>
      </c>
      <c r="C35" s="267"/>
      <c r="D35" s="267"/>
      <c r="E35" s="267"/>
      <c r="F35" s="267"/>
      <c r="G35" s="267"/>
      <c r="H35" s="267"/>
      <c r="I35" s="267"/>
      <c r="J35" s="269"/>
      <c r="K35" s="262" t="s">
        <v>41</v>
      </c>
      <c r="L35" s="270"/>
      <c r="M35" s="302"/>
      <c r="N35" s="303"/>
      <c r="O35" s="262" t="s">
        <v>212</v>
      </c>
      <c r="P35" s="270"/>
      <c r="Q35" s="262" t="s">
        <v>207</v>
      </c>
      <c r="R35" s="279"/>
      <c r="S35" s="270"/>
      <c r="T35" s="262" t="s">
        <v>252</v>
      </c>
      <c r="U35" s="279"/>
      <c r="V35" s="270"/>
      <c r="W35" s="280" t="s">
        <v>207</v>
      </c>
      <c r="X35" s="281"/>
      <c r="Y35" s="282"/>
      <c r="Z35" s="280" t="s">
        <v>239</v>
      </c>
      <c r="AA35" s="281"/>
      <c r="AB35" s="282"/>
      <c r="AC35" s="283"/>
      <c r="AD35" s="305"/>
      <c r="AE35" s="273" t="s">
        <v>244</v>
      </c>
      <c r="AF35" s="274"/>
      <c r="AG35" s="274"/>
      <c r="AH35" s="274"/>
      <c r="AI35" s="274"/>
      <c r="AJ35" s="274"/>
      <c r="AK35" s="274"/>
      <c r="AL35" s="275"/>
      <c r="AM35" s="306" t="s">
        <v>177</v>
      </c>
      <c r="AN35" s="306"/>
      <c r="AO35" s="306"/>
      <c r="AP35" s="306"/>
      <c r="AQ35" s="306"/>
      <c r="AR35" s="306"/>
      <c r="AS35" s="306"/>
      <c r="AT35" s="307"/>
      <c r="AU35" s="266"/>
      <c r="AV35" s="267"/>
      <c r="AW35" s="267"/>
      <c r="AX35" s="267"/>
      <c r="AY35" s="267"/>
      <c r="AZ35" s="267"/>
      <c r="BA35" s="267"/>
      <c r="BB35" s="267"/>
      <c r="BC35" s="267"/>
      <c r="BD35" s="268"/>
      <c r="BE35" s="266"/>
      <c r="BF35" s="267"/>
      <c r="BG35" s="267"/>
      <c r="BH35" s="267"/>
      <c r="BI35" s="267"/>
      <c r="BJ35" s="267"/>
      <c r="BK35" s="267"/>
      <c r="BL35" s="267"/>
      <c r="BM35" s="267"/>
      <c r="BN35" s="267"/>
      <c r="BO35" s="267"/>
      <c r="BP35" s="267"/>
      <c r="BQ35" s="267"/>
      <c r="BR35" s="267"/>
      <c r="BS35" s="266"/>
      <c r="BT35" s="267"/>
      <c r="BU35" s="267"/>
      <c r="BV35" s="267"/>
      <c r="BW35" s="267"/>
      <c r="BX35" s="267"/>
      <c r="BY35" s="267"/>
      <c r="BZ35" s="267"/>
      <c r="CA35" s="267"/>
      <c r="CB35" s="268"/>
      <c r="CC35" s="266"/>
      <c r="CD35" s="267"/>
      <c r="CE35" s="267"/>
      <c r="CF35" s="267"/>
      <c r="CG35" s="267"/>
      <c r="CH35" s="267"/>
      <c r="CI35" s="267"/>
      <c r="CJ35" s="267"/>
      <c r="CK35" s="267"/>
      <c r="CL35" s="267"/>
      <c r="CM35" s="267"/>
      <c r="CN35" s="267"/>
      <c r="CO35" s="267"/>
      <c r="CP35" s="267"/>
      <c r="CQ35" s="267"/>
      <c r="CR35" s="267"/>
      <c r="CS35" s="268"/>
      <c r="CT35" s="266"/>
      <c r="CU35" s="267"/>
      <c r="CV35" s="267"/>
      <c r="CW35" s="267"/>
      <c r="CX35" s="267"/>
      <c r="CY35" s="267"/>
      <c r="CZ35" s="267"/>
      <c r="DA35" s="267"/>
      <c r="DB35" s="267"/>
      <c r="DC35" s="268"/>
      <c r="DD35" s="266"/>
      <c r="DE35" s="267"/>
      <c r="DF35" s="267"/>
      <c r="DG35" s="267"/>
      <c r="DH35" s="267"/>
      <c r="DI35" s="267"/>
      <c r="DJ35" s="267"/>
      <c r="DK35" s="267"/>
      <c r="DL35" s="267"/>
      <c r="DM35" s="268"/>
      <c r="DN35" s="266"/>
      <c r="DO35" s="267"/>
      <c r="DP35" s="267"/>
      <c r="DQ35" s="267"/>
      <c r="DR35" s="267"/>
      <c r="DS35" s="267"/>
      <c r="DT35" s="267"/>
      <c r="DU35" s="267"/>
      <c r="DV35" s="267"/>
      <c r="DW35" s="267"/>
      <c r="DX35" s="268"/>
      <c r="DY35" s="266"/>
      <c r="DZ35" s="267"/>
      <c r="EA35" s="267"/>
      <c r="EB35" s="267"/>
      <c r="EC35" s="267"/>
      <c r="ED35" s="267"/>
      <c r="EE35" s="267"/>
      <c r="EF35" s="268"/>
    </row>
    <row r="36" spans="1:136" s="42" customFormat="1" ht="12">
      <c r="A36" s="134">
        <f>IF(B36&lt;&gt;"",COUNTA($B$8:B36),"")</f>
        <v>28</v>
      </c>
      <c r="B36" s="266" t="s">
        <v>178</v>
      </c>
      <c r="C36" s="267"/>
      <c r="D36" s="267"/>
      <c r="E36" s="267"/>
      <c r="F36" s="267"/>
      <c r="G36" s="267"/>
      <c r="H36" s="267"/>
      <c r="I36" s="267"/>
      <c r="J36" s="269"/>
      <c r="K36" s="262" t="s">
        <v>41</v>
      </c>
      <c r="L36" s="270"/>
      <c r="M36" s="302"/>
      <c r="N36" s="303"/>
      <c r="O36" s="262" t="s">
        <v>212</v>
      </c>
      <c r="P36" s="270"/>
      <c r="Q36" s="262" t="s">
        <v>207</v>
      </c>
      <c r="R36" s="279"/>
      <c r="S36" s="270"/>
      <c r="T36" s="262" t="s">
        <v>252</v>
      </c>
      <c r="U36" s="279"/>
      <c r="V36" s="270"/>
      <c r="W36" s="280" t="s">
        <v>207</v>
      </c>
      <c r="X36" s="281"/>
      <c r="Y36" s="282"/>
      <c r="Z36" s="280" t="s">
        <v>239</v>
      </c>
      <c r="AA36" s="281"/>
      <c r="AB36" s="282"/>
      <c r="AC36" s="283"/>
      <c r="AD36" s="305"/>
      <c r="AE36" s="273" t="s">
        <v>244</v>
      </c>
      <c r="AF36" s="274"/>
      <c r="AG36" s="274"/>
      <c r="AH36" s="274"/>
      <c r="AI36" s="274"/>
      <c r="AJ36" s="274"/>
      <c r="AK36" s="274"/>
      <c r="AL36" s="275"/>
      <c r="AM36" s="306" t="s">
        <v>178</v>
      </c>
      <c r="AN36" s="306"/>
      <c r="AO36" s="306"/>
      <c r="AP36" s="306"/>
      <c r="AQ36" s="306"/>
      <c r="AR36" s="306"/>
      <c r="AS36" s="306"/>
      <c r="AT36" s="307"/>
      <c r="AU36" s="266"/>
      <c r="AV36" s="267"/>
      <c r="AW36" s="267"/>
      <c r="AX36" s="267"/>
      <c r="AY36" s="267"/>
      <c r="AZ36" s="267"/>
      <c r="BA36" s="267"/>
      <c r="BB36" s="267"/>
      <c r="BC36" s="267"/>
      <c r="BD36" s="268"/>
      <c r="BE36" s="266"/>
      <c r="BF36" s="267"/>
      <c r="BG36" s="267"/>
      <c r="BH36" s="267"/>
      <c r="BI36" s="267"/>
      <c r="BJ36" s="267"/>
      <c r="BK36" s="267"/>
      <c r="BL36" s="267"/>
      <c r="BM36" s="267"/>
      <c r="BN36" s="267"/>
      <c r="BO36" s="267"/>
      <c r="BP36" s="267"/>
      <c r="BQ36" s="267"/>
      <c r="BR36" s="267"/>
      <c r="BS36" s="266"/>
      <c r="BT36" s="267"/>
      <c r="BU36" s="267"/>
      <c r="BV36" s="267"/>
      <c r="BW36" s="267"/>
      <c r="BX36" s="267"/>
      <c r="BY36" s="267"/>
      <c r="BZ36" s="267"/>
      <c r="CA36" s="267"/>
      <c r="CB36" s="268"/>
      <c r="CC36" s="266"/>
      <c r="CD36" s="267"/>
      <c r="CE36" s="267"/>
      <c r="CF36" s="267"/>
      <c r="CG36" s="267"/>
      <c r="CH36" s="267"/>
      <c r="CI36" s="267"/>
      <c r="CJ36" s="267"/>
      <c r="CK36" s="267"/>
      <c r="CL36" s="267"/>
      <c r="CM36" s="267"/>
      <c r="CN36" s="267"/>
      <c r="CO36" s="267"/>
      <c r="CP36" s="267"/>
      <c r="CQ36" s="267"/>
      <c r="CR36" s="267"/>
      <c r="CS36" s="268"/>
      <c r="CT36" s="266"/>
      <c r="CU36" s="267"/>
      <c r="CV36" s="267"/>
      <c r="CW36" s="267"/>
      <c r="CX36" s="267"/>
      <c r="CY36" s="267"/>
      <c r="CZ36" s="267"/>
      <c r="DA36" s="267"/>
      <c r="DB36" s="267"/>
      <c r="DC36" s="268"/>
      <c r="DD36" s="266"/>
      <c r="DE36" s="267"/>
      <c r="DF36" s="267"/>
      <c r="DG36" s="267"/>
      <c r="DH36" s="267"/>
      <c r="DI36" s="267"/>
      <c r="DJ36" s="267"/>
      <c r="DK36" s="267"/>
      <c r="DL36" s="267"/>
      <c r="DM36" s="268"/>
      <c r="DN36" s="266"/>
      <c r="DO36" s="267"/>
      <c r="DP36" s="267"/>
      <c r="DQ36" s="267"/>
      <c r="DR36" s="267"/>
      <c r="DS36" s="267"/>
      <c r="DT36" s="267"/>
      <c r="DU36" s="267"/>
      <c r="DV36" s="267"/>
      <c r="DW36" s="267"/>
      <c r="DX36" s="268"/>
      <c r="DY36" s="266"/>
      <c r="DZ36" s="267"/>
      <c r="EA36" s="267"/>
      <c r="EB36" s="267"/>
      <c r="EC36" s="267"/>
      <c r="ED36" s="267"/>
      <c r="EE36" s="267"/>
      <c r="EF36" s="268"/>
    </row>
    <row r="37" spans="1:136" s="42" customFormat="1" ht="12">
      <c r="A37" s="134">
        <f>IF(B37&lt;&gt;"",COUNTA($B$8:B37),"")</f>
        <v>29</v>
      </c>
      <c r="B37" s="266" t="s">
        <v>319</v>
      </c>
      <c r="C37" s="267"/>
      <c r="D37" s="267"/>
      <c r="E37" s="267"/>
      <c r="F37" s="267"/>
      <c r="G37" s="267"/>
      <c r="H37" s="267"/>
      <c r="I37" s="267"/>
      <c r="J37" s="269"/>
      <c r="K37" s="262" t="s">
        <v>41</v>
      </c>
      <c r="L37" s="270"/>
      <c r="M37" s="302"/>
      <c r="N37" s="303"/>
      <c r="O37" s="262" t="s">
        <v>212</v>
      </c>
      <c r="P37" s="270"/>
      <c r="Q37" s="262" t="s">
        <v>207</v>
      </c>
      <c r="R37" s="279"/>
      <c r="S37" s="279"/>
      <c r="T37" s="262" t="s">
        <v>209</v>
      </c>
      <c r="U37" s="279"/>
      <c r="V37" s="270"/>
      <c r="W37" s="280" t="s">
        <v>207</v>
      </c>
      <c r="X37" s="281"/>
      <c r="Y37" s="282"/>
      <c r="Z37" s="280">
        <v>20</v>
      </c>
      <c r="AA37" s="281"/>
      <c r="AB37" s="282"/>
      <c r="AC37" s="304"/>
      <c r="AD37" s="305"/>
      <c r="AE37" s="273" t="s">
        <v>244</v>
      </c>
      <c r="AF37" s="274"/>
      <c r="AG37" s="274"/>
      <c r="AH37" s="274"/>
      <c r="AI37" s="274"/>
      <c r="AJ37" s="274"/>
      <c r="AK37" s="274"/>
      <c r="AL37" s="275"/>
      <c r="AM37" s="306" t="s">
        <v>319</v>
      </c>
      <c r="AN37" s="306"/>
      <c r="AO37" s="306"/>
      <c r="AP37" s="306"/>
      <c r="AQ37" s="306"/>
      <c r="AR37" s="306"/>
      <c r="AS37" s="306"/>
      <c r="AT37" s="307"/>
      <c r="AU37" s="266"/>
      <c r="AV37" s="267"/>
      <c r="AW37" s="267"/>
      <c r="AX37" s="267"/>
      <c r="AY37" s="267"/>
      <c r="AZ37" s="267"/>
      <c r="BA37" s="267"/>
      <c r="BB37" s="267"/>
      <c r="BC37" s="267"/>
      <c r="BD37" s="268"/>
      <c r="BE37" s="266"/>
      <c r="BF37" s="267"/>
      <c r="BG37" s="267"/>
      <c r="BH37" s="267"/>
      <c r="BI37" s="267"/>
      <c r="BJ37" s="267"/>
      <c r="BK37" s="267"/>
      <c r="BL37" s="267"/>
      <c r="BM37" s="267"/>
      <c r="BN37" s="267"/>
      <c r="BO37" s="267"/>
      <c r="BP37" s="267"/>
      <c r="BQ37" s="267"/>
      <c r="BR37" s="267"/>
      <c r="BS37" s="266"/>
      <c r="BT37" s="267"/>
      <c r="BU37" s="267"/>
      <c r="BV37" s="267"/>
      <c r="BW37" s="267"/>
      <c r="BX37" s="267"/>
      <c r="BY37" s="267"/>
      <c r="BZ37" s="267"/>
      <c r="CA37" s="267"/>
      <c r="CB37" s="268"/>
      <c r="CC37" s="266"/>
      <c r="CD37" s="267"/>
      <c r="CE37" s="267"/>
      <c r="CF37" s="267"/>
      <c r="CG37" s="267"/>
      <c r="CH37" s="267"/>
      <c r="CI37" s="267"/>
      <c r="CJ37" s="267"/>
      <c r="CK37" s="267"/>
      <c r="CL37" s="267"/>
      <c r="CM37" s="267"/>
      <c r="CN37" s="267"/>
      <c r="CO37" s="267"/>
      <c r="CP37" s="267"/>
      <c r="CQ37" s="267"/>
      <c r="CR37" s="267"/>
      <c r="CS37" s="268"/>
      <c r="CT37" s="266"/>
      <c r="CU37" s="267"/>
      <c r="CV37" s="267"/>
      <c r="CW37" s="267"/>
      <c r="CX37" s="267"/>
      <c r="CY37" s="267"/>
      <c r="CZ37" s="267"/>
      <c r="DA37" s="267"/>
      <c r="DB37" s="267"/>
      <c r="DC37" s="268"/>
      <c r="DD37" s="266"/>
      <c r="DE37" s="267"/>
      <c r="DF37" s="267"/>
      <c r="DG37" s="267"/>
      <c r="DH37" s="267"/>
      <c r="DI37" s="267"/>
      <c r="DJ37" s="267"/>
      <c r="DK37" s="267"/>
      <c r="DL37" s="267"/>
      <c r="DM37" s="268"/>
      <c r="DN37" s="266"/>
      <c r="DO37" s="267"/>
      <c r="DP37" s="267"/>
      <c r="DQ37" s="267"/>
      <c r="DR37" s="267"/>
      <c r="DS37" s="267"/>
      <c r="DT37" s="267"/>
      <c r="DU37" s="267"/>
      <c r="DV37" s="267"/>
      <c r="DW37" s="267"/>
      <c r="DX37" s="268"/>
      <c r="DY37" s="266"/>
      <c r="DZ37" s="267"/>
      <c r="EA37" s="267"/>
      <c r="EB37" s="267"/>
      <c r="EC37" s="267"/>
      <c r="ED37" s="267"/>
      <c r="EE37" s="267"/>
      <c r="EF37" s="268"/>
    </row>
    <row r="38" spans="1:136" s="42" customFormat="1" ht="12">
      <c r="A38" s="134">
        <f>IF(B38&lt;&gt;"",COUNTA($B$8:B38),"")</f>
        <v>30</v>
      </c>
      <c r="B38" s="266" t="s">
        <v>320</v>
      </c>
      <c r="C38" s="267"/>
      <c r="D38" s="267"/>
      <c r="E38" s="267"/>
      <c r="F38" s="267"/>
      <c r="G38" s="267"/>
      <c r="H38" s="267"/>
      <c r="I38" s="267"/>
      <c r="J38" s="269"/>
      <c r="K38" s="262" t="s">
        <v>41</v>
      </c>
      <c r="L38" s="270"/>
      <c r="M38" s="302"/>
      <c r="N38" s="303"/>
      <c r="O38" s="262" t="s">
        <v>212</v>
      </c>
      <c r="P38" s="270"/>
      <c r="Q38" s="262" t="s">
        <v>207</v>
      </c>
      <c r="R38" s="279"/>
      <c r="S38" s="279"/>
      <c r="T38" s="262" t="s">
        <v>209</v>
      </c>
      <c r="U38" s="279"/>
      <c r="V38" s="270"/>
      <c r="W38" s="280" t="s">
        <v>207</v>
      </c>
      <c r="X38" s="281"/>
      <c r="Y38" s="282"/>
      <c r="Z38" s="280">
        <v>20</v>
      </c>
      <c r="AA38" s="281"/>
      <c r="AB38" s="282"/>
      <c r="AC38" s="304"/>
      <c r="AD38" s="305"/>
      <c r="AE38" s="273" t="s">
        <v>244</v>
      </c>
      <c r="AF38" s="274"/>
      <c r="AG38" s="274"/>
      <c r="AH38" s="274"/>
      <c r="AI38" s="274"/>
      <c r="AJ38" s="274"/>
      <c r="AK38" s="274"/>
      <c r="AL38" s="275"/>
      <c r="AM38" s="306" t="s">
        <v>320</v>
      </c>
      <c r="AN38" s="306"/>
      <c r="AO38" s="306"/>
      <c r="AP38" s="306"/>
      <c r="AQ38" s="306"/>
      <c r="AR38" s="306"/>
      <c r="AS38" s="306"/>
      <c r="AT38" s="307"/>
      <c r="AU38" s="285"/>
      <c r="AV38" s="267"/>
      <c r="AW38" s="267"/>
      <c r="AX38" s="267"/>
      <c r="AY38" s="267"/>
      <c r="AZ38" s="267"/>
      <c r="BA38" s="267"/>
      <c r="BB38" s="267"/>
      <c r="BC38" s="267"/>
      <c r="BD38" s="268"/>
      <c r="BE38" s="285"/>
      <c r="BF38" s="267"/>
      <c r="BG38" s="267"/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267"/>
      <c r="BS38" s="266"/>
      <c r="BT38" s="267"/>
      <c r="BU38" s="267"/>
      <c r="BV38" s="267"/>
      <c r="BW38" s="267"/>
      <c r="BX38" s="267"/>
      <c r="BY38" s="267"/>
      <c r="BZ38" s="267"/>
      <c r="CA38" s="267"/>
      <c r="CB38" s="268"/>
      <c r="CC38" s="266"/>
      <c r="CD38" s="267"/>
      <c r="CE38" s="267"/>
      <c r="CF38" s="267"/>
      <c r="CG38" s="267"/>
      <c r="CH38" s="267"/>
      <c r="CI38" s="267"/>
      <c r="CJ38" s="267"/>
      <c r="CK38" s="267"/>
      <c r="CL38" s="267"/>
      <c r="CM38" s="267"/>
      <c r="CN38" s="267"/>
      <c r="CO38" s="267"/>
      <c r="CP38" s="267"/>
      <c r="CQ38" s="267"/>
      <c r="CR38" s="267"/>
      <c r="CS38" s="268"/>
      <c r="CT38" s="266"/>
      <c r="CU38" s="267"/>
      <c r="CV38" s="267"/>
      <c r="CW38" s="267"/>
      <c r="CX38" s="267"/>
      <c r="CY38" s="267"/>
      <c r="CZ38" s="267"/>
      <c r="DA38" s="267"/>
      <c r="DB38" s="267"/>
      <c r="DC38" s="268"/>
      <c r="DD38" s="266"/>
      <c r="DE38" s="267"/>
      <c r="DF38" s="267"/>
      <c r="DG38" s="267"/>
      <c r="DH38" s="267"/>
      <c r="DI38" s="267"/>
      <c r="DJ38" s="267"/>
      <c r="DK38" s="267"/>
      <c r="DL38" s="267"/>
      <c r="DM38" s="268"/>
      <c r="DN38" s="266"/>
      <c r="DO38" s="267"/>
      <c r="DP38" s="267"/>
      <c r="DQ38" s="267"/>
      <c r="DR38" s="267"/>
      <c r="DS38" s="267"/>
      <c r="DT38" s="267"/>
      <c r="DU38" s="267"/>
      <c r="DV38" s="267"/>
      <c r="DW38" s="267"/>
      <c r="DX38" s="268"/>
      <c r="DY38" s="266"/>
      <c r="DZ38" s="267"/>
      <c r="EA38" s="267"/>
      <c r="EB38" s="267"/>
      <c r="EC38" s="267"/>
      <c r="ED38" s="267"/>
      <c r="EE38" s="267"/>
      <c r="EF38" s="268"/>
    </row>
    <row r="39" spans="1:136" s="42" customFormat="1" ht="12">
      <c r="A39" s="134">
        <f>IF(B39&lt;&gt;"",COUNTA($B$8:B39),"")</f>
        <v>31</v>
      </c>
      <c r="B39" s="266" t="s">
        <v>321</v>
      </c>
      <c r="C39" s="267"/>
      <c r="D39" s="267"/>
      <c r="E39" s="267"/>
      <c r="F39" s="267"/>
      <c r="G39" s="267"/>
      <c r="H39" s="267"/>
      <c r="I39" s="267"/>
      <c r="J39" s="269"/>
      <c r="K39" s="262" t="s">
        <v>41</v>
      </c>
      <c r="L39" s="270"/>
      <c r="M39" s="302"/>
      <c r="N39" s="303"/>
      <c r="O39" s="262" t="s">
        <v>212</v>
      </c>
      <c r="P39" s="270"/>
      <c r="Q39" s="262" t="s">
        <v>207</v>
      </c>
      <c r="R39" s="279"/>
      <c r="S39" s="279"/>
      <c r="T39" s="262" t="s">
        <v>209</v>
      </c>
      <c r="U39" s="279"/>
      <c r="V39" s="270"/>
      <c r="W39" s="280" t="s">
        <v>207</v>
      </c>
      <c r="X39" s="281"/>
      <c r="Y39" s="282"/>
      <c r="Z39" s="280">
        <v>20</v>
      </c>
      <c r="AA39" s="281"/>
      <c r="AB39" s="282"/>
      <c r="AC39" s="304"/>
      <c r="AD39" s="305"/>
      <c r="AE39" s="273" t="s">
        <v>244</v>
      </c>
      <c r="AF39" s="274"/>
      <c r="AG39" s="274"/>
      <c r="AH39" s="274"/>
      <c r="AI39" s="274"/>
      <c r="AJ39" s="274"/>
      <c r="AK39" s="274"/>
      <c r="AL39" s="275"/>
      <c r="AM39" s="306" t="s">
        <v>321</v>
      </c>
      <c r="AN39" s="306"/>
      <c r="AO39" s="306"/>
      <c r="AP39" s="306"/>
      <c r="AQ39" s="306"/>
      <c r="AR39" s="306"/>
      <c r="AS39" s="306"/>
      <c r="AT39" s="307"/>
      <c r="AU39" s="266"/>
      <c r="AV39" s="267"/>
      <c r="AW39" s="267"/>
      <c r="AX39" s="267"/>
      <c r="AY39" s="267"/>
      <c r="AZ39" s="267"/>
      <c r="BA39" s="267"/>
      <c r="BB39" s="267"/>
      <c r="BC39" s="267"/>
      <c r="BD39" s="268"/>
      <c r="BE39" s="266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6"/>
      <c r="BT39" s="267"/>
      <c r="BU39" s="267"/>
      <c r="BV39" s="267"/>
      <c r="BW39" s="267"/>
      <c r="BX39" s="267"/>
      <c r="BY39" s="267"/>
      <c r="BZ39" s="267"/>
      <c r="CA39" s="267"/>
      <c r="CB39" s="268"/>
      <c r="CC39" s="266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8"/>
      <c r="CT39" s="266"/>
      <c r="CU39" s="267"/>
      <c r="CV39" s="267"/>
      <c r="CW39" s="267"/>
      <c r="CX39" s="267"/>
      <c r="CY39" s="267"/>
      <c r="CZ39" s="267"/>
      <c r="DA39" s="267"/>
      <c r="DB39" s="267"/>
      <c r="DC39" s="268"/>
      <c r="DD39" s="266"/>
      <c r="DE39" s="267"/>
      <c r="DF39" s="267"/>
      <c r="DG39" s="267"/>
      <c r="DH39" s="267"/>
      <c r="DI39" s="267"/>
      <c r="DJ39" s="267"/>
      <c r="DK39" s="267"/>
      <c r="DL39" s="267"/>
      <c r="DM39" s="268"/>
      <c r="DN39" s="266"/>
      <c r="DO39" s="267"/>
      <c r="DP39" s="267"/>
      <c r="DQ39" s="267"/>
      <c r="DR39" s="267"/>
      <c r="DS39" s="267"/>
      <c r="DT39" s="267"/>
      <c r="DU39" s="267"/>
      <c r="DV39" s="267"/>
      <c r="DW39" s="267"/>
      <c r="DX39" s="268"/>
      <c r="DY39" s="266"/>
      <c r="DZ39" s="267"/>
      <c r="EA39" s="267"/>
      <c r="EB39" s="267"/>
      <c r="EC39" s="267"/>
      <c r="ED39" s="267"/>
      <c r="EE39" s="267"/>
      <c r="EF39" s="268"/>
    </row>
    <row r="40" spans="1:136" s="42" customFormat="1" ht="12">
      <c r="A40" s="134">
        <f>IF(B40&lt;&gt;"",COUNTA($B$8:B40),"")</f>
        <v>32</v>
      </c>
      <c r="B40" s="266" t="s">
        <v>304</v>
      </c>
      <c r="C40" s="267"/>
      <c r="D40" s="267"/>
      <c r="E40" s="267"/>
      <c r="F40" s="267"/>
      <c r="G40" s="267"/>
      <c r="H40" s="267"/>
      <c r="I40" s="267"/>
      <c r="J40" s="269"/>
      <c r="K40" s="262" t="s">
        <v>41</v>
      </c>
      <c r="L40" s="270"/>
      <c r="M40" s="302"/>
      <c r="N40" s="303"/>
      <c r="O40" s="262" t="s">
        <v>212</v>
      </c>
      <c r="P40" s="270"/>
      <c r="Q40" s="262" t="s">
        <v>207</v>
      </c>
      <c r="R40" s="279"/>
      <c r="S40" s="279"/>
      <c r="T40" s="262" t="s">
        <v>209</v>
      </c>
      <c r="U40" s="279"/>
      <c r="V40" s="270"/>
      <c r="W40" s="280" t="s">
        <v>207</v>
      </c>
      <c r="X40" s="281"/>
      <c r="Y40" s="282"/>
      <c r="Z40" s="280">
        <v>20</v>
      </c>
      <c r="AA40" s="281"/>
      <c r="AB40" s="282"/>
      <c r="AC40" s="304"/>
      <c r="AD40" s="305"/>
      <c r="AE40" s="273" t="s">
        <v>244</v>
      </c>
      <c r="AF40" s="274"/>
      <c r="AG40" s="274"/>
      <c r="AH40" s="274"/>
      <c r="AI40" s="274"/>
      <c r="AJ40" s="274"/>
      <c r="AK40" s="274"/>
      <c r="AL40" s="275"/>
      <c r="AM40" s="306" t="s">
        <v>304</v>
      </c>
      <c r="AN40" s="306"/>
      <c r="AO40" s="306"/>
      <c r="AP40" s="306"/>
      <c r="AQ40" s="306"/>
      <c r="AR40" s="306"/>
      <c r="AS40" s="306"/>
      <c r="AT40" s="307"/>
      <c r="AU40" s="266"/>
      <c r="AV40" s="267"/>
      <c r="AW40" s="267"/>
      <c r="AX40" s="267"/>
      <c r="AY40" s="267"/>
      <c r="AZ40" s="267"/>
      <c r="BA40" s="267"/>
      <c r="BB40" s="267"/>
      <c r="BC40" s="267"/>
      <c r="BD40" s="268"/>
      <c r="BE40" s="266"/>
      <c r="BF40" s="267"/>
      <c r="BG40" s="267"/>
      <c r="BH40" s="267"/>
      <c r="BI40" s="267"/>
      <c r="BJ40" s="267"/>
      <c r="BK40" s="267"/>
      <c r="BL40" s="267"/>
      <c r="BM40" s="267"/>
      <c r="BN40" s="267"/>
      <c r="BO40" s="267"/>
      <c r="BP40" s="267"/>
      <c r="BQ40" s="267"/>
      <c r="BR40" s="267"/>
      <c r="BS40" s="266"/>
      <c r="BT40" s="267"/>
      <c r="BU40" s="267"/>
      <c r="BV40" s="267"/>
      <c r="BW40" s="267"/>
      <c r="BX40" s="267"/>
      <c r="BY40" s="267"/>
      <c r="BZ40" s="267"/>
      <c r="CA40" s="267"/>
      <c r="CB40" s="268"/>
      <c r="CC40" s="266"/>
      <c r="CD40" s="267"/>
      <c r="CE40" s="267"/>
      <c r="CF40" s="267"/>
      <c r="CG40" s="267"/>
      <c r="CH40" s="267"/>
      <c r="CI40" s="267"/>
      <c r="CJ40" s="267"/>
      <c r="CK40" s="267"/>
      <c r="CL40" s="267"/>
      <c r="CM40" s="267"/>
      <c r="CN40" s="267"/>
      <c r="CO40" s="267"/>
      <c r="CP40" s="267"/>
      <c r="CQ40" s="267"/>
      <c r="CR40" s="267"/>
      <c r="CS40" s="268"/>
      <c r="CT40" s="266"/>
      <c r="CU40" s="267"/>
      <c r="CV40" s="267"/>
      <c r="CW40" s="267"/>
      <c r="CX40" s="267"/>
      <c r="CY40" s="267"/>
      <c r="CZ40" s="267"/>
      <c r="DA40" s="267"/>
      <c r="DB40" s="267"/>
      <c r="DC40" s="268"/>
      <c r="DD40" s="266"/>
      <c r="DE40" s="267"/>
      <c r="DF40" s="267"/>
      <c r="DG40" s="267"/>
      <c r="DH40" s="267"/>
      <c r="DI40" s="267"/>
      <c r="DJ40" s="267"/>
      <c r="DK40" s="267"/>
      <c r="DL40" s="267"/>
      <c r="DM40" s="268"/>
      <c r="DN40" s="266"/>
      <c r="DO40" s="267"/>
      <c r="DP40" s="267"/>
      <c r="DQ40" s="267"/>
      <c r="DR40" s="267"/>
      <c r="DS40" s="267"/>
      <c r="DT40" s="267"/>
      <c r="DU40" s="267"/>
      <c r="DV40" s="267"/>
      <c r="DW40" s="267"/>
      <c r="DX40" s="268"/>
      <c r="DY40" s="266"/>
      <c r="DZ40" s="267"/>
      <c r="EA40" s="267"/>
      <c r="EB40" s="267"/>
      <c r="EC40" s="267"/>
      <c r="ED40" s="267"/>
      <c r="EE40" s="267"/>
      <c r="EF40" s="268"/>
    </row>
    <row r="41" spans="1:136" s="42" customFormat="1" ht="12">
      <c r="A41" s="134">
        <f>IF(B41&lt;&gt;"",COUNTA($B$8:B41),"")</f>
        <v>33</v>
      </c>
      <c r="B41" s="266" t="s">
        <v>305</v>
      </c>
      <c r="C41" s="267"/>
      <c r="D41" s="267"/>
      <c r="E41" s="267"/>
      <c r="F41" s="267"/>
      <c r="G41" s="267"/>
      <c r="H41" s="267"/>
      <c r="I41" s="267"/>
      <c r="J41" s="269"/>
      <c r="K41" s="262" t="s">
        <v>41</v>
      </c>
      <c r="L41" s="270"/>
      <c r="M41" s="302"/>
      <c r="N41" s="303"/>
      <c r="O41" s="262" t="s">
        <v>212</v>
      </c>
      <c r="P41" s="270"/>
      <c r="Q41" s="262" t="s">
        <v>207</v>
      </c>
      <c r="R41" s="279"/>
      <c r="S41" s="279"/>
      <c r="T41" s="262" t="s">
        <v>209</v>
      </c>
      <c r="U41" s="279"/>
      <c r="V41" s="270"/>
      <c r="W41" s="280" t="s">
        <v>207</v>
      </c>
      <c r="X41" s="281"/>
      <c r="Y41" s="282"/>
      <c r="Z41" s="280">
        <v>20</v>
      </c>
      <c r="AA41" s="281"/>
      <c r="AB41" s="282"/>
      <c r="AC41" s="304"/>
      <c r="AD41" s="305"/>
      <c r="AE41" s="273" t="s">
        <v>244</v>
      </c>
      <c r="AF41" s="274"/>
      <c r="AG41" s="274"/>
      <c r="AH41" s="274"/>
      <c r="AI41" s="274"/>
      <c r="AJ41" s="274"/>
      <c r="AK41" s="274"/>
      <c r="AL41" s="275"/>
      <c r="AM41" s="306" t="s">
        <v>305</v>
      </c>
      <c r="AN41" s="306"/>
      <c r="AO41" s="306"/>
      <c r="AP41" s="306"/>
      <c r="AQ41" s="306"/>
      <c r="AR41" s="306"/>
      <c r="AS41" s="306"/>
      <c r="AT41" s="307"/>
      <c r="AU41" s="285"/>
      <c r="AV41" s="267"/>
      <c r="AW41" s="267"/>
      <c r="AX41" s="267"/>
      <c r="AY41" s="267"/>
      <c r="AZ41" s="267"/>
      <c r="BA41" s="267"/>
      <c r="BB41" s="267"/>
      <c r="BC41" s="267"/>
      <c r="BD41" s="268"/>
      <c r="BE41" s="285"/>
      <c r="BF41" s="267"/>
      <c r="BG41" s="267"/>
      <c r="BH41" s="267"/>
      <c r="BI41" s="267"/>
      <c r="BJ41" s="267"/>
      <c r="BK41" s="267"/>
      <c r="BL41" s="267"/>
      <c r="BM41" s="267"/>
      <c r="BN41" s="267"/>
      <c r="BO41" s="267"/>
      <c r="BP41" s="267"/>
      <c r="BQ41" s="267"/>
      <c r="BR41" s="267"/>
      <c r="BS41" s="266"/>
      <c r="BT41" s="267"/>
      <c r="BU41" s="267"/>
      <c r="BV41" s="267"/>
      <c r="BW41" s="267"/>
      <c r="BX41" s="267"/>
      <c r="BY41" s="267"/>
      <c r="BZ41" s="267"/>
      <c r="CA41" s="267"/>
      <c r="CB41" s="268"/>
      <c r="CC41" s="266"/>
      <c r="CD41" s="267"/>
      <c r="CE41" s="267"/>
      <c r="CF41" s="267"/>
      <c r="CG41" s="267"/>
      <c r="CH41" s="267"/>
      <c r="CI41" s="267"/>
      <c r="CJ41" s="267"/>
      <c r="CK41" s="267"/>
      <c r="CL41" s="267"/>
      <c r="CM41" s="267"/>
      <c r="CN41" s="267"/>
      <c r="CO41" s="267"/>
      <c r="CP41" s="267"/>
      <c r="CQ41" s="267"/>
      <c r="CR41" s="267"/>
      <c r="CS41" s="268"/>
      <c r="CT41" s="266"/>
      <c r="CU41" s="267"/>
      <c r="CV41" s="267"/>
      <c r="CW41" s="267"/>
      <c r="CX41" s="267"/>
      <c r="CY41" s="267"/>
      <c r="CZ41" s="267"/>
      <c r="DA41" s="267"/>
      <c r="DB41" s="267"/>
      <c r="DC41" s="268"/>
      <c r="DD41" s="266"/>
      <c r="DE41" s="267"/>
      <c r="DF41" s="267"/>
      <c r="DG41" s="267"/>
      <c r="DH41" s="267"/>
      <c r="DI41" s="267"/>
      <c r="DJ41" s="267"/>
      <c r="DK41" s="267"/>
      <c r="DL41" s="267"/>
      <c r="DM41" s="268"/>
      <c r="DN41" s="266"/>
      <c r="DO41" s="267"/>
      <c r="DP41" s="267"/>
      <c r="DQ41" s="267"/>
      <c r="DR41" s="267"/>
      <c r="DS41" s="267"/>
      <c r="DT41" s="267"/>
      <c r="DU41" s="267"/>
      <c r="DV41" s="267"/>
      <c r="DW41" s="267"/>
      <c r="DX41" s="268"/>
      <c r="DY41" s="266"/>
      <c r="DZ41" s="267"/>
      <c r="EA41" s="267"/>
      <c r="EB41" s="267"/>
      <c r="EC41" s="267"/>
      <c r="ED41" s="267"/>
      <c r="EE41" s="267"/>
      <c r="EF41" s="268"/>
    </row>
    <row r="42" spans="1:136" s="42" customFormat="1" ht="12">
      <c r="A42" s="134">
        <f>IF(B42&lt;&gt;"",COUNTA($B$8:B42),"")</f>
        <v>34</v>
      </c>
      <c r="B42" s="266" t="s">
        <v>306</v>
      </c>
      <c r="C42" s="267"/>
      <c r="D42" s="267"/>
      <c r="E42" s="267"/>
      <c r="F42" s="267"/>
      <c r="G42" s="267"/>
      <c r="H42" s="267"/>
      <c r="I42" s="267"/>
      <c r="J42" s="269"/>
      <c r="K42" s="262" t="s">
        <v>41</v>
      </c>
      <c r="L42" s="270"/>
      <c r="M42" s="302"/>
      <c r="N42" s="303"/>
      <c r="O42" s="262" t="s">
        <v>212</v>
      </c>
      <c r="P42" s="270"/>
      <c r="Q42" s="262" t="s">
        <v>207</v>
      </c>
      <c r="R42" s="279"/>
      <c r="S42" s="279"/>
      <c r="T42" s="262" t="s">
        <v>209</v>
      </c>
      <c r="U42" s="279"/>
      <c r="V42" s="270"/>
      <c r="W42" s="280" t="s">
        <v>207</v>
      </c>
      <c r="X42" s="281"/>
      <c r="Y42" s="282"/>
      <c r="Z42" s="280">
        <v>20</v>
      </c>
      <c r="AA42" s="281"/>
      <c r="AB42" s="282"/>
      <c r="AC42" s="304"/>
      <c r="AD42" s="305"/>
      <c r="AE42" s="273" t="s">
        <v>244</v>
      </c>
      <c r="AF42" s="274"/>
      <c r="AG42" s="274"/>
      <c r="AH42" s="274"/>
      <c r="AI42" s="274"/>
      <c r="AJ42" s="274"/>
      <c r="AK42" s="274"/>
      <c r="AL42" s="275"/>
      <c r="AM42" s="306" t="s">
        <v>306</v>
      </c>
      <c r="AN42" s="306"/>
      <c r="AO42" s="306"/>
      <c r="AP42" s="306"/>
      <c r="AQ42" s="306"/>
      <c r="AR42" s="306"/>
      <c r="AS42" s="306"/>
      <c r="AT42" s="307"/>
      <c r="AU42" s="266"/>
      <c r="AV42" s="267"/>
      <c r="AW42" s="267"/>
      <c r="AX42" s="267"/>
      <c r="AY42" s="267"/>
      <c r="AZ42" s="267"/>
      <c r="BA42" s="267"/>
      <c r="BB42" s="267"/>
      <c r="BC42" s="267"/>
      <c r="BD42" s="268"/>
      <c r="BE42" s="266"/>
      <c r="BF42" s="267"/>
      <c r="BG42" s="267"/>
      <c r="BH42" s="267"/>
      <c r="BI42" s="267"/>
      <c r="BJ42" s="267"/>
      <c r="BK42" s="267"/>
      <c r="BL42" s="267"/>
      <c r="BM42" s="267"/>
      <c r="BN42" s="267"/>
      <c r="BO42" s="267"/>
      <c r="BP42" s="267"/>
      <c r="BQ42" s="267"/>
      <c r="BR42" s="267"/>
      <c r="BS42" s="266"/>
      <c r="BT42" s="267"/>
      <c r="BU42" s="267"/>
      <c r="BV42" s="267"/>
      <c r="BW42" s="267"/>
      <c r="BX42" s="267"/>
      <c r="BY42" s="267"/>
      <c r="BZ42" s="267"/>
      <c r="CA42" s="267"/>
      <c r="CB42" s="268"/>
      <c r="CC42" s="266"/>
      <c r="CD42" s="267"/>
      <c r="CE42" s="267"/>
      <c r="CF42" s="267"/>
      <c r="CG42" s="267"/>
      <c r="CH42" s="267"/>
      <c r="CI42" s="267"/>
      <c r="CJ42" s="267"/>
      <c r="CK42" s="267"/>
      <c r="CL42" s="267"/>
      <c r="CM42" s="267"/>
      <c r="CN42" s="267"/>
      <c r="CO42" s="267"/>
      <c r="CP42" s="267"/>
      <c r="CQ42" s="267"/>
      <c r="CR42" s="267"/>
      <c r="CS42" s="268"/>
      <c r="CT42" s="266"/>
      <c r="CU42" s="267"/>
      <c r="CV42" s="267"/>
      <c r="CW42" s="267"/>
      <c r="CX42" s="267"/>
      <c r="CY42" s="267"/>
      <c r="CZ42" s="267"/>
      <c r="DA42" s="267"/>
      <c r="DB42" s="267"/>
      <c r="DC42" s="268"/>
      <c r="DD42" s="266"/>
      <c r="DE42" s="267"/>
      <c r="DF42" s="267"/>
      <c r="DG42" s="267"/>
      <c r="DH42" s="267"/>
      <c r="DI42" s="267"/>
      <c r="DJ42" s="267"/>
      <c r="DK42" s="267"/>
      <c r="DL42" s="267"/>
      <c r="DM42" s="268"/>
      <c r="DN42" s="266"/>
      <c r="DO42" s="267"/>
      <c r="DP42" s="267"/>
      <c r="DQ42" s="267"/>
      <c r="DR42" s="267"/>
      <c r="DS42" s="267"/>
      <c r="DT42" s="267"/>
      <c r="DU42" s="267"/>
      <c r="DV42" s="267"/>
      <c r="DW42" s="267"/>
      <c r="DX42" s="268"/>
      <c r="DY42" s="266"/>
      <c r="DZ42" s="267"/>
      <c r="EA42" s="267"/>
      <c r="EB42" s="267"/>
      <c r="EC42" s="267"/>
      <c r="ED42" s="267"/>
      <c r="EE42" s="267"/>
      <c r="EF42" s="268"/>
    </row>
    <row r="43" spans="1:136" s="42" customFormat="1" ht="12">
      <c r="A43" s="134">
        <f>IF(B43&lt;&gt;"",COUNTA($B$8:B43),"")</f>
        <v>35</v>
      </c>
      <c r="B43" s="266" t="s">
        <v>307</v>
      </c>
      <c r="C43" s="267"/>
      <c r="D43" s="267"/>
      <c r="E43" s="267"/>
      <c r="F43" s="267"/>
      <c r="G43" s="267"/>
      <c r="H43" s="267"/>
      <c r="I43" s="267"/>
      <c r="J43" s="269"/>
      <c r="K43" s="262" t="s">
        <v>41</v>
      </c>
      <c r="L43" s="270"/>
      <c r="M43" s="302"/>
      <c r="N43" s="303"/>
      <c r="O43" s="262" t="s">
        <v>212</v>
      </c>
      <c r="P43" s="270"/>
      <c r="Q43" s="262" t="s">
        <v>207</v>
      </c>
      <c r="R43" s="279"/>
      <c r="S43" s="279"/>
      <c r="T43" s="262" t="s">
        <v>209</v>
      </c>
      <c r="U43" s="279"/>
      <c r="V43" s="270"/>
      <c r="W43" s="280" t="s">
        <v>207</v>
      </c>
      <c r="X43" s="281"/>
      <c r="Y43" s="282"/>
      <c r="Z43" s="280">
        <v>20</v>
      </c>
      <c r="AA43" s="281"/>
      <c r="AB43" s="282"/>
      <c r="AC43" s="304"/>
      <c r="AD43" s="305"/>
      <c r="AE43" s="273" t="s">
        <v>244</v>
      </c>
      <c r="AF43" s="274"/>
      <c r="AG43" s="274"/>
      <c r="AH43" s="274"/>
      <c r="AI43" s="274"/>
      <c r="AJ43" s="274"/>
      <c r="AK43" s="274"/>
      <c r="AL43" s="275"/>
      <c r="AM43" s="306" t="s">
        <v>307</v>
      </c>
      <c r="AN43" s="306"/>
      <c r="AO43" s="306"/>
      <c r="AP43" s="306"/>
      <c r="AQ43" s="306"/>
      <c r="AR43" s="306"/>
      <c r="AS43" s="306"/>
      <c r="AT43" s="307"/>
      <c r="AU43" s="266"/>
      <c r="AV43" s="267"/>
      <c r="AW43" s="267"/>
      <c r="AX43" s="267"/>
      <c r="AY43" s="267"/>
      <c r="AZ43" s="267"/>
      <c r="BA43" s="267"/>
      <c r="BB43" s="267"/>
      <c r="BC43" s="267"/>
      <c r="BD43" s="268"/>
      <c r="BE43" s="266"/>
      <c r="BF43" s="267"/>
      <c r="BG43" s="267"/>
      <c r="BH43" s="267"/>
      <c r="BI43" s="267"/>
      <c r="BJ43" s="267"/>
      <c r="BK43" s="267"/>
      <c r="BL43" s="267"/>
      <c r="BM43" s="267"/>
      <c r="BN43" s="267"/>
      <c r="BO43" s="267"/>
      <c r="BP43" s="267"/>
      <c r="BQ43" s="267"/>
      <c r="BR43" s="267"/>
      <c r="BS43" s="266"/>
      <c r="BT43" s="267"/>
      <c r="BU43" s="267"/>
      <c r="BV43" s="267"/>
      <c r="BW43" s="267"/>
      <c r="BX43" s="267"/>
      <c r="BY43" s="267"/>
      <c r="BZ43" s="267"/>
      <c r="CA43" s="267"/>
      <c r="CB43" s="268"/>
      <c r="CC43" s="266"/>
      <c r="CD43" s="267"/>
      <c r="CE43" s="267"/>
      <c r="CF43" s="267"/>
      <c r="CG43" s="267"/>
      <c r="CH43" s="267"/>
      <c r="CI43" s="267"/>
      <c r="CJ43" s="267"/>
      <c r="CK43" s="267"/>
      <c r="CL43" s="267"/>
      <c r="CM43" s="267"/>
      <c r="CN43" s="267"/>
      <c r="CO43" s="267"/>
      <c r="CP43" s="267"/>
      <c r="CQ43" s="267"/>
      <c r="CR43" s="267"/>
      <c r="CS43" s="268"/>
      <c r="CT43" s="266"/>
      <c r="CU43" s="267"/>
      <c r="CV43" s="267"/>
      <c r="CW43" s="267"/>
      <c r="CX43" s="267"/>
      <c r="CY43" s="267"/>
      <c r="CZ43" s="267"/>
      <c r="DA43" s="267"/>
      <c r="DB43" s="267"/>
      <c r="DC43" s="268"/>
      <c r="DD43" s="266"/>
      <c r="DE43" s="267"/>
      <c r="DF43" s="267"/>
      <c r="DG43" s="267"/>
      <c r="DH43" s="267"/>
      <c r="DI43" s="267"/>
      <c r="DJ43" s="267"/>
      <c r="DK43" s="267"/>
      <c r="DL43" s="267"/>
      <c r="DM43" s="268"/>
      <c r="DN43" s="266"/>
      <c r="DO43" s="267"/>
      <c r="DP43" s="267"/>
      <c r="DQ43" s="267"/>
      <c r="DR43" s="267"/>
      <c r="DS43" s="267"/>
      <c r="DT43" s="267"/>
      <c r="DU43" s="267"/>
      <c r="DV43" s="267"/>
      <c r="DW43" s="267"/>
      <c r="DX43" s="268"/>
      <c r="DY43" s="266"/>
      <c r="DZ43" s="267"/>
      <c r="EA43" s="267"/>
      <c r="EB43" s="267"/>
      <c r="EC43" s="267"/>
      <c r="ED43" s="267"/>
      <c r="EE43" s="267"/>
      <c r="EF43" s="268"/>
    </row>
    <row r="44" spans="1:136" s="42" customFormat="1" ht="12">
      <c r="A44" s="134">
        <f>IF(B44&lt;&gt;"",COUNTA($B$8:B44),"")</f>
        <v>36</v>
      </c>
      <c r="B44" s="266" t="s">
        <v>308</v>
      </c>
      <c r="C44" s="267"/>
      <c r="D44" s="267"/>
      <c r="E44" s="267"/>
      <c r="F44" s="267"/>
      <c r="G44" s="267"/>
      <c r="H44" s="267"/>
      <c r="I44" s="267"/>
      <c r="J44" s="269"/>
      <c r="K44" s="262" t="s">
        <v>41</v>
      </c>
      <c r="L44" s="270"/>
      <c r="M44" s="302"/>
      <c r="N44" s="303"/>
      <c r="O44" s="262" t="s">
        <v>212</v>
      </c>
      <c r="P44" s="270"/>
      <c r="Q44" s="262" t="s">
        <v>207</v>
      </c>
      <c r="R44" s="279"/>
      <c r="S44" s="279"/>
      <c r="T44" s="262" t="s">
        <v>209</v>
      </c>
      <c r="U44" s="279"/>
      <c r="V44" s="270"/>
      <c r="W44" s="280" t="s">
        <v>207</v>
      </c>
      <c r="X44" s="281"/>
      <c r="Y44" s="282"/>
      <c r="Z44" s="280">
        <v>20</v>
      </c>
      <c r="AA44" s="281"/>
      <c r="AB44" s="282"/>
      <c r="AC44" s="304"/>
      <c r="AD44" s="305"/>
      <c r="AE44" s="273" t="s">
        <v>244</v>
      </c>
      <c r="AF44" s="274"/>
      <c r="AG44" s="274"/>
      <c r="AH44" s="274"/>
      <c r="AI44" s="274"/>
      <c r="AJ44" s="274"/>
      <c r="AK44" s="274"/>
      <c r="AL44" s="275"/>
      <c r="AM44" s="306" t="s">
        <v>308</v>
      </c>
      <c r="AN44" s="306"/>
      <c r="AO44" s="306"/>
      <c r="AP44" s="306"/>
      <c r="AQ44" s="306"/>
      <c r="AR44" s="306"/>
      <c r="AS44" s="306"/>
      <c r="AT44" s="307"/>
      <c r="AU44" s="266"/>
      <c r="AV44" s="267"/>
      <c r="AW44" s="267"/>
      <c r="AX44" s="267"/>
      <c r="AY44" s="267"/>
      <c r="AZ44" s="267"/>
      <c r="BA44" s="267"/>
      <c r="BB44" s="267"/>
      <c r="BC44" s="267"/>
      <c r="BD44" s="268"/>
      <c r="BE44" s="266"/>
      <c r="BF44" s="267"/>
      <c r="BG44" s="267"/>
      <c r="BH44" s="267"/>
      <c r="BI44" s="267"/>
      <c r="BJ44" s="267"/>
      <c r="BK44" s="267"/>
      <c r="BL44" s="267"/>
      <c r="BM44" s="267"/>
      <c r="BN44" s="267"/>
      <c r="BO44" s="267"/>
      <c r="BP44" s="267"/>
      <c r="BQ44" s="267"/>
      <c r="BR44" s="267"/>
      <c r="BS44" s="266"/>
      <c r="BT44" s="267"/>
      <c r="BU44" s="267"/>
      <c r="BV44" s="267"/>
      <c r="BW44" s="267"/>
      <c r="BX44" s="267"/>
      <c r="BY44" s="267"/>
      <c r="BZ44" s="267"/>
      <c r="CA44" s="267"/>
      <c r="CB44" s="268"/>
      <c r="CC44" s="266"/>
      <c r="CD44" s="267"/>
      <c r="CE44" s="267"/>
      <c r="CF44" s="267"/>
      <c r="CG44" s="267"/>
      <c r="CH44" s="267"/>
      <c r="CI44" s="267"/>
      <c r="CJ44" s="267"/>
      <c r="CK44" s="267"/>
      <c r="CL44" s="267"/>
      <c r="CM44" s="267"/>
      <c r="CN44" s="267"/>
      <c r="CO44" s="267"/>
      <c r="CP44" s="267"/>
      <c r="CQ44" s="267"/>
      <c r="CR44" s="267"/>
      <c r="CS44" s="268"/>
      <c r="CT44" s="266"/>
      <c r="CU44" s="267"/>
      <c r="CV44" s="267"/>
      <c r="CW44" s="267"/>
      <c r="CX44" s="267"/>
      <c r="CY44" s="267"/>
      <c r="CZ44" s="267"/>
      <c r="DA44" s="267"/>
      <c r="DB44" s="267"/>
      <c r="DC44" s="268"/>
      <c r="DD44" s="266"/>
      <c r="DE44" s="267"/>
      <c r="DF44" s="267"/>
      <c r="DG44" s="267"/>
      <c r="DH44" s="267"/>
      <c r="DI44" s="267"/>
      <c r="DJ44" s="267"/>
      <c r="DK44" s="267"/>
      <c r="DL44" s="267"/>
      <c r="DM44" s="268"/>
      <c r="DN44" s="266"/>
      <c r="DO44" s="267"/>
      <c r="DP44" s="267"/>
      <c r="DQ44" s="267"/>
      <c r="DR44" s="267"/>
      <c r="DS44" s="267"/>
      <c r="DT44" s="267"/>
      <c r="DU44" s="267"/>
      <c r="DV44" s="267"/>
      <c r="DW44" s="267"/>
      <c r="DX44" s="268"/>
      <c r="DY44" s="266"/>
      <c r="DZ44" s="267"/>
      <c r="EA44" s="267"/>
      <c r="EB44" s="267"/>
      <c r="EC44" s="267"/>
      <c r="ED44" s="267"/>
      <c r="EE44" s="267"/>
      <c r="EF44" s="268"/>
    </row>
    <row r="45" spans="1:136" s="42" customFormat="1" ht="12">
      <c r="A45" s="134">
        <f>IF(B45&lt;&gt;"",COUNTA($B$8:B45),"")</f>
        <v>37</v>
      </c>
      <c r="B45" s="266" t="s">
        <v>309</v>
      </c>
      <c r="C45" s="267"/>
      <c r="D45" s="267"/>
      <c r="E45" s="267"/>
      <c r="F45" s="267"/>
      <c r="G45" s="267"/>
      <c r="H45" s="267"/>
      <c r="I45" s="267"/>
      <c r="J45" s="269"/>
      <c r="K45" s="262" t="s">
        <v>41</v>
      </c>
      <c r="L45" s="270"/>
      <c r="M45" s="302"/>
      <c r="N45" s="303"/>
      <c r="O45" s="262" t="s">
        <v>212</v>
      </c>
      <c r="P45" s="270"/>
      <c r="Q45" s="262" t="s">
        <v>207</v>
      </c>
      <c r="R45" s="279"/>
      <c r="S45" s="279"/>
      <c r="T45" s="262" t="s">
        <v>209</v>
      </c>
      <c r="U45" s="279"/>
      <c r="V45" s="270"/>
      <c r="W45" s="280" t="s">
        <v>207</v>
      </c>
      <c r="X45" s="281"/>
      <c r="Y45" s="282"/>
      <c r="Z45" s="280">
        <v>20</v>
      </c>
      <c r="AA45" s="281"/>
      <c r="AB45" s="282"/>
      <c r="AC45" s="304"/>
      <c r="AD45" s="305"/>
      <c r="AE45" s="273" t="s">
        <v>244</v>
      </c>
      <c r="AF45" s="274"/>
      <c r="AG45" s="274"/>
      <c r="AH45" s="274"/>
      <c r="AI45" s="274"/>
      <c r="AJ45" s="274"/>
      <c r="AK45" s="274"/>
      <c r="AL45" s="275"/>
      <c r="AM45" s="306" t="s">
        <v>309</v>
      </c>
      <c r="AN45" s="306"/>
      <c r="AO45" s="306"/>
      <c r="AP45" s="306"/>
      <c r="AQ45" s="306"/>
      <c r="AR45" s="306"/>
      <c r="AS45" s="306"/>
      <c r="AT45" s="307"/>
      <c r="AU45" s="266"/>
      <c r="AV45" s="267"/>
      <c r="AW45" s="267"/>
      <c r="AX45" s="267"/>
      <c r="AY45" s="267"/>
      <c r="AZ45" s="267"/>
      <c r="BA45" s="267"/>
      <c r="BB45" s="267"/>
      <c r="BC45" s="267"/>
      <c r="BD45" s="268"/>
      <c r="BE45" s="266"/>
      <c r="BF45" s="267"/>
      <c r="BG45" s="267"/>
      <c r="BH45" s="267"/>
      <c r="BI45" s="267"/>
      <c r="BJ45" s="267"/>
      <c r="BK45" s="267"/>
      <c r="BL45" s="267"/>
      <c r="BM45" s="267"/>
      <c r="BN45" s="267"/>
      <c r="BO45" s="267"/>
      <c r="BP45" s="267"/>
      <c r="BQ45" s="267"/>
      <c r="BR45" s="267"/>
      <c r="BS45" s="266"/>
      <c r="BT45" s="267"/>
      <c r="BU45" s="267"/>
      <c r="BV45" s="267"/>
      <c r="BW45" s="267"/>
      <c r="BX45" s="267"/>
      <c r="BY45" s="267"/>
      <c r="BZ45" s="267"/>
      <c r="CA45" s="267"/>
      <c r="CB45" s="268"/>
      <c r="CC45" s="285"/>
      <c r="CD45" s="267"/>
      <c r="CE45" s="267"/>
      <c r="CF45" s="267"/>
      <c r="CG45" s="267"/>
      <c r="CH45" s="267"/>
      <c r="CI45" s="267"/>
      <c r="CJ45" s="267"/>
      <c r="CK45" s="267"/>
      <c r="CL45" s="267"/>
      <c r="CM45" s="267"/>
      <c r="CN45" s="267"/>
      <c r="CO45" s="267"/>
      <c r="CP45" s="267"/>
      <c r="CQ45" s="267"/>
      <c r="CR45" s="267"/>
      <c r="CS45" s="268"/>
      <c r="CT45" s="285"/>
      <c r="CU45" s="267"/>
      <c r="CV45" s="267"/>
      <c r="CW45" s="267"/>
      <c r="CX45" s="267"/>
      <c r="CY45" s="267"/>
      <c r="CZ45" s="267"/>
      <c r="DA45" s="267"/>
      <c r="DB45" s="267"/>
      <c r="DC45" s="268"/>
      <c r="DD45" s="266"/>
      <c r="DE45" s="267"/>
      <c r="DF45" s="267"/>
      <c r="DG45" s="267"/>
      <c r="DH45" s="267"/>
      <c r="DI45" s="267"/>
      <c r="DJ45" s="267"/>
      <c r="DK45" s="267"/>
      <c r="DL45" s="267"/>
      <c r="DM45" s="268"/>
      <c r="DN45" s="266"/>
      <c r="DO45" s="267"/>
      <c r="DP45" s="267"/>
      <c r="DQ45" s="267"/>
      <c r="DR45" s="267"/>
      <c r="DS45" s="267"/>
      <c r="DT45" s="267"/>
      <c r="DU45" s="267"/>
      <c r="DV45" s="267"/>
      <c r="DW45" s="267"/>
      <c r="DX45" s="268"/>
      <c r="DY45" s="266"/>
      <c r="DZ45" s="267"/>
      <c r="EA45" s="267"/>
      <c r="EB45" s="267"/>
      <c r="EC45" s="267"/>
      <c r="ED45" s="267"/>
      <c r="EE45" s="267"/>
      <c r="EF45" s="268"/>
    </row>
    <row r="46" spans="1:136" s="42" customFormat="1" ht="12">
      <c r="A46" s="134">
        <f>IF(B46&lt;&gt;"",COUNTA($B$8:B46),"")</f>
        <v>38</v>
      </c>
      <c r="B46" s="266" t="s">
        <v>310</v>
      </c>
      <c r="C46" s="267"/>
      <c r="D46" s="267"/>
      <c r="E46" s="267"/>
      <c r="F46" s="267"/>
      <c r="G46" s="267"/>
      <c r="H46" s="267"/>
      <c r="I46" s="267"/>
      <c r="J46" s="269"/>
      <c r="K46" s="262" t="s">
        <v>41</v>
      </c>
      <c r="L46" s="270"/>
      <c r="M46" s="271"/>
      <c r="N46" s="272"/>
      <c r="O46" s="262" t="s">
        <v>212</v>
      </c>
      <c r="P46" s="270"/>
      <c r="Q46" s="262" t="s">
        <v>207</v>
      </c>
      <c r="R46" s="279"/>
      <c r="S46" s="279"/>
      <c r="T46" s="262" t="s">
        <v>209</v>
      </c>
      <c r="U46" s="279"/>
      <c r="V46" s="270"/>
      <c r="W46" s="280" t="s">
        <v>207</v>
      </c>
      <c r="X46" s="281"/>
      <c r="Y46" s="282"/>
      <c r="Z46" s="280">
        <v>20</v>
      </c>
      <c r="AA46" s="281"/>
      <c r="AB46" s="282"/>
      <c r="AC46" s="283"/>
      <c r="AD46" s="284"/>
      <c r="AE46" s="273" t="s">
        <v>244</v>
      </c>
      <c r="AF46" s="274"/>
      <c r="AG46" s="274"/>
      <c r="AH46" s="274"/>
      <c r="AI46" s="274"/>
      <c r="AJ46" s="274"/>
      <c r="AK46" s="274"/>
      <c r="AL46" s="275"/>
      <c r="AM46" s="276" t="s">
        <v>310</v>
      </c>
      <c r="AN46" s="277"/>
      <c r="AO46" s="277"/>
      <c r="AP46" s="277"/>
      <c r="AQ46" s="277"/>
      <c r="AR46" s="277"/>
      <c r="AS46" s="277"/>
      <c r="AT46" s="278"/>
      <c r="AU46" s="266"/>
      <c r="AV46" s="267"/>
      <c r="AW46" s="267"/>
      <c r="AX46" s="267"/>
      <c r="AY46" s="267"/>
      <c r="AZ46" s="267"/>
      <c r="BA46" s="267"/>
      <c r="BB46" s="267"/>
      <c r="BC46" s="267"/>
      <c r="BD46" s="268"/>
      <c r="BE46" s="266"/>
      <c r="BF46" s="267"/>
      <c r="BG46" s="267"/>
      <c r="BH46" s="267"/>
      <c r="BI46" s="267"/>
      <c r="BJ46" s="267"/>
      <c r="BK46" s="267"/>
      <c r="BL46" s="267"/>
      <c r="BM46" s="267"/>
      <c r="BN46" s="267"/>
      <c r="BO46" s="267"/>
      <c r="BP46" s="267"/>
      <c r="BQ46" s="267"/>
      <c r="BR46" s="267"/>
      <c r="BS46" s="285"/>
      <c r="BT46" s="286"/>
      <c r="BU46" s="286"/>
      <c r="BV46" s="286"/>
      <c r="BW46" s="286"/>
      <c r="BX46" s="286"/>
      <c r="BY46" s="286"/>
      <c r="BZ46" s="286"/>
      <c r="CA46" s="286"/>
      <c r="CB46" s="287"/>
      <c r="CC46" s="266"/>
      <c r="CD46" s="267"/>
      <c r="CE46" s="267"/>
      <c r="CF46" s="267"/>
      <c r="CG46" s="267"/>
      <c r="CH46" s="267"/>
      <c r="CI46" s="267"/>
      <c r="CJ46" s="267"/>
      <c r="CK46" s="267"/>
      <c r="CL46" s="267"/>
      <c r="CM46" s="267"/>
      <c r="CN46" s="267"/>
      <c r="CO46" s="267"/>
      <c r="CP46" s="267"/>
      <c r="CQ46" s="267"/>
      <c r="CR46" s="267"/>
      <c r="CS46" s="268"/>
      <c r="CT46" s="266"/>
      <c r="CU46" s="267"/>
      <c r="CV46" s="267"/>
      <c r="CW46" s="267"/>
      <c r="CX46" s="267"/>
      <c r="CY46" s="267"/>
      <c r="CZ46" s="267"/>
      <c r="DA46" s="267"/>
      <c r="DB46" s="267"/>
      <c r="DC46" s="268"/>
      <c r="DD46" s="266"/>
      <c r="DE46" s="267"/>
      <c r="DF46" s="267"/>
      <c r="DG46" s="267"/>
      <c r="DH46" s="267"/>
      <c r="DI46" s="267"/>
      <c r="DJ46" s="267"/>
      <c r="DK46" s="267"/>
      <c r="DL46" s="267"/>
      <c r="DM46" s="268"/>
      <c r="DN46" s="266"/>
      <c r="DO46" s="267"/>
      <c r="DP46" s="267"/>
      <c r="DQ46" s="267"/>
      <c r="DR46" s="267"/>
      <c r="DS46" s="267"/>
      <c r="DT46" s="267"/>
      <c r="DU46" s="267"/>
      <c r="DV46" s="267"/>
      <c r="DW46" s="267"/>
      <c r="DX46" s="268"/>
      <c r="DY46" s="266"/>
      <c r="DZ46" s="267"/>
      <c r="EA46" s="267"/>
      <c r="EB46" s="267"/>
      <c r="EC46" s="267"/>
      <c r="ED46" s="267"/>
      <c r="EE46" s="267"/>
      <c r="EF46" s="268"/>
    </row>
    <row r="47" spans="1:136" s="42" customFormat="1" ht="12">
      <c r="A47" s="134">
        <f>IF(B47&lt;&gt;"",COUNTA($B$8:B47),"")</f>
        <v>39</v>
      </c>
      <c r="B47" s="266" t="s">
        <v>311</v>
      </c>
      <c r="C47" s="267"/>
      <c r="D47" s="267"/>
      <c r="E47" s="267"/>
      <c r="F47" s="267"/>
      <c r="G47" s="267"/>
      <c r="H47" s="267"/>
      <c r="I47" s="267"/>
      <c r="J47" s="269"/>
      <c r="K47" s="262" t="s">
        <v>41</v>
      </c>
      <c r="L47" s="270"/>
      <c r="M47" s="302"/>
      <c r="N47" s="303"/>
      <c r="O47" s="262" t="s">
        <v>212</v>
      </c>
      <c r="P47" s="270"/>
      <c r="Q47" s="262" t="s">
        <v>207</v>
      </c>
      <c r="R47" s="279"/>
      <c r="S47" s="279"/>
      <c r="T47" s="262" t="s">
        <v>209</v>
      </c>
      <c r="U47" s="279"/>
      <c r="V47" s="270"/>
      <c r="W47" s="280" t="s">
        <v>207</v>
      </c>
      <c r="X47" s="281"/>
      <c r="Y47" s="282"/>
      <c r="Z47" s="280">
        <v>20</v>
      </c>
      <c r="AA47" s="281"/>
      <c r="AB47" s="282"/>
      <c r="AC47" s="304"/>
      <c r="AD47" s="305"/>
      <c r="AE47" s="273" t="s">
        <v>244</v>
      </c>
      <c r="AF47" s="274"/>
      <c r="AG47" s="274"/>
      <c r="AH47" s="274"/>
      <c r="AI47" s="274"/>
      <c r="AJ47" s="274"/>
      <c r="AK47" s="274"/>
      <c r="AL47" s="275"/>
      <c r="AM47" s="306" t="s">
        <v>311</v>
      </c>
      <c r="AN47" s="306"/>
      <c r="AO47" s="306"/>
      <c r="AP47" s="306"/>
      <c r="AQ47" s="306"/>
      <c r="AR47" s="306"/>
      <c r="AS47" s="306"/>
      <c r="AT47" s="307"/>
      <c r="AU47" s="266"/>
      <c r="AV47" s="267"/>
      <c r="AW47" s="267"/>
      <c r="AX47" s="267"/>
      <c r="AY47" s="267"/>
      <c r="AZ47" s="267"/>
      <c r="BA47" s="267"/>
      <c r="BB47" s="267"/>
      <c r="BC47" s="267"/>
      <c r="BD47" s="268"/>
      <c r="BE47" s="266"/>
      <c r="BF47" s="267"/>
      <c r="BG47" s="267"/>
      <c r="BH47" s="267"/>
      <c r="BI47" s="267"/>
      <c r="BJ47" s="267"/>
      <c r="BK47" s="267"/>
      <c r="BL47" s="267"/>
      <c r="BM47" s="267"/>
      <c r="BN47" s="267"/>
      <c r="BO47" s="267"/>
      <c r="BP47" s="267"/>
      <c r="BQ47" s="267"/>
      <c r="BR47" s="267"/>
      <c r="BS47" s="266"/>
      <c r="BT47" s="267"/>
      <c r="BU47" s="267"/>
      <c r="BV47" s="267"/>
      <c r="BW47" s="267"/>
      <c r="BX47" s="267"/>
      <c r="BY47" s="267"/>
      <c r="BZ47" s="267"/>
      <c r="CA47" s="267"/>
      <c r="CB47" s="268"/>
      <c r="CC47" s="266"/>
      <c r="CD47" s="267"/>
      <c r="CE47" s="267"/>
      <c r="CF47" s="267"/>
      <c r="CG47" s="267"/>
      <c r="CH47" s="267"/>
      <c r="CI47" s="267"/>
      <c r="CJ47" s="267"/>
      <c r="CK47" s="267"/>
      <c r="CL47" s="267"/>
      <c r="CM47" s="267"/>
      <c r="CN47" s="267"/>
      <c r="CO47" s="267"/>
      <c r="CP47" s="267"/>
      <c r="CQ47" s="267"/>
      <c r="CR47" s="267"/>
      <c r="CS47" s="268"/>
      <c r="CT47" s="266"/>
      <c r="CU47" s="267"/>
      <c r="CV47" s="267"/>
      <c r="CW47" s="267"/>
      <c r="CX47" s="267"/>
      <c r="CY47" s="267"/>
      <c r="CZ47" s="267"/>
      <c r="DA47" s="267"/>
      <c r="DB47" s="267"/>
      <c r="DC47" s="268"/>
      <c r="DD47" s="266"/>
      <c r="DE47" s="267"/>
      <c r="DF47" s="267"/>
      <c r="DG47" s="267"/>
      <c r="DH47" s="267"/>
      <c r="DI47" s="267"/>
      <c r="DJ47" s="267"/>
      <c r="DK47" s="267"/>
      <c r="DL47" s="267"/>
      <c r="DM47" s="268"/>
      <c r="DN47" s="266"/>
      <c r="DO47" s="267"/>
      <c r="DP47" s="267"/>
      <c r="DQ47" s="267"/>
      <c r="DR47" s="267"/>
      <c r="DS47" s="267"/>
      <c r="DT47" s="267"/>
      <c r="DU47" s="267"/>
      <c r="DV47" s="267"/>
      <c r="DW47" s="267"/>
      <c r="DX47" s="268"/>
      <c r="DY47" s="266"/>
      <c r="DZ47" s="267"/>
      <c r="EA47" s="267"/>
      <c r="EB47" s="267"/>
      <c r="EC47" s="267"/>
      <c r="ED47" s="267"/>
      <c r="EE47" s="267"/>
      <c r="EF47" s="268"/>
    </row>
    <row r="48" spans="1:136" s="42" customFormat="1" ht="12">
      <c r="A48" s="134">
        <f>IF(B48&lt;&gt;"",COUNTA($B$8:B48),"")</f>
        <v>40</v>
      </c>
      <c r="B48" s="266" t="s">
        <v>312</v>
      </c>
      <c r="C48" s="267"/>
      <c r="D48" s="267"/>
      <c r="E48" s="267"/>
      <c r="F48" s="267"/>
      <c r="G48" s="267"/>
      <c r="H48" s="267"/>
      <c r="I48" s="267"/>
      <c r="J48" s="269"/>
      <c r="K48" s="262" t="s">
        <v>41</v>
      </c>
      <c r="L48" s="270"/>
      <c r="M48" s="302"/>
      <c r="N48" s="303"/>
      <c r="O48" s="262" t="s">
        <v>212</v>
      </c>
      <c r="P48" s="270"/>
      <c r="Q48" s="262" t="s">
        <v>207</v>
      </c>
      <c r="R48" s="279"/>
      <c r="S48" s="279"/>
      <c r="T48" s="262" t="s">
        <v>209</v>
      </c>
      <c r="U48" s="279"/>
      <c r="V48" s="270"/>
      <c r="W48" s="280" t="s">
        <v>207</v>
      </c>
      <c r="X48" s="281"/>
      <c r="Y48" s="282"/>
      <c r="Z48" s="280">
        <v>20</v>
      </c>
      <c r="AA48" s="281"/>
      <c r="AB48" s="282"/>
      <c r="AC48" s="283"/>
      <c r="AD48" s="305"/>
      <c r="AE48" s="273" t="s">
        <v>244</v>
      </c>
      <c r="AF48" s="274"/>
      <c r="AG48" s="274"/>
      <c r="AH48" s="274"/>
      <c r="AI48" s="274"/>
      <c r="AJ48" s="274"/>
      <c r="AK48" s="274"/>
      <c r="AL48" s="275"/>
      <c r="AM48" s="306" t="s">
        <v>312</v>
      </c>
      <c r="AN48" s="306"/>
      <c r="AO48" s="306"/>
      <c r="AP48" s="306"/>
      <c r="AQ48" s="306"/>
      <c r="AR48" s="306"/>
      <c r="AS48" s="306"/>
      <c r="AT48" s="307"/>
      <c r="AU48" s="266"/>
      <c r="AV48" s="267"/>
      <c r="AW48" s="267"/>
      <c r="AX48" s="267"/>
      <c r="AY48" s="267"/>
      <c r="AZ48" s="267"/>
      <c r="BA48" s="267"/>
      <c r="BB48" s="267"/>
      <c r="BC48" s="267"/>
      <c r="BD48" s="268"/>
      <c r="BE48" s="266"/>
      <c r="BF48" s="267"/>
      <c r="BG48" s="267"/>
      <c r="BH48" s="267"/>
      <c r="BI48" s="267"/>
      <c r="BJ48" s="267"/>
      <c r="BK48" s="267"/>
      <c r="BL48" s="267"/>
      <c r="BM48" s="267"/>
      <c r="BN48" s="267"/>
      <c r="BO48" s="267"/>
      <c r="BP48" s="267"/>
      <c r="BQ48" s="267"/>
      <c r="BR48" s="267"/>
      <c r="BS48" s="266"/>
      <c r="BT48" s="267"/>
      <c r="BU48" s="267"/>
      <c r="BV48" s="267"/>
      <c r="BW48" s="267"/>
      <c r="BX48" s="267"/>
      <c r="BY48" s="267"/>
      <c r="BZ48" s="267"/>
      <c r="CA48" s="267"/>
      <c r="CB48" s="268"/>
      <c r="CC48" s="266"/>
      <c r="CD48" s="267"/>
      <c r="CE48" s="267"/>
      <c r="CF48" s="267"/>
      <c r="CG48" s="267"/>
      <c r="CH48" s="267"/>
      <c r="CI48" s="267"/>
      <c r="CJ48" s="267"/>
      <c r="CK48" s="267"/>
      <c r="CL48" s="267"/>
      <c r="CM48" s="267"/>
      <c r="CN48" s="267"/>
      <c r="CO48" s="267"/>
      <c r="CP48" s="267"/>
      <c r="CQ48" s="267"/>
      <c r="CR48" s="267"/>
      <c r="CS48" s="268"/>
      <c r="CT48" s="266"/>
      <c r="CU48" s="267"/>
      <c r="CV48" s="267"/>
      <c r="CW48" s="267"/>
      <c r="CX48" s="267"/>
      <c r="CY48" s="267"/>
      <c r="CZ48" s="267"/>
      <c r="DA48" s="267"/>
      <c r="DB48" s="267"/>
      <c r="DC48" s="268"/>
      <c r="DD48" s="266"/>
      <c r="DE48" s="267"/>
      <c r="DF48" s="267"/>
      <c r="DG48" s="267"/>
      <c r="DH48" s="267"/>
      <c r="DI48" s="267"/>
      <c r="DJ48" s="267"/>
      <c r="DK48" s="267"/>
      <c r="DL48" s="267"/>
      <c r="DM48" s="268"/>
      <c r="DN48" s="266"/>
      <c r="DO48" s="267"/>
      <c r="DP48" s="267"/>
      <c r="DQ48" s="267"/>
      <c r="DR48" s="267"/>
      <c r="DS48" s="267"/>
      <c r="DT48" s="267"/>
      <c r="DU48" s="267"/>
      <c r="DV48" s="267"/>
      <c r="DW48" s="267"/>
      <c r="DX48" s="268"/>
      <c r="DY48" s="266"/>
      <c r="DZ48" s="267"/>
      <c r="EA48" s="267"/>
      <c r="EB48" s="267"/>
      <c r="EC48" s="267"/>
      <c r="ED48" s="267"/>
      <c r="EE48" s="267"/>
      <c r="EF48" s="268"/>
    </row>
    <row r="49" spans="1:136" s="42" customFormat="1" ht="12">
      <c r="A49" s="134">
        <f>IF(B49&lt;&gt;"",COUNTA($B$8:B49),"")</f>
        <v>41</v>
      </c>
      <c r="B49" s="266" t="s">
        <v>313</v>
      </c>
      <c r="C49" s="267"/>
      <c r="D49" s="267"/>
      <c r="E49" s="267"/>
      <c r="F49" s="267"/>
      <c r="G49" s="267"/>
      <c r="H49" s="267"/>
      <c r="I49" s="267"/>
      <c r="J49" s="269"/>
      <c r="K49" s="262" t="s">
        <v>41</v>
      </c>
      <c r="L49" s="270"/>
      <c r="M49" s="302"/>
      <c r="N49" s="303"/>
      <c r="O49" s="262" t="s">
        <v>212</v>
      </c>
      <c r="P49" s="270"/>
      <c r="Q49" s="262" t="s">
        <v>207</v>
      </c>
      <c r="R49" s="279"/>
      <c r="S49" s="279"/>
      <c r="T49" s="262" t="s">
        <v>209</v>
      </c>
      <c r="U49" s="279"/>
      <c r="V49" s="270"/>
      <c r="W49" s="280" t="s">
        <v>207</v>
      </c>
      <c r="X49" s="281"/>
      <c r="Y49" s="282"/>
      <c r="Z49" s="280">
        <v>20</v>
      </c>
      <c r="AA49" s="281"/>
      <c r="AB49" s="282"/>
      <c r="AC49" s="304"/>
      <c r="AD49" s="305"/>
      <c r="AE49" s="273" t="s">
        <v>244</v>
      </c>
      <c r="AF49" s="274"/>
      <c r="AG49" s="274"/>
      <c r="AH49" s="274"/>
      <c r="AI49" s="274"/>
      <c r="AJ49" s="274"/>
      <c r="AK49" s="274"/>
      <c r="AL49" s="275"/>
      <c r="AM49" s="306" t="s">
        <v>313</v>
      </c>
      <c r="AN49" s="306"/>
      <c r="AO49" s="306"/>
      <c r="AP49" s="306"/>
      <c r="AQ49" s="306"/>
      <c r="AR49" s="306"/>
      <c r="AS49" s="306"/>
      <c r="AT49" s="307"/>
      <c r="AU49" s="266"/>
      <c r="AV49" s="267"/>
      <c r="AW49" s="267"/>
      <c r="AX49" s="267"/>
      <c r="AY49" s="267"/>
      <c r="AZ49" s="267"/>
      <c r="BA49" s="267"/>
      <c r="BB49" s="267"/>
      <c r="BC49" s="267"/>
      <c r="BD49" s="268"/>
      <c r="BE49" s="266"/>
      <c r="BF49" s="267"/>
      <c r="BG49" s="267"/>
      <c r="BH49" s="267"/>
      <c r="BI49" s="267"/>
      <c r="BJ49" s="267"/>
      <c r="BK49" s="267"/>
      <c r="BL49" s="267"/>
      <c r="BM49" s="267"/>
      <c r="BN49" s="267"/>
      <c r="BO49" s="267"/>
      <c r="BP49" s="267"/>
      <c r="BQ49" s="267"/>
      <c r="BR49" s="267"/>
      <c r="BS49" s="266"/>
      <c r="BT49" s="267"/>
      <c r="BU49" s="267"/>
      <c r="BV49" s="267"/>
      <c r="BW49" s="267"/>
      <c r="BX49" s="267"/>
      <c r="BY49" s="267"/>
      <c r="BZ49" s="267"/>
      <c r="CA49" s="267"/>
      <c r="CB49" s="268"/>
      <c r="CC49" s="266"/>
      <c r="CD49" s="267"/>
      <c r="CE49" s="267"/>
      <c r="CF49" s="267"/>
      <c r="CG49" s="267"/>
      <c r="CH49" s="267"/>
      <c r="CI49" s="267"/>
      <c r="CJ49" s="267"/>
      <c r="CK49" s="267"/>
      <c r="CL49" s="267"/>
      <c r="CM49" s="267"/>
      <c r="CN49" s="267"/>
      <c r="CO49" s="267"/>
      <c r="CP49" s="267"/>
      <c r="CQ49" s="267"/>
      <c r="CR49" s="267"/>
      <c r="CS49" s="268"/>
      <c r="CT49" s="266"/>
      <c r="CU49" s="267"/>
      <c r="CV49" s="267"/>
      <c r="CW49" s="267"/>
      <c r="CX49" s="267"/>
      <c r="CY49" s="267"/>
      <c r="CZ49" s="267"/>
      <c r="DA49" s="267"/>
      <c r="DB49" s="267"/>
      <c r="DC49" s="268"/>
      <c r="DD49" s="266"/>
      <c r="DE49" s="267"/>
      <c r="DF49" s="267"/>
      <c r="DG49" s="267"/>
      <c r="DH49" s="267"/>
      <c r="DI49" s="267"/>
      <c r="DJ49" s="267"/>
      <c r="DK49" s="267"/>
      <c r="DL49" s="267"/>
      <c r="DM49" s="268"/>
      <c r="DN49" s="266"/>
      <c r="DO49" s="267"/>
      <c r="DP49" s="267"/>
      <c r="DQ49" s="267"/>
      <c r="DR49" s="267"/>
      <c r="DS49" s="267"/>
      <c r="DT49" s="267"/>
      <c r="DU49" s="267"/>
      <c r="DV49" s="267"/>
      <c r="DW49" s="267"/>
      <c r="DX49" s="268"/>
      <c r="DY49" s="266"/>
      <c r="DZ49" s="267"/>
      <c r="EA49" s="267"/>
      <c r="EB49" s="267"/>
      <c r="EC49" s="267"/>
      <c r="ED49" s="267"/>
      <c r="EE49" s="267"/>
      <c r="EF49" s="268"/>
    </row>
    <row r="50" spans="1:136" s="42" customFormat="1" ht="12">
      <c r="A50" s="134">
        <f>IF(B50&lt;&gt;"",COUNTA($B$8:B50),"")</f>
        <v>42</v>
      </c>
      <c r="B50" s="266" t="s">
        <v>314</v>
      </c>
      <c r="C50" s="267"/>
      <c r="D50" s="267"/>
      <c r="E50" s="267"/>
      <c r="F50" s="267"/>
      <c r="G50" s="267"/>
      <c r="H50" s="267"/>
      <c r="I50" s="267"/>
      <c r="J50" s="269"/>
      <c r="K50" s="262" t="s">
        <v>41</v>
      </c>
      <c r="L50" s="270"/>
      <c r="M50" s="302"/>
      <c r="N50" s="303"/>
      <c r="O50" s="262" t="s">
        <v>212</v>
      </c>
      <c r="P50" s="270"/>
      <c r="Q50" s="262" t="s">
        <v>207</v>
      </c>
      <c r="R50" s="279"/>
      <c r="S50" s="270"/>
      <c r="T50" s="262" t="s">
        <v>209</v>
      </c>
      <c r="U50" s="279"/>
      <c r="V50" s="270"/>
      <c r="W50" s="280" t="s">
        <v>207</v>
      </c>
      <c r="X50" s="281"/>
      <c r="Y50" s="282"/>
      <c r="Z50" s="280">
        <v>20</v>
      </c>
      <c r="AA50" s="281"/>
      <c r="AB50" s="282"/>
      <c r="AC50" s="304"/>
      <c r="AD50" s="305"/>
      <c r="AE50" s="273" t="s">
        <v>244</v>
      </c>
      <c r="AF50" s="274"/>
      <c r="AG50" s="274"/>
      <c r="AH50" s="274"/>
      <c r="AI50" s="274"/>
      <c r="AJ50" s="274"/>
      <c r="AK50" s="274"/>
      <c r="AL50" s="275"/>
      <c r="AM50" s="306" t="s">
        <v>314</v>
      </c>
      <c r="AN50" s="306"/>
      <c r="AO50" s="306"/>
      <c r="AP50" s="306"/>
      <c r="AQ50" s="306"/>
      <c r="AR50" s="306"/>
      <c r="AS50" s="306"/>
      <c r="AT50" s="307"/>
      <c r="AU50" s="266"/>
      <c r="AV50" s="267"/>
      <c r="AW50" s="267"/>
      <c r="AX50" s="267"/>
      <c r="AY50" s="267"/>
      <c r="AZ50" s="267"/>
      <c r="BA50" s="267"/>
      <c r="BB50" s="267"/>
      <c r="BC50" s="267"/>
      <c r="BD50" s="268"/>
      <c r="BE50" s="266"/>
      <c r="BF50" s="267"/>
      <c r="BG50" s="267"/>
      <c r="BH50" s="267"/>
      <c r="BI50" s="267"/>
      <c r="BJ50" s="267"/>
      <c r="BK50" s="267"/>
      <c r="BL50" s="267"/>
      <c r="BM50" s="267"/>
      <c r="BN50" s="267"/>
      <c r="BO50" s="267"/>
      <c r="BP50" s="267"/>
      <c r="BQ50" s="267"/>
      <c r="BR50" s="267"/>
      <c r="BS50" s="266"/>
      <c r="BT50" s="267"/>
      <c r="BU50" s="267"/>
      <c r="BV50" s="267"/>
      <c r="BW50" s="267"/>
      <c r="BX50" s="267"/>
      <c r="BY50" s="267"/>
      <c r="BZ50" s="267"/>
      <c r="CA50" s="267"/>
      <c r="CB50" s="268"/>
      <c r="CC50" s="266"/>
      <c r="CD50" s="267"/>
      <c r="CE50" s="267"/>
      <c r="CF50" s="267"/>
      <c r="CG50" s="267"/>
      <c r="CH50" s="267"/>
      <c r="CI50" s="267"/>
      <c r="CJ50" s="267"/>
      <c r="CK50" s="267"/>
      <c r="CL50" s="267"/>
      <c r="CM50" s="267"/>
      <c r="CN50" s="267"/>
      <c r="CO50" s="267"/>
      <c r="CP50" s="267"/>
      <c r="CQ50" s="267"/>
      <c r="CR50" s="267"/>
      <c r="CS50" s="268"/>
      <c r="CT50" s="266"/>
      <c r="CU50" s="267"/>
      <c r="CV50" s="267"/>
      <c r="CW50" s="267"/>
      <c r="CX50" s="267"/>
      <c r="CY50" s="267"/>
      <c r="CZ50" s="267"/>
      <c r="DA50" s="267"/>
      <c r="DB50" s="267"/>
      <c r="DC50" s="268"/>
      <c r="DD50" s="266"/>
      <c r="DE50" s="267"/>
      <c r="DF50" s="267"/>
      <c r="DG50" s="267"/>
      <c r="DH50" s="267"/>
      <c r="DI50" s="267"/>
      <c r="DJ50" s="267"/>
      <c r="DK50" s="267"/>
      <c r="DL50" s="267"/>
      <c r="DM50" s="268"/>
      <c r="DN50" s="266"/>
      <c r="DO50" s="267"/>
      <c r="DP50" s="267"/>
      <c r="DQ50" s="267"/>
      <c r="DR50" s="267"/>
      <c r="DS50" s="267"/>
      <c r="DT50" s="267"/>
      <c r="DU50" s="267"/>
      <c r="DV50" s="267"/>
      <c r="DW50" s="267"/>
      <c r="DX50" s="268"/>
      <c r="DY50" s="266"/>
      <c r="DZ50" s="267"/>
      <c r="EA50" s="267"/>
      <c r="EB50" s="267"/>
      <c r="EC50" s="267"/>
      <c r="ED50" s="267"/>
      <c r="EE50" s="267"/>
      <c r="EF50" s="268"/>
    </row>
    <row r="51" spans="1:136" s="42" customFormat="1" ht="12">
      <c r="A51" s="134">
        <f>IF(B51&lt;&gt;"",COUNTA($B$8:B51),"")</f>
        <v>43</v>
      </c>
      <c r="B51" s="266" t="s">
        <v>315</v>
      </c>
      <c r="C51" s="267"/>
      <c r="D51" s="267"/>
      <c r="E51" s="267"/>
      <c r="F51" s="267"/>
      <c r="G51" s="267"/>
      <c r="H51" s="267"/>
      <c r="I51" s="267"/>
      <c r="J51" s="269"/>
      <c r="K51" s="262" t="s">
        <v>41</v>
      </c>
      <c r="L51" s="270"/>
      <c r="M51" s="302"/>
      <c r="N51" s="303"/>
      <c r="O51" s="262" t="s">
        <v>212</v>
      </c>
      <c r="P51" s="270"/>
      <c r="Q51" s="262" t="s">
        <v>207</v>
      </c>
      <c r="R51" s="279"/>
      <c r="S51" s="270"/>
      <c r="T51" s="262" t="s">
        <v>209</v>
      </c>
      <c r="U51" s="279"/>
      <c r="V51" s="270"/>
      <c r="W51" s="280" t="s">
        <v>207</v>
      </c>
      <c r="X51" s="281"/>
      <c r="Y51" s="282"/>
      <c r="Z51" s="280">
        <v>20</v>
      </c>
      <c r="AA51" s="281"/>
      <c r="AB51" s="282"/>
      <c r="AC51" s="304"/>
      <c r="AD51" s="305"/>
      <c r="AE51" s="273" t="s">
        <v>244</v>
      </c>
      <c r="AF51" s="274"/>
      <c r="AG51" s="274"/>
      <c r="AH51" s="274"/>
      <c r="AI51" s="274"/>
      <c r="AJ51" s="274"/>
      <c r="AK51" s="274"/>
      <c r="AL51" s="275"/>
      <c r="AM51" s="306" t="s">
        <v>315</v>
      </c>
      <c r="AN51" s="306"/>
      <c r="AO51" s="306"/>
      <c r="AP51" s="306"/>
      <c r="AQ51" s="306"/>
      <c r="AR51" s="306"/>
      <c r="AS51" s="306"/>
      <c r="AT51" s="307"/>
      <c r="AU51" s="266"/>
      <c r="AV51" s="267"/>
      <c r="AW51" s="267"/>
      <c r="AX51" s="267"/>
      <c r="AY51" s="267"/>
      <c r="AZ51" s="267"/>
      <c r="BA51" s="267"/>
      <c r="BB51" s="267"/>
      <c r="BC51" s="267"/>
      <c r="BD51" s="268"/>
      <c r="BE51" s="266"/>
      <c r="BF51" s="267"/>
      <c r="BG51" s="267"/>
      <c r="BH51" s="267"/>
      <c r="BI51" s="267"/>
      <c r="BJ51" s="267"/>
      <c r="BK51" s="267"/>
      <c r="BL51" s="267"/>
      <c r="BM51" s="267"/>
      <c r="BN51" s="267"/>
      <c r="BO51" s="267"/>
      <c r="BP51" s="267"/>
      <c r="BQ51" s="267"/>
      <c r="BR51" s="267"/>
      <c r="BS51" s="266"/>
      <c r="BT51" s="267"/>
      <c r="BU51" s="267"/>
      <c r="BV51" s="267"/>
      <c r="BW51" s="267"/>
      <c r="BX51" s="267"/>
      <c r="BY51" s="267"/>
      <c r="BZ51" s="267"/>
      <c r="CA51" s="267"/>
      <c r="CB51" s="268"/>
      <c r="CC51" s="266"/>
      <c r="CD51" s="267"/>
      <c r="CE51" s="267"/>
      <c r="CF51" s="267"/>
      <c r="CG51" s="267"/>
      <c r="CH51" s="267"/>
      <c r="CI51" s="267"/>
      <c r="CJ51" s="267"/>
      <c r="CK51" s="267"/>
      <c r="CL51" s="267"/>
      <c r="CM51" s="267"/>
      <c r="CN51" s="267"/>
      <c r="CO51" s="267"/>
      <c r="CP51" s="267"/>
      <c r="CQ51" s="267"/>
      <c r="CR51" s="267"/>
      <c r="CS51" s="268"/>
      <c r="CT51" s="266"/>
      <c r="CU51" s="267"/>
      <c r="CV51" s="267"/>
      <c r="CW51" s="267"/>
      <c r="CX51" s="267"/>
      <c r="CY51" s="267"/>
      <c r="CZ51" s="267"/>
      <c r="DA51" s="267"/>
      <c r="DB51" s="267"/>
      <c r="DC51" s="268"/>
      <c r="DD51" s="266"/>
      <c r="DE51" s="267"/>
      <c r="DF51" s="267"/>
      <c r="DG51" s="267"/>
      <c r="DH51" s="267"/>
      <c r="DI51" s="267"/>
      <c r="DJ51" s="267"/>
      <c r="DK51" s="267"/>
      <c r="DL51" s="267"/>
      <c r="DM51" s="268"/>
      <c r="DN51" s="266"/>
      <c r="DO51" s="267"/>
      <c r="DP51" s="267"/>
      <c r="DQ51" s="267"/>
      <c r="DR51" s="267"/>
      <c r="DS51" s="267"/>
      <c r="DT51" s="267"/>
      <c r="DU51" s="267"/>
      <c r="DV51" s="267"/>
      <c r="DW51" s="267"/>
      <c r="DX51" s="268"/>
      <c r="DY51" s="266"/>
      <c r="DZ51" s="267"/>
      <c r="EA51" s="267"/>
      <c r="EB51" s="267"/>
      <c r="EC51" s="267"/>
      <c r="ED51" s="267"/>
      <c r="EE51" s="267"/>
      <c r="EF51" s="268"/>
    </row>
    <row r="52" spans="1:136" s="42" customFormat="1" ht="12">
      <c r="A52" s="134">
        <f>IF(B52&lt;&gt;"",COUNTA($B$8:B52),"")</f>
        <v>44</v>
      </c>
      <c r="B52" s="266" t="s">
        <v>316</v>
      </c>
      <c r="C52" s="267"/>
      <c r="D52" s="267"/>
      <c r="E52" s="267"/>
      <c r="F52" s="267"/>
      <c r="G52" s="267"/>
      <c r="H52" s="267"/>
      <c r="I52" s="267"/>
      <c r="J52" s="269"/>
      <c r="K52" s="262" t="s">
        <v>41</v>
      </c>
      <c r="L52" s="270"/>
      <c r="M52" s="302"/>
      <c r="N52" s="303"/>
      <c r="O52" s="262" t="s">
        <v>212</v>
      </c>
      <c r="P52" s="270"/>
      <c r="Q52" s="262" t="s">
        <v>207</v>
      </c>
      <c r="R52" s="279"/>
      <c r="S52" s="270"/>
      <c r="T52" s="262" t="s">
        <v>209</v>
      </c>
      <c r="U52" s="279"/>
      <c r="V52" s="270"/>
      <c r="W52" s="280" t="s">
        <v>207</v>
      </c>
      <c r="X52" s="281"/>
      <c r="Y52" s="282"/>
      <c r="Z52" s="280">
        <v>20</v>
      </c>
      <c r="AA52" s="281"/>
      <c r="AB52" s="282"/>
      <c r="AC52" s="304"/>
      <c r="AD52" s="305"/>
      <c r="AE52" s="273" t="s">
        <v>244</v>
      </c>
      <c r="AF52" s="274"/>
      <c r="AG52" s="274"/>
      <c r="AH52" s="274"/>
      <c r="AI52" s="274"/>
      <c r="AJ52" s="274"/>
      <c r="AK52" s="274"/>
      <c r="AL52" s="275"/>
      <c r="AM52" s="306" t="s">
        <v>316</v>
      </c>
      <c r="AN52" s="306"/>
      <c r="AO52" s="306"/>
      <c r="AP52" s="306"/>
      <c r="AQ52" s="306"/>
      <c r="AR52" s="306"/>
      <c r="AS52" s="306"/>
      <c r="AT52" s="307"/>
      <c r="AU52" s="266"/>
      <c r="AV52" s="267"/>
      <c r="AW52" s="267"/>
      <c r="AX52" s="267"/>
      <c r="AY52" s="267"/>
      <c r="AZ52" s="267"/>
      <c r="BA52" s="267"/>
      <c r="BB52" s="267"/>
      <c r="BC52" s="267"/>
      <c r="BD52" s="268"/>
      <c r="BE52" s="266"/>
      <c r="BF52" s="267"/>
      <c r="BG52" s="267"/>
      <c r="BH52" s="267"/>
      <c r="BI52" s="267"/>
      <c r="BJ52" s="267"/>
      <c r="BK52" s="267"/>
      <c r="BL52" s="267"/>
      <c r="BM52" s="267"/>
      <c r="BN52" s="267"/>
      <c r="BO52" s="267"/>
      <c r="BP52" s="267"/>
      <c r="BQ52" s="267"/>
      <c r="BR52" s="267"/>
      <c r="BS52" s="266"/>
      <c r="BT52" s="267"/>
      <c r="BU52" s="267"/>
      <c r="BV52" s="267"/>
      <c r="BW52" s="267"/>
      <c r="BX52" s="267"/>
      <c r="BY52" s="267"/>
      <c r="BZ52" s="267"/>
      <c r="CA52" s="267"/>
      <c r="CB52" s="268"/>
      <c r="CC52" s="266"/>
      <c r="CD52" s="267"/>
      <c r="CE52" s="267"/>
      <c r="CF52" s="267"/>
      <c r="CG52" s="267"/>
      <c r="CH52" s="267"/>
      <c r="CI52" s="267"/>
      <c r="CJ52" s="267"/>
      <c r="CK52" s="267"/>
      <c r="CL52" s="267"/>
      <c r="CM52" s="267"/>
      <c r="CN52" s="267"/>
      <c r="CO52" s="267"/>
      <c r="CP52" s="267"/>
      <c r="CQ52" s="267"/>
      <c r="CR52" s="267"/>
      <c r="CS52" s="268"/>
      <c r="CT52" s="266"/>
      <c r="CU52" s="267"/>
      <c r="CV52" s="267"/>
      <c r="CW52" s="267"/>
      <c r="CX52" s="267"/>
      <c r="CY52" s="267"/>
      <c r="CZ52" s="267"/>
      <c r="DA52" s="267"/>
      <c r="DB52" s="267"/>
      <c r="DC52" s="268"/>
      <c r="DD52" s="266"/>
      <c r="DE52" s="267"/>
      <c r="DF52" s="267"/>
      <c r="DG52" s="267"/>
      <c r="DH52" s="267"/>
      <c r="DI52" s="267"/>
      <c r="DJ52" s="267"/>
      <c r="DK52" s="267"/>
      <c r="DL52" s="267"/>
      <c r="DM52" s="268"/>
      <c r="DN52" s="266"/>
      <c r="DO52" s="267"/>
      <c r="DP52" s="267"/>
      <c r="DQ52" s="267"/>
      <c r="DR52" s="267"/>
      <c r="DS52" s="267"/>
      <c r="DT52" s="267"/>
      <c r="DU52" s="267"/>
      <c r="DV52" s="267"/>
      <c r="DW52" s="267"/>
      <c r="DX52" s="268"/>
      <c r="DY52" s="266"/>
      <c r="DZ52" s="267"/>
      <c r="EA52" s="267"/>
      <c r="EB52" s="267"/>
      <c r="EC52" s="267"/>
      <c r="ED52" s="267"/>
      <c r="EE52" s="267"/>
      <c r="EF52" s="268"/>
    </row>
    <row r="53" spans="1:136" s="42" customFormat="1" ht="12">
      <c r="A53" s="134">
        <f>IF(B53&lt;&gt;"",COUNTA($B$8:B53),"")</f>
        <v>45</v>
      </c>
      <c r="B53" s="266" t="s">
        <v>317</v>
      </c>
      <c r="C53" s="267"/>
      <c r="D53" s="267"/>
      <c r="E53" s="267"/>
      <c r="F53" s="267"/>
      <c r="G53" s="267"/>
      <c r="H53" s="267"/>
      <c r="I53" s="267"/>
      <c r="J53" s="269"/>
      <c r="K53" s="262" t="s">
        <v>41</v>
      </c>
      <c r="L53" s="270"/>
      <c r="M53" s="302"/>
      <c r="N53" s="303"/>
      <c r="O53" s="262" t="s">
        <v>212</v>
      </c>
      <c r="P53" s="270"/>
      <c r="Q53" s="262" t="s">
        <v>207</v>
      </c>
      <c r="R53" s="279"/>
      <c r="S53" s="270"/>
      <c r="T53" s="262" t="s">
        <v>209</v>
      </c>
      <c r="U53" s="279"/>
      <c r="V53" s="270"/>
      <c r="W53" s="280" t="s">
        <v>207</v>
      </c>
      <c r="X53" s="281"/>
      <c r="Y53" s="282"/>
      <c r="Z53" s="280">
        <v>20</v>
      </c>
      <c r="AA53" s="281"/>
      <c r="AB53" s="282"/>
      <c r="AC53" s="283"/>
      <c r="AD53" s="305"/>
      <c r="AE53" s="273" t="s">
        <v>244</v>
      </c>
      <c r="AF53" s="274"/>
      <c r="AG53" s="274"/>
      <c r="AH53" s="274"/>
      <c r="AI53" s="274"/>
      <c r="AJ53" s="274"/>
      <c r="AK53" s="274"/>
      <c r="AL53" s="275"/>
      <c r="AM53" s="306" t="s">
        <v>317</v>
      </c>
      <c r="AN53" s="306"/>
      <c r="AO53" s="306"/>
      <c r="AP53" s="306"/>
      <c r="AQ53" s="306"/>
      <c r="AR53" s="306"/>
      <c r="AS53" s="306"/>
      <c r="AT53" s="307"/>
      <c r="AU53" s="266"/>
      <c r="AV53" s="267"/>
      <c r="AW53" s="267"/>
      <c r="AX53" s="267"/>
      <c r="AY53" s="267"/>
      <c r="AZ53" s="267"/>
      <c r="BA53" s="267"/>
      <c r="BB53" s="267"/>
      <c r="BC53" s="267"/>
      <c r="BD53" s="268"/>
      <c r="BE53" s="266"/>
      <c r="BF53" s="267"/>
      <c r="BG53" s="267"/>
      <c r="BH53" s="267"/>
      <c r="BI53" s="267"/>
      <c r="BJ53" s="267"/>
      <c r="BK53" s="267"/>
      <c r="BL53" s="267"/>
      <c r="BM53" s="267"/>
      <c r="BN53" s="267"/>
      <c r="BO53" s="267"/>
      <c r="BP53" s="267"/>
      <c r="BQ53" s="267"/>
      <c r="BR53" s="267"/>
      <c r="BS53" s="266"/>
      <c r="BT53" s="267"/>
      <c r="BU53" s="267"/>
      <c r="BV53" s="267"/>
      <c r="BW53" s="267"/>
      <c r="BX53" s="267"/>
      <c r="BY53" s="267"/>
      <c r="BZ53" s="267"/>
      <c r="CA53" s="267"/>
      <c r="CB53" s="268"/>
      <c r="CC53" s="266"/>
      <c r="CD53" s="267"/>
      <c r="CE53" s="267"/>
      <c r="CF53" s="267"/>
      <c r="CG53" s="267"/>
      <c r="CH53" s="267"/>
      <c r="CI53" s="267"/>
      <c r="CJ53" s="267"/>
      <c r="CK53" s="267"/>
      <c r="CL53" s="267"/>
      <c r="CM53" s="267"/>
      <c r="CN53" s="267"/>
      <c r="CO53" s="267"/>
      <c r="CP53" s="267"/>
      <c r="CQ53" s="267"/>
      <c r="CR53" s="267"/>
      <c r="CS53" s="268"/>
      <c r="CT53" s="266"/>
      <c r="CU53" s="267"/>
      <c r="CV53" s="267"/>
      <c r="CW53" s="267"/>
      <c r="CX53" s="267"/>
      <c r="CY53" s="267"/>
      <c r="CZ53" s="267"/>
      <c r="DA53" s="267"/>
      <c r="DB53" s="267"/>
      <c r="DC53" s="268"/>
      <c r="DD53" s="266"/>
      <c r="DE53" s="267"/>
      <c r="DF53" s="267"/>
      <c r="DG53" s="267"/>
      <c r="DH53" s="267"/>
      <c r="DI53" s="267"/>
      <c r="DJ53" s="267"/>
      <c r="DK53" s="267"/>
      <c r="DL53" s="267"/>
      <c r="DM53" s="268"/>
      <c r="DN53" s="266"/>
      <c r="DO53" s="267"/>
      <c r="DP53" s="267"/>
      <c r="DQ53" s="267"/>
      <c r="DR53" s="267"/>
      <c r="DS53" s="267"/>
      <c r="DT53" s="267"/>
      <c r="DU53" s="267"/>
      <c r="DV53" s="267"/>
      <c r="DW53" s="267"/>
      <c r="DX53" s="268"/>
      <c r="DY53" s="266"/>
      <c r="DZ53" s="267"/>
      <c r="EA53" s="267"/>
      <c r="EB53" s="267"/>
      <c r="EC53" s="267"/>
      <c r="ED53" s="267"/>
      <c r="EE53" s="267"/>
      <c r="EF53" s="268"/>
    </row>
    <row r="54" spans="1:136" s="42" customFormat="1" ht="12">
      <c r="A54" s="134">
        <f>IF(B54&lt;&gt;"",COUNTA($B$8:B54),"")</f>
        <v>46</v>
      </c>
      <c r="B54" s="266" t="s">
        <v>318</v>
      </c>
      <c r="C54" s="267"/>
      <c r="D54" s="267"/>
      <c r="E54" s="267"/>
      <c r="F54" s="267"/>
      <c r="G54" s="267"/>
      <c r="H54" s="267"/>
      <c r="I54" s="267"/>
      <c r="J54" s="269"/>
      <c r="K54" s="262" t="s">
        <v>41</v>
      </c>
      <c r="L54" s="270"/>
      <c r="M54" s="302"/>
      <c r="N54" s="303"/>
      <c r="O54" s="262" t="s">
        <v>212</v>
      </c>
      <c r="P54" s="270"/>
      <c r="Q54" s="262" t="s">
        <v>207</v>
      </c>
      <c r="R54" s="279"/>
      <c r="S54" s="270"/>
      <c r="T54" s="262" t="s">
        <v>209</v>
      </c>
      <c r="U54" s="279"/>
      <c r="V54" s="270"/>
      <c r="W54" s="280" t="s">
        <v>207</v>
      </c>
      <c r="X54" s="281"/>
      <c r="Y54" s="282"/>
      <c r="Z54" s="280">
        <v>20</v>
      </c>
      <c r="AA54" s="281"/>
      <c r="AB54" s="282"/>
      <c r="AC54" s="283"/>
      <c r="AD54" s="305"/>
      <c r="AE54" s="273" t="s">
        <v>244</v>
      </c>
      <c r="AF54" s="274"/>
      <c r="AG54" s="274"/>
      <c r="AH54" s="274"/>
      <c r="AI54" s="274"/>
      <c r="AJ54" s="274"/>
      <c r="AK54" s="274"/>
      <c r="AL54" s="275"/>
      <c r="AM54" s="306" t="s">
        <v>318</v>
      </c>
      <c r="AN54" s="306"/>
      <c r="AO54" s="306"/>
      <c r="AP54" s="306"/>
      <c r="AQ54" s="306"/>
      <c r="AR54" s="306"/>
      <c r="AS54" s="306"/>
      <c r="AT54" s="307"/>
      <c r="AU54" s="266"/>
      <c r="AV54" s="267"/>
      <c r="AW54" s="267"/>
      <c r="AX54" s="267"/>
      <c r="AY54" s="267"/>
      <c r="AZ54" s="267"/>
      <c r="BA54" s="267"/>
      <c r="BB54" s="267"/>
      <c r="BC54" s="267"/>
      <c r="BD54" s="268"/>
      <c r="BE54" s="266"/>
      <c r="BF54" s="267"/>
      <c r="BG54" s="267"/>
      <c r="BH54" s="267"/>
      <c r="BI54" s="267"/>
      <c r="BJ54" s="267"/>
      <c r="BK54" s="267"/>
      <c r="BL54" s="267"/>
      <c r="BM54" s="267"/>
      <c r="BN54" s="267"/>
      <c r="BO54" s="267"/>
      <c r="BP54" s="267"/>
      <c r="BQ54" s="267"/>
      <c r="BR54" s="267"/>
      <c r="BS54" s="266"/>
      <c r="BT54" s="267"/>
      <c r="BU54" s="267"/>
      <c r="BV54" s="267"/>
      <c r="BW54" s="267"/>
      <c r="BX54" s="267"/>
      <c r="BY54" s="267"/>
      <c r="BZ54" s="267"/>
      <c r="CA54" s="267"/>
      <c r="CB54" s="268"/>
      <c r="CC54" s="266"/>
      <c r="CD54" s="267"/>
      <c r="CE54" s="267"/>
      <c r="CF54" s="267"/>
      <c r="CG54" s="267"/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8"/>
      <c r="CT54" s="266"/>
      <c r="CU54" s="267"/>
      <c r="CV54" s="267"/>
      <c r="CW54" s="267"/>
      <c r="CX54" s="267"/>
      <c r="CY54" s="267"/>
      <c r="CZ54" s="267"/>
      <c r="DA54" s="267"/>
      <c r="DB54" s="267"/>
      <c r="DC54" s="268"/>
      <c r="DD54" s="266"/>
      <c r="DE54" s="267"/>
      <c r="DF54" s="267"/>
      <c r="DG54" s="267"/>
      <c r="DH54" s="267"/>
      <c r="DI54" s="267"/>
      <c r="DJ54" s="267"/>
      <c r="DK54" s="267"/>
      <c r="DL54" s="267"/>
      <c r="DM54" s="268"/>
      <c r="DN54" s="266"/>
      <c r="DO54" s="267"/>
      <c r="DP54" s="267"/>
      <c r="DQ54" s="267"/>
      <c r="DR54" s="267"/>
      <c r="DS54" s="267"/>
      <c r="DT54" s="267"/>
      <c r="DU54" s="267"/>
      <c r="DV54" s="267"/>
      <c r="DW54" s="267"/>
      <c r="DX54" s="268"/>
      <c r="DY54" s="266"/>
      <c r="DZ54" s="267"/>
      <c r="EA54" s="267"/>
      <c r="EB54" s="267"/>
      <c r="EC54" s="267"/>
      <c r="ED54" s="267"/>
      <c r="EE54" s="267"/>
      <c r="EF54" s="268"/>
    </row>
    <row r="55" spans="1:136" s="42" customFormat="1" ht="12">
      <c r="A55" s="134">
        <f>IF(B55&lt;&gt;"",COUNTA($B$8:B55),"")</f>
        <v>47</v>
      </c>
      <c r="B55" s="266" t="s">
        <v>535</v>
      </c>
      <c r="C55" s="267"/>
      <c r="D55" s="267"/>
      <c r="E55" s="267"/>
      <c r="F55" s="267"/>
      <c r="G55" s="267"/>
      <c r="H55" s="267"/>
      <c r="I55" s="267"/>
      <c r="J55" s="269"/>
      <c r="K55" s="262" t="s">
        <v>33</v>
      </c>
      <c r="L55" s="270"/>
      <c r="M55" s="271"/>
      <c r="N55" s="272"/>
      <c r="O55" s="262" t="s">
        <v>212</v>
      </c>
      <c r="P55" s="270"/>
      <c r="Q55" s="262" t="s">
        <v>207</v>
      </c>
      <c r="R55" s="279"/>
      <c r="S55" s="270"/>
      <c r="T55" s="262" t="s">
        <v>209</v>
      </c>
      <c r="U55" s="279"/>
      <c r="V55" s="270"/>
      <c r="W55" s="280" t="s">
        <v>207</v>
      </c>
      <c r="X55" s="281"/>
      <c r="Y55" s="282"/>
      <c r="Z55" s="280">
        <v>20</v>
      </c>
      <c r="AA55" s="281"/>
      <c r="AB55" s="282"/>
      <c r="AC55" s="283"/>
      <c r="AD55" s="284"/>
      <c r="AE55" s="273" t="s">
        <v>244</v>
      </c>
      <c r="AF55" s="274"/>
      <c r="AG55" s="274"/>
      <c r="AH55" s="274"/>
      <c r="AI55" s="274"/>
      <c r="AJ55" s="274"/>
      <c r="AK55" s="274"/>
      <c r="AL55" s="275"/>
      <c r="AM55" s="276" t="s">
        <v>242</v>
      </c>
      <c r="AN55" s="277"/>
      <c r="AO55" s="277"/>
      <c r="AP55" s="277"/>
      <c r="AQ55" s="277"/>
      <c r="AR55" s="277"/>
      <c r="AS55" s="277"/>
      <c r="AT55" s="278"/>
      <c r="AU55" s="266"/>
      <c r="AV55" s="267"/>
      <c r="AW55" s="267"/>
      <c r="AX55" s="267"/>
      <c r="AY55" s="267"/>
      <c r="AZ55" s="267"/>
      <c r="BA55" s="267"/>
      <c r="BB55" s="267"/>
      <c r="BC55" s="267"/>
      <c r="BD55" s="268"/>
      <c r="BE55" s="266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  <c r="BP55" s="267"/>
      <c r="BQ55" s="267"/>
      <c r="BR55" s="268"/>
      <c r="BS55" s="266"/>
      <c r="BT55" s="267"/>
      <c r="BU55" s="267"/>
      <c r="BV55" s="267"/>
      <c r="BW55" s="267"/>
      <c r="BX55" s="267"/>
      <c r="BY55" s="267"/>
      <c r="BZ55" s="267"/>
      <c r="CA55" s="267"/>
      <c r="CB55" s="268"/>
      <c r="CC55" s="266"/>
      <c r="CD55" s="267"/>
      <c r="CE55" s="267"/>
      <c r="CF55" s="267"/>
      <c r="CG55" s="267"/>
      <c r="CH55" s="267"/>
      <c r="CI55" s="267"/>
      <c r="CJ55" s="267"/>
      <c r="CK55" s="267"/>
      <c r="CL55" s="267"/>
      <c r="CM55" s="267"/>
      <c r="CN55" s="267"/>
      <c r="CO55" s="267"/>
      <c r="CP55" s="267"/>
      <c r="CQ55" s="267"/>
      <c r="CR55" s="267"/>
      <c r="CS55" s="268"/>
      <c r="CT55" s="266"/>
      <c r="CU55" s="267"/>
      <c r="CV55" s="267"/>
      <c r="CW55" s="267"/>
      <c r="CX55" s="267"/>
      <c r="CY55" s="267"/>
      <c r="CZ55" s="267"/>
      <c r="DA55" s="267"/>
      <c r="DB55" s="267"/>
      <c r="DC55" s="268"/>
      <c r="DD55" s="266"/>
      <c r="DE55" s="267"/>
      <c r="DF55" s="267"/>
      <c r="DG55" s="267"/>
      <c r="DH55" s="267"/>
      <c r="DI55" s="267"/>
      <c r="DJ55" s="267"/>
      <c r="DK55" s="267"/>
      <c r="DL55" s="267"/>
      <c r="DM55" s="268"/>
      <c r="DN55" s="266"/>
      <c r="DO55" s="267"/>
      <c r="DP55" s="267"/>
      <c r="DQ55" s="267"/>
      <c r="DR55" s="267"/>
      <c r="DS55" s="267"/>
      <c r="DT55" s="267"/>
      <c r="DU55" s="267"/>
      <c r="DV55" s="267"/>
      <c r="DW55" s="267"/>
      <c r="DX55" s="268"/>
      <c r="DY55" s="266"/>
      <c r="DZ55" s="267"/>
      <c r="EA55" s="267"/>
      <c r="EB55" s="267"/>
      <c r="EC55" s="267"/>
      <c r="ED55" s="267"/>
      <c r="EE55" s="267"/>
      <c r="EF55" s="268"/>
    </row>
    <row r="56" spans="1:136" ht="12" customHeight="1">
      <c r="A56" s="288" t="s">
        <v>298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4"/>
      <c r="X56" s="294"/>
      <c r="Y56" s="294"/>
      <c r="Z56" s="294"/>
      <c r="AA56" s="294"/>
      <c r="AB56" s="294"/>
      <c r="AC56" s="295"/>
      <c r="AD56" s="295"/>
      <c r="AE56" s="296"/>
      <c r="AF56" s="296"/>
      <c r="AG56" s="296"/>
      <c r="AH56" s="296"/>
      <c r="AI56" s="296"/>
      <c r="AJ56" s="296"/>
      <c r="AK56" s="296"/>
      <c r="AL56" s="296"/>
      <c r="AM56" s="297"/>
      <c r="AN56" s="297"/>
      <c r="AO56" s="297"/>
      <c r="AP56" s="297"/>
      <c r="AQ56" s="297"/>
      <c r="AR56" s="297"/>
      <c r="AS56" s="297"/>
      <c r="AT56" s="298"/>
      <c r="AU56" s="291"/>
      <c r="AV56" s="292"/>
      <c r="AW56" s="292"/>
      <c r="AX56" s="292"/>
      <c r="AY56" s="292"/>
      <c r="AZ56" s="292"/>
      <c r="BA56" s="292"/>
      <c r="BB56" s="292"/>
      <c r="BC56" s="292"/>
      <c r="BD56" s="293"/>
      <c r="BE56" s="291"/>
      <c r="BF56" s="292"/>
      <c r="BG56" s="292"/>
      <c r="BH56" s="292"/>
      <c r="BI56" s="292"/>
      <c r="BJ56" s="292"/>
      <c r="BK56" s="292"/>
      <c r="BL56" s="292"/>
      <c r="BM56" s="292"/>
      <c r="BN56" s="292"/>
      <c r="BO56" s="292"/>
      <c r="BP56" s="292"/>
      <c r="BQ56" s="292"/>
      <c r="BR56" s="293"/>
      <c r="BS56" s="291"/>
      <c r="BT56" s="292"/>
      <c r="BU56" s="292"/>
      <c r="BV56" s="292"/>
      <c r="BW56" s="292"/>
      <c r="BX56" s="292"/>
      <c r="BY56" s="292"/>
      <c r="BZ56" s="292"/>
      <c r="CA56" s="292"/>
      <c r="CB56" s="293"/>
      <c r="CC56" s="291"/>
      <c r="CD56" s="292"/>
      <c r="CE56" s="292"/>
      <c r="CF56" s="292"/>
      <c r="CG56" s="292"/>
      <c r="CH56" s="292"/>
      <c r="CI56" s="292"/>
      <c r="CJ56" s="292"/>
      <c r="CK56" s="292"/>
      <c r="CL56" s="292"/>
      <c r="CM56" s="292"/>
      <c r="CN56" s="292"/>
      <c r="CO56" s="292"/>
      <c r="CP56" s="292"/>
      <c r="CQ56" s="292"/>
      <c r="CR56" s="292"/>
      <c r="CS56" s="293"/>
      <c r="CT56" s="291"/>
      <c r="CU56" s="292"/>
      <c r="CV56" s="292"/>
      <c r="CW56" s="292"/>
      <c r="CX56" s="292"/>
      <c r="CY56" s="292"/>
      <c r="CZ56" s="292"/>
      <c r="DA56" s="292"/>
      <c r="DB56" s="292"/>
      <c r="DC56" s="293"/>
      <c r="DD56" s="291"/>
      <c r="DE56" s="292"/>
      <c r="DF56" s="292"/>
      <c r="DG56" s="292"/>
      <c r="DH56" s="292"/>
      <c r="DI56" s="292"/>
      <c r="DJ56" s="292"/>
      <c r="DK56" s="292"/>
      <c r="DL56" s="292"/>
      <c r="DM56" s="293"/>
      <c r="DN56" s="291"/>
      <c r="DO56" s="292"/>
      <c r="DP56" s="292"/>
      <c r="DQ56" s="292"/>
      <c r="DR56" s="292"/>
      <c r="DS56" s="292"/>
      <c r="DT56" s="292"/>
      <c r="DU56" s="292"/>
      <c r="DV56" s="292"/>
      <c r="DW56" s="292"/>
      <c r="DX56" s="293"/>
      <c r="DY56" s="299"/>
      <c r="DZ56" s="300"/>
      <c r="EA56" s="300"/>
      <c r="EB56" s="300"/>
      <c r="EC56" s="300"/>
      <c r="ED56" s="300"/>
      <c r="EE56" s="300"/>
      <c r="EF56" s="301"/>
    </row>
    <row r="57" spans="1:136" s="42" customFormat="1" ht="30" customHeight="1">
      <c r="A57" s="134">
        <f>IF(B57&lt;&gt;"",COUNTA($B$8:B57),"")</f>
        <v>48</v>
      </c>
      <c r="B57" s="266" t="s">
        <v>180</v>
      </c>
      <c r="C57" s="267"/>
      <c r="D57" s="267"/>
      <c r="E57" s="267"/>
      <c r="F57" s="267"/>
      <c r="G57" s="267"/>
      <c r="H57" s="267"/>
      <c r="I57" s="267"/>
      <c r="J57" s="269"/>
      <c r="K57" s="262" t="s">
        <v>205</v>
      </c>
      <c r="L57" s="270"/>
      <c r="M57" s="302"/>
      <c r="N57" s="303"/>
      <c r="O57" s="262"/>
      <c r="P57" s="270"/>
      <c r="Q57" s="262" t="s">
        <v>210</v>
      </c>
      <c r="R57" s="279"/>
      <c r="S57" s="270"/>
      <c r="T57" s="262" t="s">
        <v>210</v>
      </c>
      <c r="U57" s="279"/>
      <c r="V57" s="270"/>
      <c r="W57" s="280">
        <v>4</v>
      </c>
      <c r="X57" s="281"/>
      <c r="Y57" s="282"/>
      <c r="Z57" s="280">
        <v>4</v>
      </c>
      <c r="AA57" s="281"/>
      <c r="AB57" s="282"/>
      <c r="AC57" s="304"/>
      <c r="AD57" s="305"/>
      <c r="AE57" s="273" t="s">
        <v>358</v>
      </c>
      <c r="AF57" s="274"/>
      <c r="AG57" s="274"/>
      <c r="AH57" s="274"/>
      <c r="AI57" s="274"/>
      <c r="AJ57" s="274"/>
      <c r="AK57" s="274"/>
      <c r="AL57" s="275"/>
      <c r="AM57" s="306"/>
      <c r="AN57" s="306"/>
      <c r="AO57" s="306"/>
      <c r="AP57" s="306"/>
      <c r="AQ57" s="306"/>
      <c r="AR57" s="306"/>
      <c r="AS57" s="306"/>
      <c r="AT57" s="307"/>
      <c r="AU57" s="285" t="s">
        <v>552</v>
      </c>
      <c r="AV57" s="267"/>
      <c r="AW57" s="267"/>
      <c r="AX57" s="267"/>
      <c r="AY57" s="267"/>
      <c r="AZ57" s="267"/>
      <c r="BA57" s="267"/>
      <c r="BB57" s="267"/>
      <c r="BC57" s="267"/>
      <c r="BD57" s="268"/>
      <c r="BE57" s="285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  <c r="BP57" s="267"/>
      <c r="BQ57" s="267"/>
      <c r="BR57" s="267"/>
      <c r="BS57" s="266" t="s">
        <v>251</v>
      </c>
      <c r="BT57" s="267"/>
      <c r="BU57" s="267"/>
      <c r="BV57" s="267"/>
      <c r="BW57" s="267"/>
      <c r="BX57" s="267"/>
      <c r="BY57" s="267"/>
      <c r="BZ57" s="267"/>
      <c r="CA57" s="267"/>
      <c r="CB57" s="268"/>
      <c r="CC57" s="266" t="s">
        <v>557</v>
      </c>
      <c r="CD57" s="267"/>
      <c r="CE57" s="267"/>
      <c r="CF57" s="267"/>
      <c r="CG57" s="267"/>
      <c r="CH57" s="267"/>
      <c r="CI57" s="267"/>
      <c r="CJ57" s="267"/>
      <c r="CK57" s="267"/>
      <c r="CL57" s="267"/>
      <c r="CM57" s="267"/>
      <c r="CN57" s="267"/>
      <c r="CO57" s="267"/>
      <c r="CP57" s="267"/>
      <c r="CQ57" s="267"/>
      <c r="CR57" s="267"/>
      <c r="CS57" s="268"/>
      <c r="CT57" s="266"/>
      <c r="CU57" s="267"/>
      <c r="CV57" s="267"/>
      <c r="CW57" s="267"/>
      <c r="CX57" s="267"/>
      <c r="CY57" s="267"/>
      <c r="CZ57" s="267"/>
      <c r="DA57" s="267"/>
      <c r="DB57" s="267"/>
      <c r="DC57" s="268"/>
      <c r="DD57" s="266"/>
      <c r="DE57" s="267"/>
      <c r="DF57" s="267"/>
      <c r="DG57" s="267"/>
      <c r="DH57" s="267"/>
      <c r="DI57" s="267"/>
      <c r="DJ57" s="267"/>
      <c r="DK57" s="267"/>
      <c r="DL57" s="267"/>
      <c r="DM57" s="268"/>
      <c r="DN57" s="266" t="s">
        <v>226</v>
      </c>
      <c r="DO57" s="267"/>
      <c r="DP57" s="267"/>
      <c r="DQ57" s="267"/>
      <c r="DR57" s="267"/>
      <c r="DS57" s="267"/>
      <c r="DT57" s="267"/>
      <c r="DU57" s="267"/>
      <c r="DV57" s="267"/>
      <c r="DW57" s="267"/>
      <c r="DX57" s="268"/>
      <c r="DY57" s="266"/>
      <c r="DZ57" s="267"/>
      <c r="EA57" s="267"/>
      <c r="EB57" s="267"/>
      <c r="EC57" s="267"/>
      <c r="ED57" s="267"/>
      <c r="EE57" s="267"/>
      <c r="EF57" s="268"/>
    </row>
    <row r="58" spans="1:136" s="42" customFormat="1" ht="30" customHeight="1">
      <c r="A58" s="134">
        <f>IF(B58&lt;&gt;"",COUNTA($B$8:B58),"")</f>
        <v>49</v>
      </c>
      <c r="B58" s="266" t="s">
        <v>181</v>
      </c>
      <c r="C58" s="267"/>
      <c r="D58" s="267"/>
      <c r="E58" s="267"/>
      <c r="F58" s="267"/>
      <c r="G58" s="267"/>
      <c r="H58" s="267"/>
      <c r="I58" s="267"/>
      <c r="J58" s="269"/>
      <c r="K58" s="262" t="s">
        <v>205</v>
      </c>
      <c r="L58" s="270"/>
      <c r="M58" s="302"/>
      <c r="N58" s="303"/>
      <c r="O58" s="262"/>
      <c r="P58" s="270"/>
      <c r="Q58" s="262" t="s">
        <v>209</v>
      </c>
      <c r="R58" s="279"/>
      <c r="S58" s="270"/>
      <c r="T58" s="262" t="s">
        <v>209</v>
      </c>
      <c r="U58" s="279"/>
      <c r="V58" s="270"/>
      <c r="W58" s="280">
        <v>1</v>
      </c>
      <c r="X58" s="281"/>
      <c r="Y58" s="282"/>
      <c r="Z58" s="280">
        <v>1</v>
      </c>
      <c r="AA58" s="281"/>
      <c r="AB58" s="282"/>
      <c r="AC58" s="304"/>
      <c r="AD58" s="305"/>
      <c r="AE58" s="273" t="s">
        <v>358</v>
      </c>
      <c r="AF58" s="274"/>
      <c r="AG58" s="274"/>
      <c r="AH58" s="274"/>
      <c r="AI58" s="274"/>
      <c r="AJ58" s="274"/>
      <c r="AK58" s="274"/>
      <c r="AL58" s="275"/>
      <c r="AM58" s="306"/>
      <c r="AN58" s="306"/>
      <c r="AO58" s="306"/>
      <c r="AP58" s="306"/>
      <c r="AQ58" s="306"/>
      <c r="AR58" s="306"/>
      <c r="AS58" s="306"/>
      <c r="AT58" s="307"/>
      <c r="AU58" s="266"/>
      <c r="AV58" s="267"/>
      <c r="AW58" s="267"/>
      <c r="AX58" s="267"/>
      <c r="AY58" s="267"/>
      <c r="AZ58" s="267"/>
      <c r="BA58" s="267"/>
      <c r="BB58" s="267"/>
      <c r="BC58" s="267"/>
      <c r="BD58" s="268"/>
      <c r="BE58" s="266" t="s">
        <v>558</v>
      </c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  <c r="BP58" s="267"/>
      <c r="BQ58" s="267"/>
      <c r="BR58" s="267"/>
      <c r="BS58" s="266"/>
      <c r="BT58" s="267"/>
      <c r="BU58" s="267"/>
      <c r="BV58" s="267"/>
      <c r="BW58" s="267"/>
      <c r="BX58" s="267"/>
      <c r="BY58" s="267"/>
      <c r="BZ58" s="267"/>
      <c r="CA58" s="267"/>
      <c r="CB58" s="268"/>
      <c r="CC58" s="285"/>
      <c r="CD58" s="286"/>
      <c r="CE58" s="286"/>
      <c r="CF58" s="286"/>
      <c r="CG58" s="286"/>
      <c r="CH58" s="286"/>
      <c r="CI58" s="286"/>
      <c r="CJ58" s="286"/>
      <c r="CK58" s="286"/>
      <c r="CL58" s="286"/>
      <c r="CM58" s="286"/>
      <c r="CN58" s="286"/>
      <c r="CO58" s="286"/>
      <c r="CP58" s="286"/>
      <c r="CQ58" s="286"/>
      <c r="CR58" s="286"/>
      <c r="CS58" s="287"/>
      <c r="CT58" s="266"/>
      <c r="CU58" s="267"/>
      <c r="CV58" s="267"/>
      <c r="CW58" s="267"/>
      <c r="CX58" s="267"/>
      <c r="CY58" s="267"/>
      <c r="CZ58" s="267"/>
      <c r="DA58" s="267"/>
      <c r="DB58" s="267"/>
      <c r="DC58" s="268"/>
      <c r="DD58" s="266"/>
      <c r="DE58" s="267"/>
      <c r="DF58" s="267"/>
      <c r="DG58" s="267"/>
      <c r="DH58" s="267"/>
      <c r="DI58" s="267"/>
      <c r="DJ58" s="267"/>
      <c r="DK58" s="267"/>
      <c r="DL58" s="267"/>
      <c r="DM58" s="268"/>
      <c r="DN58" s="266" t="s">
        <v>226</v>
      </c>
      <c r="DO58" s="267"/>
      <c r="DP58" s="267"/>
      <c r="DQ58" s="267"/>
      <c r="DR58" s="267"/>
      <c r="DS58" s="267"/>
      <c r="DT58" s="267"/>
      <c r="DU58" s="267"/>
      <c r="DV58" s="267"/>
      <c r="DW58" s="267"/>
      <c r="DX58" s="268"/>
      <c r="DY58" s="266"/>
      <c r="DZ58" s="267"/>
      <c r="EA58" s="267"/>
      <c r="EB58" s="267"/>
      <c r="EC58" s="267"/>
      <c r="ED58" s="267"/>
      <c r="EE58" s="267"/>
      <c r="EF58" s="268"/>
    </row>
    <row r="59" spans="1:136" s="42" customFormat="1" ht="83.25" customHeight="1">
      <c r="A59" s="134">
        <f>IF(B59&lt;&gt;"",COUNTA($B$8:B59),"")</f>
        <v>50</v>
      </c>
      <c r="B59" s="266" t="s">
        <v>182</v>
      </c>
      <c r="C59" s="267"/>
      <c r="D59" s="267"/>
      <c r="E59" s="267"/>
      <c r="F59" s="267"/>
      <c r="G59" s="267"/>
      <c r="H59" s="267"/>
      <c r="I59" s="267"/>
      <c r="J59" s="269"/>
      <c r="K59" s="262" t="s">
        <v>206</v>
      </c>
      <c r="L59" s="270"/>
      <c r="M59" s="302"/>
      <c r="N59" s="303"/>
      <c r="O59" s="262"/>
      <c r="P59" s="270"/>
      <c r="Q59" s="262" t="s">
        <v>357</v>
      </c>
      <c r="R59" s="279"/>
      <c r="S59" s="270"/>
      <c r="T59" s="262" t="s">
        <v>357</v>
      </c>
      <c r="U59" s="279"/>
      <c r="V59" s="270"/>
      <c r="W59" s="280" t="s">
        <v>358</v>
      </c>
      <c r="X59" s="281"/>
      <c r="Y59" s="282"/>
      <c r="Z59" s="280" t="s">
        <v>358</v>
      </c>
      <c r="AA59" s="281"/>
      <c r="AB59" s="282"/>
      <c r="AC59" s="304"/>
      <c r="AD59" s="305"/>
      <c r="AE59" s="273"/>
      <c r="AF59" s="274"/>
      <c r="AG59" s="274"/>
      <c r="AH59" s="274"/>
      <c r="AI59" s="274"/>
      <c r="AJ59" s="274"/>
      <c r="AK59" s="274"/>
      <c r="AL59" s="275"/>
      <c r="AM59" s="306"/>
      <c r="AN59" s="306"/>
      <c r="AO59" s="306"/>
      <c r="AP59" s="306"/>
      <c r="AQ59" s="306"/>
      <c r="AR59" s="306"/>
      <c r="AS59" s="306"/>
      <c r="AT59" s="307"/>
      <c r="AU59" s="266"/>
      <c r="AV59" s="267"/>
      <c r="AW59" s="267"/>
      <c r="AX59" s="267"/>
      <c r="AY59" s="267"/>
      <c r="AZ59" s="267"/>
      <c r="BA59" s="267"/>
      <c r="BB59" s="267"/>
      <c r="BC59" s="267"/>
      <c r="BD59" s="268"/>
      <c r="BE59" s="266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  <c r="BP59" s="267"/>
      <c r="BQ59" s="267"/>
      <c r="BR59" s="267"/>
      <c r="BS59" s="266" t="s">
        <v>225</v>
      </c>
      <c r="BT59" s="267"/>
      <c r="BU59" s="267"/>
      <c r="BV59" s="267"/>
      <c r="BW59" s="267"/>
      <c r="BX59" s="267"/>
      <c r="BY59" s="267"/>
      <c r="BZ59" s="267"/>
      <c r="CA59" s="267"/>
      <c r="CB59" s="268"/>
      <c r="CC59" s="266"/>
      <c r="CD59" s="267"/>
      <c r="CE59" s="267"/>
      <c r="CF59" s="267"/>
      <c r="CG59" s="267"/>
      <c r="CH59" s="267"/>
      <c r="CI59" s="267"/>
      <c r="CJ59" s="267"/>
      <c r="CK59" s="267"/>
      <c r="CL59" s="267"/>
      <c r="CM59" s="267"/>
      <c r="CN59" s="267"/>
      <c r="CO59" s="267"/>
      <c r="CP59" s="267"/>
      <c r="CQ59" s="267"/>
      <c r="CR59" s="267"/>
      <c r="CS59" s="268"/>
      <c r="CT59" s="266"/>
      <c r="CU59" s="267"/>
      <c r="CV59" s="267"/>
      <c r="CW59" s="267"/>
      <c r="CX59" s="267"/>
      <c r="CY59" s="267"/>
      <c r="CZ59" s="267"/>
      <c r="DA59" s="267"/>
      <c r="DB59" s="267"/>
      <c r="DC59" s="268"/>
      <c r="DD59" s="266"/>
      <c r="DE59" s="267"/>
      <c r="DF59" s="267"/>
      <c r="DG59" s="267"/>
      <c r="DH59" s="267"/>
      <c r="DI59" s="267"/>
      <c r="DJ59" s="267"/>
      <c r="DK59" s="267"/>
      <c r="DL59" s="267"/>
      <c r="DM59" s="268"/>
      <c r="DN59" s="266"/>
      <c r="DO59" s="267"/>
      <c r="DP59" s="267"/>
      <c r="DQ59" s="267"/>
      <c r="DR59" s="267"/>
      <c r="DS59" s="267"/>
      <c r="DT59" s="267"/>
      <c r="DU59" s="267"/>
      <c r="DV59" s="267"/>
      <c r="DW59" s="267"/>
      <c r="DX59" s="268"/>
      <c r="DY59" s="266"/>
      <c r="DZ59" s="267"/>
      <c r="EA59" s="267"/>
      <c r="EB59" s="267"/>
      <c r="EC59" s="267"/>
      <c r="ED59" s="267"/>
      <c r="EE59" s="267"/>
      <c r="EF59" s="268"/>
    </row>
    <row r="60" spans="1:136" s="42" customFormat="1" ht="24.95" customHeight="1">
      <c r="A60" s="134">
        <f>IF(B60&lt;&gt;"",COUNTA($B$8:B60),"")</f>
        <v>51</v>
      </c>
      <c r="B60" s="266" t="s">
        <v>323</v>
      </c>
      <c r="C60" s="267"/>
      <c r="D60" s="267"/>
      <c r="E60" s="267"/>
      <c r="F60" s="267"/>
      <c r="G60" s="267"/>
      <c r="H60" s="267"/>
      <c r="I60" s="267"/>
      <c r="J60" s="269"/>
      <c r="K60" s="262" t="s">
        <v>205</v>
      </c>
      <c r="L60" s="270"/>
      <c r="M60" s="302"/>
      <c r="N60" s="303"/>
      <c r="O60" s="262"/>
      <c r="P60" s="270"/>
      <c r="Q60" s="262" t="s">
        <v>210</v>
      </c>
      <c r="R60" s="279"/>
      <c r="S60" s="270"/>
      <c r="T60" s="262" t="s">
        <v>210</v>
      </c>
      <c r="U60" s="279"/>
      <c r="V60" s="270"/>
      <c r="W60" s="280">
        <v>4</v>
      </c>
      <c r="X60" s="281"/>
      <c r="Y60" s="282"/>
      <c r="Z60" s="280">
        <v>4</v>
      </c>
      <c r="AA60" s="281"/>
      <c r="AB60" s="282"/>
      <c r="AC60" s="304"/>
      <c r="AD60" s="305"/>
      <c r="AE60" s="273"/>
      <c r="AF60" s="274"/>
      <c r="AG60" s="274"/>
      <c r="AH60" s="274"/>
      <c r="AI60" s="274"/>
      <c r="AJ60" s="274"/>
      <c r="AK60" s="274"/>
      <c r="AL60" s="275"/>
      <c r="AM60" s="306"/>
      <c r="AN60" s="306"/>
      <c r="AO60" s="306"/>
      <c r="AP60" s="306"/>
      <c r="AQ60" s="306"/>
      <c r="AR60" s="306"/>
      <c r="AS60" s="306"/>
      <c r="AT60" s="307"/>
      <c r="AU60" s="285" t="s">
        <v>324</v>
      </c>
      <c r="AV60" s="267"/>
      <c r="AW60" s="267"/>
      <c r="AX60" s="267"/>
      <c r="AY60" s="267"/>
      <c r="AZ60" s="267"/>
      <c r="BA60" s="267"/>
      <c r="BB60" s="267"/>
      <c r="BC60" s="267"/>
      <c r="BD60" s="268"/>
      <c r="BE60" s="266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  <c r="BP60" s="267"/>
      <c r="BQ60" s="267"/>
      <c r="BR60" s="267"/>
      <c r="BS60" s="266"/>
      <c r="BT60" s="267"/>
      <c r="BU60" s="267"/>
      <c r="BV60" s="267"/>
      <c r="BW60" s="267"/>
      <c r="BX60" s="267"/>
      <c r="BY60" s="267"/>
      <c r="BZ60" s="267"/>
      <c r="CA60" s="267"/>
      <c r="CB60" s="268"/>
      <c r="CC60" s="285"/>
      <c r="CD60" s="286"/>
      <c r="CE60" s="286"/>
      <c r="CF60" s="286"/>
      <c r="CG60" s="286"/>
      <c r="CH60" s="286"/>
      <c r="CI60" s="286"/>
      <c r="CJ60" s="286"/>
      <c r="CK60" s="286"/>
      <c r="CL60" s="286"/>
      <c r="CM60" s="286"/>
      <c r="CN60" s="286"/>
      <c r="CO60" s="286"/>
      <c r="CP60" s="286"/>
      <c r="CQ60" s="286"/>
      <c r="CR60" s="286"/>
      <c r="CS60" s="287"/>
      <c r="CT60" s="266"/>
      <c r="CU60" s="267"/>
      <c r="CV60" s="267"/>
      <c r="CW60" s="267"/>
      <c r="CX60" s="267"/>
      <c r="CY60" s="267"/>
      <c r="CZ60" s="267"/>
      <c r="DA60" s="267"/>
      <c r="DB60" s="267"/>
      <c r="DC60" s="268"/>
      <c r="DD60" s="266"/>
      <c r="DE60" s="267"/>
      <c r="DF60" s="267"/>
      <c r="DG60" s="267"/>
      <c r="DH60" s="267"/>
      <c r="DI60" s="267"/>
      <c r="DJ60" s="267"/>
      <c r="DK60" s="267"/>
      <c r="DL60" s="267"/>
      <c r="DM60" s="268"/>
      <c r="DN60" s="266" t="s">
        <v>280</v>
      </c>
      <c r="DO60" s="267"/>
      <c r="DP60" s="267"/>
      <c r="DQ60" s="267"/>
      <c r="DR60" s="267"/>
      <c r="DS60" s="267"/>
      <c r="DT60" s="267"/>
      <c r="DU60" s="267"/>
      <c r="DV60" s="267"/>
      <c r="DW60" s="267"/>
      <c r="DX60" s="268"/>
      <c r="DY60" s="266"/>
      <c r="DZ60" s="267"/>
      <c r="EA60" s="267"/>
      <c r="EB60" s="267"/>
      <c r="EC60" s="267"/>
      <c r="ED60" s="267"/>
      <c r="EE60" s="267"/>
      <c r="EF60" s="268"/>
    </row>
    <row r="61" spans="1:136" s="42" customFormat="1" ht="30" customHeight="1">
      <c r="A61" s="134">
        <f>IF(B61&lt;&gt;"",COUNTA($B$8:B61),"")</f>
        <v>52</v>
      </c>
      <c r="B61" s="266" t="s">
        <v>553</v>
      </c>
      <c r="C61" s="267"/>
      <c r="D61" s="267"/>
      <c r="E61" s="267"/>
      <c r="F61" s="267"/>
      <c r="G61" s="267"/>
      <c r="H61" s="267"/>
      <c r="I61" s="267"/>
      <c r="J61" s="269"/>
      <c r="K61" s="262" t="s">
        <v>41</v>
      </c>
      <c r="L61" s="270"/>
      <c r="M61" s="271"/>
      <c r="N61" s="272"/>
      <c r="O61" s="262" t="s">
        <v>32</v>
      </c>
      <c r="P61" s="270"/>
      <c r="Q61" s="262" t="s">
        <v>207</v>
      </c>
      <c r="R61" s="279"/>
      <c r="S61" s="270"/>
      <c r="T61" s="262" t="s">
        <v>209</v>
      </c>
      <c r="U61" s="279"/>
      <c r="V61" s="270"/>
      <c r="W61" s="280" t="s">
        <v>207</v>
      </c>
      <c r="X61" s="281"/>
      <c r="Y61" s="282"/>
      <c r="Z61" s="280">
        <v>20</v>
      </c>
      <c r="AA61" s="281"/>
      <c r="AB61" s="282"/>
      <c r="AC61" s="283"/>
      <c r="AD61" s="284"/>
      <c r="AE61" s="266" t="s">
        <v>243</v>
      </c>
      <c r="AF61" s="267"/>
      <c r="AG61" s="267"/>
      <c r="AH61" s="267"/>
      <c r="AI61" s="267"/>
      <c r="AJ61" s="267"/>
      <c r="AK61" s="267"/>
      <c r="AL61" s="269"/>
      <c r="AM61" s="276" t="s">
        <v>223</v>
      </c>
      <c r="AN61" s="277"/>
      <c r="AO61" s="277"/>
      <c r="AP61" s="277"/>
      <c r="AQ61" s="277"/>
      <c r="AR61" s="277"/>
      <c r="AS61" s="277"/>
      <c r="AT61" s="278"/>
      <c r="AU61" s="285"/>
      <c r="AV61" s="286"/>
      <c r="AW61" s="286"/>
      <c r="AX61" s="286"/>
      <c r="AY61" s="286"/>
      <c r="AZ61" s="286"/>
      <c r="BA61" s="286"/>
      <c r="BB61" s="286"/>
      <c r="BC61" s="286"/>
      <c r="BD61" s="287"/>
      <c r="BE61" s="285"/>
      <c r="BF61" s="286"/>
      <c r="BG61" s="286"/>
      <c r="BH61" s="286"/>
      <c r="BI61" s="286"/>
      <c r="BJ61" s="286"/>
      <c r="BK61" s="286"/>
      <c r="BL61" s="286"/>
      <c r="BM61" s="286"/>
      <c r="BN61" s="286"/>
      <c r="BO61" s="286"/>
      <c r="BP61" s="286"/>
      <c r="BQ61" s="286"/>
      <c r="BR61" s="286"/>
      <c r="BS61" s="266"/>
      <c r="BT61" s="267"/>
      <c r="BU61" s="267"/>
      <c r="BV61" s="267"/>
      <c r="BW61" s="267"/>
      <c r="BX61" s="267"/>
      <c r="BY61" s="267"/>
      <c r="BZ61" s="267"/>
      <c r="CA61" s="267"/>
      <c r="CB61" s="268"/>
      <c r="CC61" s="266"/>
      <c r="CD61" s="267"/>
      <c r="CE61" s="267"/>
      <c r="CF61" s="267"/>
      <c r="CG61" s="267"/>
      <c r="CH61" s="267"/>
      <c r="CI61" s="267"/>
      <c r="CJ61" s="267"/>
      <c r="CK61" s="267"/>
      <c r="CL61" s="267"/>
      <c r="CM61" s="267"/>
      <c r="CN61" s="267"/>
      <c r="CO61" s="267"/>
      <c r="CP61" s="267"/>
      <c r="CQ61" s="267"/>
      <c r="CR61" s="267"/>
      <c r="CS61" s="268"/>
      <c r="CT61" s="266"/>
      <c r="CU61" s="267"/>
      <c r="CV61" s="267"/>
      <c r="CW61" s="267"/>
      <c r="CX61" s="267"/>
      <c r="CY61" s="267"/>
      <c r="CZ61" s="267"/>
      <c r="DA61" s="267"/>
      <c r="DB61" s="267"/>
      <c r="DC61" s="268"/>
      <c r="DD61" s="266"/>
      <c r="DE61" s="267"/>
      <c r="DF61" s="267"/>
      <c r="DG61" s="267"/>
      <c r="DH61" s="267"/>
      <c r="DI61" s="267"/>
      <c r="DJ61" s="267"/>
      <c r="DK61" s="267"/>
      <c r="DL61" s="267"/>
      <c r="DM61" s="268"/>
      <c r="DN61" s="266"/>
      <c r="DO61" s="267"/>
      <c r="DP61" s="267"/>
      <c r="DQ61" s="267"/>
      <c r="DR61" s="267"/>
      <c r="DS61" s="267"/>
      <c r="DT61" s="267"/>
      <c r="DU61" s="267"/>
      <c r="DV61" s="267"/>
      <c r="DW61" s="267"/>
      <c r="DX61" s="268"/>
      <c r="DY61" s="266"/>
      <c r="DZ61" s="267"/>
      <c r="EA61" s="267"/>
      <c r="EB61" s="267"/>
      <c r="EC61" s="267"/>
      <c r="ED61" s="267"/>
      <c r="EE61" s="267"/>
      <c r="EF61" s="268"/>
    </row>
    <row r="62" spans="1:136" s="42" customFormat="1" ht="39.950000000000003" customHeight="1">
      <c r="A62" s="134">
        <f>IF(B62&lt;&gt;"",COUNTA($B$8:B62),"")</f>
        <v>53</v>
      </c>
      <c r="B62" s="266" t="s">
        <v>554</v>
      </c>
      <c r="C62" s="267"/>
      <c r="D62" s="267"/>
      <c r="E62" s="267"/>
      <c r="F62" s="267"/>
      <c r="G62" s="267"/>
      <c r="H62" s="267"/>
      <c r="I62" s="267"/>
      <c r="J62" s="269"/>
      <c r="K62" s="262" t="s">
        <v>41</v>
      </c>
      <c r="L62" s="270"/>
      <c r="M62" s="271"/>
      <c r="N62" s="272"/>
      <c r="O62" s="262"/>
      <c r="P62" s="270"/>
      <c r="Q62" s="262" t="s">
        <v>207</v>
      </c>
      <c r="R62" s="279"/>
      <c r="S62" s="270"/>
      <c r="T62" s="262" t="s">
        <v>209</v>
      </c>
      <c r="U62" s="279"/>
      <c r="V62" s="270"/>
      <c r="W62" s="280" t="s">
        <v>207</v>
      </c>
      <c r="X62" s="281"/>
      <c r="Y62" s="282"/>
      <c r="Z62" s="280">
        <v>20</v>
      </c>
      <c r="AA62" s="281"/>
      <c r="AB62" s="282"/>
      <c r="AC62" s="283"/>
      <c r="AD62" s="284"/>
      <c r="AE62" s="266" t="s">
        <v>243</v>
      </c>
      <c r="AF62" s="267"/>
      <c r="AG62" s="267"/>
      <c r="AH62" s="267"/>
      <c r="AI62" s="267"/>
      <c r="AJ62" s="267"/>
      <c r="AK62" s="267"/>
      <c r="AL62" s="269"/>
      <c r="AM62" s="276" t="s">
        <v>223</v>
      </c>
      <c r="AN62" s="277"/>
      <c r="AO62" s="277"/>
      <c r="AP62" s="277"/>
      <c r="AQ62" s="277"/>
      <c r="AR62" s="277"/>
      <c r="AS62" s="277"/>
      <c r="AT62" s="278"/>
      <c r="AU62" s="285"/>
      <c r="AV62" s="286"/>
      <c r="AW62" s="286"/>
      <c r="AX62" s="286"/>
      <c r="AY62" s="286"/>
      <c r="AZ62" s="286"/>
      <c r="BA62" s="286"/>
      <c r="BB62" s="286"/>
      <c r="BC62" s="286"/>
      <c r="BD62" s="287"/>
      <c r="BE62" s="285"/>
      <c r="BF62" s="286"/>
      <c r="BG62" s="286"/>
      <c r="BH62" s="286"/>
      <c r="BI62" s="286"/>
      <c r="BJ62" s="286"/>
      <c r="BK62" s="286"/>
      <c r="BL62" s="286"/>
      <c r="BM62" s="286"/>
      <c r="BN62" s="286"/>
      <c r="BO62" s="286"/>
      <c r="BP62" s="286"/>
      <c r="BQ62" s="286"/>
      <c r="BR62" s="286"/>
      <c r="BS62" s="266" t="s">
        <v>577</v>
      </c>
      <c r="BT62" s="267"/>
      <c r="BU62" s="267"/>
      <c r="BV62" s="267"/>
      <c r="BW62" s="267"/>
      <c r="BX62" s="267"/>
      <c r="BY62" s="267"/>
      <c r="BZ62" s="267"/>
      <c r="CA62" s="267"/>
      <c r="CB62" s="268"/>
      <c r="CC62" s="266"/>
      <c r="CD62" s="267"/>
      <c r="CE62" s="267"/>
      <c r="CF62" s="267"/>
      <c r="CG62" s="267"/>
      <c r="CH62" s="267"/>
      <c r="CI62" s="267"/>
      <c r="CJ62" s="267"/>
      <c r="CK62" s="267"/>
      <c r="CL62" s="267"/>
      <c r="CM62" s="267"/>
      <c r="CN62" s="267"/>
      <c r="CO62" s="267"/>
      <c r="CP62" s="267"/>
      <c r="CQ62" s="267"/>
      <c r="CR62" s="267"/>
      <c r="CS62" s="268"/>
      <c r="CT62" s="266"/>
      <c r="CU62" s="267"/>
      <c r="CV62" s="267"/>
      <c r="CW62" s="267"/>
      <c r="CX62" s="267"/>
      <c r="CY62" s="267"/>
      <c r="CZ62" s="267"/>
      <c r="DA62" s="267"/>
      <c r="DB62" s="267"/>
      <c r="DC62" s="268"/>
      <c r="DD62" s="266" t="s">
        <v>574</v>
      </c>
      <c r="DE62" s="267"/>
      <c r="DF62" s="267"/>
      <c r="DG62" s="267"/>
      <c r="DH62" s="267"/>
      <c r="DI62" s="267"/>
      <c r="DJ62" s="267"/>
      <c r="DK62" s="267"/>
      <c r="DL62" s="267"/>
      <c r="DM62" s="268"/>
      <c r="DN62" s="266" t="s">
        <v>226</v>
      </c>
      <c r="DO62" s="267"/>
      <c r="DP62" s="267"/>
      <c r="DQ62" s="267"/>
      <c r="DR62" s="267"/>
      <c r="DS62" s="267"/>
      <c r="DT62" s="267"/>
      <c r="DU62" s="267"/>
      <c r="DV62" s="267"/>
      <c r="DW62" s="267"/>
      <c r="DX62" s="268"/>
      <c r="DY62" s="266"/>
      <c r="DZ62" s="267"/>
      <c r="EA62" s="267"/>
      <c r="EB62" s="267"/>
      <c r="EC62" s="267"/>
      <c r="ED62" s="267"/>
      <c r="EE62" s="267"/>
      <c r="EF62" s="268"/>
    </row>
    <row r="63" spans="1:136" s="42" customFormat="1" ht="99" customHeight="1">
      <c r="A63" s="134">
        <f>IF(B63&lt;&gt;"",COUNTA($B$8:B63),"")</f>
        <v>54</v>
      </c>
      <c r="B63" s="266" t="s">
        <v>183</v>
      </c>
      <c r="C63" s="267"/>
      <c r="D63" s="267"/>
      <c r="E63" s="267"/>
      <c r="F63" s="267"/>
      <c r="G63" s="267"/>
      <c r="H63" s="267"/>
      <c r="I63" s="267"/>
      <c r="J63" s="269"/>
      <c r="K63" s="262" t="s">
        <v>204</v>
      </c>
      <c r="L63" s="270"/>
      <c r="M63" s="271" t="s">
        <v>609</v>
      </c>
      <c r="N63" s="272"/>
      <c r="O63" s="262"/>
      <c r="P63" s="270"/>
      <c r="Q63" s="262" t="s">
        <v>207</v>
      </c>
      <c r="R63" s="279"/>
      <c r="S63" s="270"/>
      <c r="T63" s="262" t="s">
        <v>209</v>
      </c>
      <c r="U63" s="279"/>
      <c r="V63" s="270"/>
      <c r="W63" s="280" t="s">
        <v>207</v>
      </c>
      <c r="X63" s="281"/>
      <c r="Y63" s="282"/>
      <c r="Z63" s="280">
        <v>20</v>
      </c>
      <c r="AA63" s="281"/>
      <c r="AB63" s="282"/>
      <c r="AC63" s="283"/>
      <c r="AD63" s="284"/>
      <c r="AE63" s="266" t="s">
        <v>243</v>
      </c>
      <c r="AF63" s="267"/>
      <c r="AG63" s="267"/>
      <c r="AH63" s="267"/>
      <c r="AI63" s="267"/>
      <c r="AJ63" s="267"/>
      <c r="AK63" s="267"/>
      <c r="AL63" s="269"/>
      <c r="AM63" s="276" t="s">
        <v>223</v>
      </c>
      <c r="AN63" s="277"/>
      <c r="AO63" s="277"/>
      <c r="AP63" s="277"/>
      <c r="AQ63" s="277"/>
      <c r="AR63" s="277"/>
      <c r="AS63" s="277"/>
      <c r="AT63" s="278"/>
      <c r="AU63" s="285"/>
      <c r="AV63" s="286"/>
      <c r="AW63" s="286"/>
      <c r="AX63" s="286"/>
      <c r="AY63" s="286"/>
      <c r="AZ63" s="286"/>
      <c r="BA63" s="286"/>
      <c r="BB63" s="286"/>
      <c r="BC63" s="286"/>
      <c r="BD63" s="287"/>
      <c r="BE63" s="285"/>
      <c r="BF63" s="286"/>
      <c r="BG63" s="286"/>
      <c r="BH63" s="286"/>
      <c r="BI63" s="286"/>
      <c r="BJ63" s="286"/>
      <c r="BK63" s="286"/>
      <c r="BL63" s="286"/>
      <c r="BM63" s="286"/>
      <c r="BN63" s="286"/>
      <c r="BO63" s="286"/>
      <c r="BP63" s="286"/>
      <c r="BQ63" s="286"/>
      <c r="BR63" s="286"/>
      <c r="BS63" s="266" t="s">
        <v>578</v>
      </c>
      <c r="BT63" s="267"/>
      <c r="BU63" s="267"/>
      <c r="BV63" s="267"/>
      <c r="BW63" s="267"/>
      <c r="BX63" s="267"/>
      <c r="BY63" s="267"/>
      <c r="BZ63" s="267"/>
      <c r="CA63" s="267"/>
      <c r="CB63" s="268"/>
      <c r="CC63" s="266"/>
      <c r="CD63" s="267"/>
      <c r="CE63" s="267"/>
      <c r="CF63" s="267"/>
      <c r="CG63" s="267"/>
      <c r="CH63" s="267"/>
      <c r="CI63" s="267"/>
      <c r="CJ63" s="267"/>
      <c r="CK63" s="267"/>
      <c r="CL63" s="267"/>
      <c r="CM63" s="267"/>
      <c r="CN63" s="267"/>
      <c r="CO63" s="267"/>
      <c r="CP63" s="267"/>
      <c r="CQ63" s="267"/>
      <c r="CR63" s="267"/>
      <c r="CS63" s="268"/>
      <c r="CT63" s="266"/>
      <c r="CU63" s="267"/>
      <c r="CV63" s="267"/>
      <c r="CW63" s="267"/>
      <c r="CX63" s="267"/>
      <c r="CY63" s="267"/>
      <c r="CZ63" s="267"/>
      <c r="DA63" s="267"/>
      <c r="DB63" s="267"/>
      <c r="DC63" s="268"/>
      <c r="DD63" s="266" t="s">
        <v>576</v>
      </c>
      <c r="DE63" s="267"/>
      <c r="DF63" s="267"/>
      <c r="DG63" s="267"/>
      <c r="DH63" s="267"/>
      <c r="DI63" s="267"/>
      <c r="DJ63" s="267"/>
      <c r="DK63" s="267"/>
      <c r="DL63" s="267"/>
      <c r="DM63" s="268"/>
      <c r="DN63" s="266" t="s">
        <v>611</v>
      </c>
      <c r="DO63" s="267"/>
      <c r="DP63" s="267"/>
      <c r="DQ63" s="267"/>
      <c r="DR63" s="267"/>
      <c r="DS63" s="267"/>
      <c r="DT63" s="267"/>
      <c r="DU63" s="267"/>
      <c r="DV63" s="267"/>
      <c r="DW63" s="267"/>
      <c r="DX63" s="268"/>
      <c r="DY63" s="266"/>
      <c r="DZ63" s="267"/>
      <c r="EA63" s="267"/>
      <c r="EB63" s="267"/>
      <c r="EC63" s="267"/>
      <c r="ED63" s="267"/>
      <c r="EE63" s="267"/>
      <c r="EF63" s="268"/>
    </row>
    <row r="64" spans="1:136" s="42" customFormat="1" ht="30" customHeight="1">
      <c r="A64" s="134">
        <f>IF(B64&lt;&gt;"",COUNTA($B$8:B64),"")</f>
        <v>55</v>
      </c>
      <c r="B64" s="266" t="s">
        <v>184</v>
      </c>
      <c r="C64" s="267"/>
      <c r="D64" s="267"/>
      <c r="E64" s="267"/>
      <c r="F64" s="267"/>
      <c r="G64" s="267"/>
      <c r="H64" s="267"/>
      <c r="I64" s="267"/>
      <c r="J64" s="269"/>
      <c r="K64" s="262" t="s">
        <v>204</v>
      </c>
      <c r="L64" s="270"/>
      <c r="M64" s="302" t="s">
        <v>249</v>
      </c>
      <c r="N64" s="303"/>
      <c r="O64" s="262"/>
      <c r="P64" s="270"/>
      <c r="Q64" s="262" t="s">
        <v>207</v>
      </c>
      <c r="R64" s="279"/>
      <c r="S64" s="270"/>
      <c r="T64" s="262" t="s">
        <v>209</v>
      </c>
      <c r="U64" s="279"/>
      <c r="V64" s="270"/>
      <c r="W64" s="280" t="s">
        <v>207</v>
      </c>
      <c r="X64" s="281"/>
      <c r="Y64" s="282"/>
      <c r="Z64" s="280">
        <v>100</v>
      </c>
      <c r="AA64" s="281"/>
      <c r="AB64" s="282"/>
      <c r="AC64" s="304" t="s">
        <v>213</v>
      </c>
      <c r="AD64" s="305"/>
      <c r="AE64" s="273" t="s">
        <v>243</v>
      </c>
      <c r="AF64" s="274"/>
      <c r="AG64" s="274"/>
      <c r="AH64" s="274"/>
      <c r="AI64" s="274"/>
      <c r="AJ64" s="274"/>
      <c r="AK64" s="274"/>
      <c r="AL64" s="275"/>
      <c r="AM64" s="306" t="s">
        <v>184</v>
      </c>
      <c r="AN64" s="306"/>
      <c r="AO64" s="306"/>
      <c r="AP64" s="306"/>
      <c r="AQ64" s="306"/>
      <c r="AR64" s="306"/>
      <c r="AS64" s="306"/>
      <c r="AT64" s="307"/>
      <c r="AU64" s="266"/>
      <c r="AV64" s="267"/>
      <c r="AW64" s="267"/>
      <c r="AX64" s="267"/>
      <c r="AY64" s="267"/>
      <c r="AZ64" s="267"/>
      <c r="BA64" s="267"/>
      <c r="BB64" s="267"/>
      <c r="BC64" s="267"/>
      <c r="BD64" s="268"/>
      <c r="BE64" s="266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  <c r="BP64" s="267"/>
      <c r="BQ64" s="267"/>
      <c r="BR64" s="267"/>
      <c r="BS64" s="266"/>
      <c r="BT64" s="267"/>
      <c r="BU64" s="267"/>
      <c r="BV64" s="267"/>
      <c r="BW64" s="267"/>
      <c r="BX64" s="267"/>
      <c r="BY64" s="267"/>
      <c r="BZ64" s="267"/>
      <c r="CA64" s="267"/>
      <c r="CB64" s="268"/>
      <c r="CC64" s="266"/>
      <c r="CD64" s="267"/>
      <c r="CE64" s="267"/>
      <c r="CF64" s="267"/>
      <c r="CG64" s="267"/>
      <c r="CH64" s="267"/>
      <c r="CI64" s="267"/>
      <c r="CJ64" s="267"/>
      <c r="CK64" s="267"/>
      <c r="CL64" s="267"/>
      <c r="CM64" s="267"/>
      <c r="CN64" s="267"/>
      <c r="CO64" s="267"/>
      <c r="CP64" s="267"/>
      <c r="CQ64" s="267"/>
      <c r="CR64" s="267"/>
      <c r="CS64" s="268"/>
      <c r="CT64" s="266"/>
      <c r="CU64" s="267"/>
      <c r="CV64" s="267"/>
      <c r="CW64" s="267"/>
      <c r="CX64" s="267"/>
      <c r="CY64" s="267"/>
      <c r="CZ64" s="267"/>
      <c r="DA64" s="267"/>
      <c r="DB64" s="267"/>
      <c r="DC64" s="268"/>
      <c r="DD64" s="266"/>
      <c r="DE64" s="267"/>
      <c r="DF64" s="267"/>
      <c r="DG64" s="267"/>
      <c r="DH64" s="267"/>
      <c r="DI64" s="267"/>
      <c r="DJ64" s="267"/>
      <c r="DK64" s="267"/>
      <c r="DL64" s="267"/>
      <c r="DM64" s="268"/>
      <c r="DN64" s="266" t="s">
        <v>325</v>
      </c>
      <c r="DO64" s="267"/>
      <c r="DP64" s="267"/>
      <c r="DQ64" s="267"/>
      <c r="DR64" s="267"/>
      <c r="DS64" s="267"/>
      <c r="DT64" s="267"/>
      <c r="DU64" s="267"/>
      <c r="DV64" s="267"/>
      <c r="DW64" s="267"/>
      <c r="DX64" s="268"/>
      <c r="DY64" s="266"/>
      <c r="DZ64" s="267"/>
      <c r="EA64" s="267"/>
      <c r="EB64" s="267"/>
      <c r="EC64" s="267"/>
      <c r="ED64" s="267"/>
      <c r="EE64" s="267"/>
      <c r="EF64" s="268"/>
    </row>
    <row r="65" spans="1:136" s="42" customFormat="1" ht="39.950000000000003" customHeight="1">
      <c r="A65" s="134">
        <f>IF(B65&lt;&gt;"",COUNTA($B$8:B65),"")</f>
        <v>56</v>
      </c>
      <c r="B65" s="266" t="s">
        <v>185</v>
      </c>
      <c r="C65" s="267"/>
      <c r="D65" s="267"/>
      <c r="E65" s="267"/>
      <c r="F65" s="267"/>
      <c r="G65" s="267"/>
      <c r="H65" s="267"/>
      <c r="I65" s="267"/>
      <c r="J65" s="269"/>
      <c r="K65" s="262" t="s">
        <v>204</v>
      </c>
      <c r="L65" s="270"/>
      <c r="M65" s="302"/>
      <c r="N65" s="303"/>
      <c r="O65" s="262"/>
      <c r="P65" s="270"/>
      <c r="Q65" s="262" t="s">
        <v>207</v>
      </c>
      <c r="R65" s="279"/>
      <c r="S65" s="270"/>
      <c r="T65" s="262" t="s">
        <v>209</v>
      </c>
      <c r="U65" s="279"/>
      <c r="V65" s="270"/>
      <c r="W65" s="280" t="s">
        <v>207</v>
      </c>
      <c r="X65" s="281"/>
      <c r="Y65" s="282"/>
      <c r="Z65" s="280">
        <v>100</v>
      </c>
      <c r="AA65" s="281"/>
      <c r="AB65" s="282"/>
      <c r="AC65" s="304"/>
      <c r="AD65" s="305"/>
      <c r="AE65" s="273" t="s">
        <v>243</v>
      </c>
      <c r="AF65" s="274"/>
      <c r="AG65" s="274"/>
      <c r="AH65" s="274"/>
      <c r="AI65" s="274"/>
      <c r="AJ65" s="274"/>
      <c r="AK65" s="274"/>
      <c r="AL65" s="275"/>
      <c r="AM65" s="306" t="s">
        <v>185</v>
      </c>
      <c r="AN65" s="306"/>
      <c r="AO65" s="306"/>
      <c r="AP65" s="306"/>
      <c r="AQ65" s="306"/>
      <c r="AR65" s="306"/>
      <c r="AS65" s="306"/>
      <c r="AT65" s="307"/>
      <c r="AU65" s="266"/>
      <c r="AV65" s="267"/>
      <c r="AW65" s="267"/>
      <c r="AX65" s="267"/>
      <c r="AY65" s="267"/>
      <c r="AZ65" s="267"/>
      <c r="BA65" s="267"/>
      <c r="BB65" s="267"/>
      <c r="BC65" s="267"/>
      <c r="BD65" s="268"/>
      <c r="BE65" s="266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  <c r="BP65" s="267"/>
      <c r="BQ65" s="267"/>
      <c r="BR65" s="267"/>
      <c r="BS65" s="266"/>
      <c r="BT65" s="267"/>
      <c r="BU65" s="267"/>
      <c r="BV65" s="267"/>
      <c r="BW65" s="267"/>
      <c r="BX65" s="267"/>
      <c r="BY65" s="267"/>
      <c r="BZ65" s="267"/>
      <c r="CA65" s="267"/>
      <c r="CB65" s="268"/>
      <c r="CC65" s="266"/>
      <c r="CD65" s="267"/>
      <c r="CE65" s="267"/>
      <c r="CF65" s="267"/>
      <c r="CG65" s="267"/>
      <c r="CH65" s="267"/>
      <c r="CI65" s="267"/>
      <c r="CJ65" s="267"/>
      <c r="CK65" s="267"/>
      <c r="CL65" s="267"/>
      <c r="CM65" s="267"/>
      <c r="CN65" s="267"/>
      <c r="CO65" s="267"/>
      <c r="CP65" s="267"/>
      <c r="CQ65" s="267"/>
      <c r="CR65" s="267"/>
      <c r="CS65" s="268"/>
      <c r="CT65" s="266"/>
      <c r="CU65" s="267"/>
      <c r="CV65" s="267"/>
      <c r="CW65" s="267"/>
      <c r="CX65" s="267"/>
      <c r="CY65" s="267"/>
      <c r="CZ65" s="267"/>
      <c r="DA65" s="267"/>
      <c r="DB65" s="267"/>
      <c r="DC65" s="268"/>
      <c r="DD65" s="266"/>
      <c r="DE65" s="267"/>
      <c r="DF65" s="267"/>
      <c r="DG65" s="267"/>
      <c r="DH65" s="267"/>
      <c r="DI65" s="267"/>
      <c r="DJ65" s="267"/>
      <c r="DK65" s="267"/>
      <c r="DL65" s="267"/>
      <c r="DM65" s="268"/>
      <c r="DN65" s="266" t="s">
        <v>326</v>
      </c>
      <c r="DO65" s="267"/>
      <c r="DP65" s="267"/>
      <c r="DQ65" s="267"/>
      <c r="DR65" s="267"/>
      <c r="DS65" s="267"/>
      <c r="DT65" s="267"/>
      <c r="DU65" s="267"/>
      <c r="DV65" s="267"/>
      <c r="DW65" s="267"/>
      <c r="DX65" s="268"/>
      <c r="DY65" s="266"/>
      <c r="DZ65" s="267"/>
      <c r="EA65" s="267"/>
      <c r="EB65" s="267"/>
      <c r="EC65" s="267"/>
      <c r="ED65" s="267"/>
      <c r="EE65" s="267"/>
      <c r="EF65" s="268"/>
    </row>
    <row r="66" spans="1:136" s="42" customFormat="1" ht="24.95" customHeight="1">
      <c r="A66" s="134">
        <f>IF(B66&lt;&gt;"",COUNTA($B$8:B66),"")</f>
        <v>57</v>
      </c>
      <c r="B66" s="266" t="s">
        <v>186</v>
      </c>
      <c r="C66" s="267"/>
      <c r="D66" s="267"/>
      <c r="E66" s="267"/>
      <c r="F66" s="267"/>
      <c r="G66" s="267"/>
      <c r="H66" s="267"/>
      <c r="I66" s="267"/>
      <c r="J66" s="269"/>
      <c r="K66" s="262" t="s">
        <v>204</v>
      </c>
      <c r="L66" s="270"/>
      <c r="M66" s="302" t="s">
        <v>249</v>
      </c>
      <c r="N66" s="303"/>
      <c r="O66" s="262"/>
      <c r="P66" s="270"/>
      <c r="Q66" s="262" t="s">
        <v>207</v>
      </c>
      <c r="R66" s="279"/>
      <c r="S66" s="270"/>
      <c r="T66" s="262" t="s">
        <v>210</v>
      </c>
      <c r="U66" s="279"/>
      <c r="V66" s="270"/>
      <c r="W66" s="280" t="s">
        <v>207</v>
      </c>
      <c r="X66" s="281"/>
      <c r="Y66" s="282"/>
      <c r="Z66" s="280">
        <v>5</v>
      </c>
      <c r="AA66" s="281"/>
      <c r="AB66" s="282"/>
      <c r="AC66" s="304" t="s">
        <v>214</v>
      </c>
      <c r="AD66" s="305"/>
      <c r="AE66" s="273" t="s">
        <v>243</v>
      </c>
      <c r="AF66" s="274"/>
      <c r="AG66" s="274"/>
      <c r="AH66" s="274"/>
      <c r="AI66" s="274"/>
      <c r="AJ66" s="274"/>
      <c r="AK66" s="274"/>
      <c r="AL66" s="275"/>
      <c r="AM66" s="306" t="s">
        <v>186</v>
      </c>
      <c r="AN66" s="306"/>
      <c r="AO66" s="306"/>
      <c r="AP66" s="306"/>
      <c r="AQ66" s="306"/>
      <c r="AR66" s="306"/>
      <c r="AS66" s="306"/>
      <c r="AT66" s="307"/>
      <c r="AU66" s="266"/>
      <c r="AV66" s="267"/>
      <c r="AW66" s="267"/>
      <c r="AX66" s="267"/>
      <c r="AY66" s="267"/>
      <c r="AZ66" s="267"/>
      <c r="BA66" s="267"/>
      <c r="BB66" s="267"/>
      <c r="BC66" s="267"/>
      <c r="BD66" s="268"/>
      <c r="BE66" s="266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  <c r="BP66" s="267"/>
      <c r="BQ66" s="267"/>
      <c r="BR66" s="267"/>
      <c r="BS66" s="266"/>
      <c r="BT66" s="267"/>
      <c r="BU66" s="267"/>
      <c r="BV66" s="267"/>
      <c r="BW66" s="267"/>
      <c r="BX66" s="267"/>
      <c r="BY66" s="267"/>
      <c r="BZ66" s="267"/>
      <c r="CA66" s="267"/>
      <c r="CB66" s="268"/>
      <c r="CC66" s="266"/>
      <c r="CD66" s="267"/>
      <c r="CE66" s="267"/>
      <c r="CF66" s="267"/>
      <c r="CG66" s="267"/>
      <c r="CH66" s="267"/>
      <c r="CI66" s="267"/>
      <c r="CJ66" s="267"/>
      <c r="CK66" s="267"/>
      <c r="CL66" s="267"/>
      <c r="CM66" s="267"/>
      <c r="CN66" s="267"/>
      <c r="CO66" s="267"/>
      <c r="CP66" s="267"/>
      <c r="CQ66" s="267"/>
      <c r="CR66" s="267"/>
      <c r="CS66" s="268"/>
      <c r="CT66" s="266"/>
      <c r="CU66" s="267"/>
      <c r="CV66" s="267"/>
      <c r="CW66" s="267"/>
      <c r="CX66" s="267"/>
      <c r="CY66" s="267"/>
      <c r="CZ66" s="267"/>
      <c r="DA66" s="267"/>
      <c r="DB66" s="267"/>
      <c r="DC66" s="268"/>
      <c r="DD66" s="266"/>
      <c r="DE66" s="267"/>
      <c r="DF66" s="267"/>
      <c r="DG66" s="267"/>
      <c r="DH66" s="267"/>
      <c r="DI66" s="267"/>
      <c r="DJ66" s="267"/>
      <c r="DK66" s="267"/>
      <c r="DL66" s="267"/>
      <c r="DM66" s="268"/>
      <c r="DN66" s="266"/>
      <c r="DO66" s="267"/>
      <c r="DP66" s="267"/>
      <c r="DQ66" s="267"/>
      <c r="DR66" s="267"/>
      <c r="DS66" s="267"/>
      <c r="DT66" s="267"/>
      <c r="DU66" s="267"/>
      <c r="DV66" s="267"/>
      <c r="DW66" s="267"/>
      <c r="DX66" s="268"/>
      <c r="DY66" s="266"/>
      <c r="DZ66" s="267"/>
      <c r="EA66" s="267"/>
      <c r="EB66" s="267"/>
      <c r="EC66" s="267"/>
      <c r="ED66" s="267"/>
      <c r="EE66" s="267"/>
      <c r="EF66" s="268"/>
    </row>
    <row r="67" spans="1:136" s="42" customFormat="1" ht="50.1" customHeight="1">
      <c r="A67" s="134">
        <f>IF(B67&lt;&gt;"",COUNTA($B$8:B67),"")</f>
        <v>58</v>
      </c>
      <c r="B67" s="266" t="s">
        <v>187</v>
      </c>
      <c r="C67" s="267"/>
      <c r="D67" s="267"/>
      <c r="E67" s="267"/>
      <c r="F67" s="267"/>
      <c r="G67" s="267"/>
      <c r="H67" s="267"/>
      <c r="I67" s="267"/>
      <c r="J67" s="269"/>
      <c r="K67" s="262" t="s">
        <v>204</v>
      </c>
      <c r="L67" s="270"/>
      <c r="M67" s="271"/>
      <c r="N67" s="272"/>
      <c r="O67" s="262"/>
      <c r="P67" s="270"/>
      <c r="Q67" s="262" t="s">
        <v>207</v>
      </c>
      <c r="R67" s="279"/>
      <c r="S67" s="270"/>
      <c r="T67" s="262" t="s">
        <v>208</v>
      </c>
      <c r="U67" s="279"/>
      <c r="V67" s="270"/>
      <c r="W67" s="280" t="s">
        <v>207</v>
      </c>
      <c r="X67" s="281"/>
      <c r="Y67" s="282"/>
      <c r="Z67" s="280">
        <v>10</v>
      </c>
      <c r="AA67" s="281"/>
      <c r="AB67" s="282"/>
      <c r="AC67" s="283"/>
      <c r="AD67" s="284"/>
      <c r="AE67" s="273" t="s">
        <v>243</v>
      </c>
      <c r="AF67" s="274"/>
      <c r="AG67" s="274"/>
      <c r="AH67" s="274"/>
      <c r="AI67" s="274"/>
      <c r="AJ67" s="274"/>
      <c r="AK67" s="274"/>
      <c r="AL67" s="275"/>
      <c r="AM67" s="276" t="s">
        <v>187</v>
      </c>
      <c r="AN67" s="277"/>
      <c r="AO67" s="277"/>
      <c r="AP67" s="277"/>
      <c r="AQ67" s="277"/>
      <c r="AR67" s="277"/>
      <c r="AS67" s="277"/>
      <c r="AT67" s="278"/>
      <c r="AU67" s="285"/>
      <c r="AV67" s="286"/>
      <c r="AW67" s="286"/>
      <c r="AX67" s="286"/>
      <c r="AY67" s="286"/>
      <c r="AZ67" s="286"/>
      <c r="BA67" s="286"/>
      <c r="BB67" s="286"/>
      <c r="BC67" s="286"/>
      <c r="BD67" s="287"/>
      <c r="BE67" s="285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66" t="s">
        <v>327</v>
      </c>
      <c r="BT67" s="267"/>
      <c r="BU67" s="267"/>
      <c r="BV67" s="267"/>
      <c r="BW67" s="267"/>
      <c r="BX67" s="267"/>
      <c r="BY67" s="267"/>
      <c r="BZ67" s="267"/>
      <c r="CA67" s="267"/>
      <c r="CB67" s="268"/>
      <c r="CC67" s="266"/>
      <c r="CD67" s="267"/>
      <c r="CE67" s="267"/>
      <c r="CF67" s="267"/>
      <c r="CG67" s="267"/>
      <c r="CH67" s="267"/>
      <c r="CI67" s="267"/>
      <c r="CJ67" s="267"/>
      <c r="CK67" s="267"/>
      <c r="CL67" s="267"/>
      <c r="CM67" s="267"/>
      <c r="CN67" s="267"/>
      <c r="CO67" s="267"/>
      <c r="CP67" s="267"/>
      <c r="CQ67" s="267"/>
      <c r="CR67" s="267"/>
      <c r="CS67" s="268"/>
      <c r="CT67" s="266"/>
      <c r="CU67" s="267"/>
      <c r="CV67" s="267"/>
      <c r="CW67" s="267"/>
      <c r="CX67" s="267"/>
      <c r="CY67" s="267"/>
      <c r="CZ67" s="267"/>
      <c r="DA67" s="267"/>
      <c r="DB67" s="267"/>
      <c r="DC67" s="268"/>
      <c r="DD67" s="266"/>
      <c r="DE67" s="267"/>
      <c r="DF67" s="267"/>
      <c r="DG67" s="267"/>
      <c r="DH67" s="267"/>
      <c r="DI67" s="267"/>
      <c r="DJ67" s="267"/>
      <c r="DK67" s="267"/>
      <c r="DL67" s="267"/>
      <c r="DM67" s="268"/>
      <c r="DN67" s="266" t="s">
        <v>342</v>
      </c>
      <c r="DO67" s="267"/>
      <c r="DP67" s="267"/>
      <c r="DQ67" s="267"/>
      <c r="DR67" s="267"/>
      <c r="DS67" s="267"/>
      <c r="DT67" s="267"/>
      <c r="DU67" s="267"/>
      <c r="DV67" s="267"/>
      <c r="DW67" s="267"/>
      <c r="DX67" s="268"/>
      <c r="DY67" s="266"/>
      <c r="DZ67" s="267"/>
      <c r="EA67" s="267"/>
      <c r="EB67" s="267"/>
      <c r="EC67" s="267"/>
      <c r="ED67" s="267"/>
      <c r="EE67" s="267"/>
      <c r="EF67" s="268"/>
    </row>
    <row r="68" spans="1:136" s="42" customFormat="1" ht="50.1" customHeight="1">
      <c r="A68" s="134">
        <f>IF(B68&lt;&gt;"",COUNTA($B$8:B68),"")</f>
        <v>59</v>
      </c>
      <c r="B68" s="266" t="s">
        <v>188</v>
      </c>
      <c r="C68" s="267"/>
      <c r="D68" s="267"/>
      <c r="E68" s="267"/>
      <c r="F68" s="267"/>
      <c r="G68" s="267"/>
      <c r="H68" s="267"/>
      <c r="I68" s="267"/>
      <c r="J68" s="269"/>
      <c r="K68" s="262" t="s">
        <v>204</v>
      </c>
      <c r="L68" s="270"/>
      <c r="M68" s="302"/>
      <c r="N68" s="303"/>
      <c r="O68" s="262"/>
      <c r="P68" s="270"/>
      <c r="Q68" s="262" t="s">
        <v>207</v>
      </c>
      <c r="R68" s="279"/>
      <c r="S68" s="270"/>
      <c r="T68" s="262" t="s">
        <v>210</v>
      </c>
      <c r="U68" s="279"/>
      <c r="V68" s="270"/>
      <c r="W68" s="280" t="s">
        <v>207</v>
      </c>
      <c r="X68" s="281"/>
      <c r="Y68" s="282"/>
      <c r="Z68" s="280" t="s">
        <v>250</v>
      </c>
      <c r="AA68" s="281"/>
      <c r="AB68" s="282"/>
      <c r="AC68" s="304"/>
      <c r="AD68" s="305"/>
      <c r="AE68" s="273" t="s">
        <v>243</v>
      </c>
      <c r="AF68" s="274"/>
      <c r="AG68" s="274"/>
      <c r="AH68" s="274"/>
      <c r="AI68" s="274"/>
      <c r="AJ68" s="274"/>
      <c r="AK68" s="274"/>
      <c r="AL68" s="275"/>
      <c r="AM68" s="306" t="s">
        <v>188</v>
      </c>
      <c r="AN68" s="306"/>
      <c r="AO68" s="306"/>
      <c r="AP68" s="306"/>
      <c r="AQ68" s="306"/>
      <c r="AR68" s="306"/>
      <c r="AS68" s="306"/>
      <c r="AT68" s="307"/>
      <c r="AU68" s="285"/>
      <c r="AV68" s="267"/>
      <c r="AW68" s="267"/>
      <c r="AX68" s="267"/>
      <c r="AY68" s="267"/>
      <c r="AZ68" s="267"/>
      <c r="BA68" s="267"/>
      <c r="BB68" s="267"/>
      <c r="BC68" s="267"/>
      <c r="BD68" s="268"/>
      <c r="BE68" s="266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  <c r="BP68" s="267"/>
      <c r="BQ68" s="267"/>
      <c r="BR68" s="267"/>
      <c r="BS68" s="266" t="s">
        <v>328</v>
      </c>
      <c r="BT68" s="267"/>
      <c r="BU68" s="267"/>
      <c r="BV68" s="267"/>
      <c r="BW68" s="267"/>
      <c r="BX68" s="267"/>
      <c r="BY68" s="267"/>
      <c r="BZ68" s="267"/>
      <c r="CA68" s="267"/>
      <c r="CB68" s="268"/>
      <c r="CC68" s="266"/>
      <c r="CD68" s="267"/>
      <c r="CE68" s="267"/>
      <c r="CF68" s="267"/>
      <c r="CG68" s="267"/>
      <c r="CH68" s="267"/>
      <c r="CI68" s="267"/>
      <c r="CJ68" s="267"/>
      <c r="CK68" s="267"/>
      <c r="CL68" s="267"/>
      <c r="CM68" s="267"/>
      <c r="CN68" s="267"/>
      <c r="CO68" s="267"/>
      <c r="CP68" s="267"/>
      <c r="CQ68" s="267"/>
      <c r="CR68" s="267"/>
      <c r="CS68" s="268"/>
      <c r="CT68" s="266"/>
      <c r="CU68" s="267"/>
      <c r="CV68" s="267"/>
      <c r="CW68" s="267"/>
      <c r="CX68" s="267"/>
      <c r="CY68" s="267"/>
      <c r="CZ68" s="267"/>
      <c r="DA68" s="267"/>
      <c r="DB68" s="267"/>
      <c r="DC68" s="268"/>
      <c r="DD68" s="266"/>
      <c r="DE68" s="267"/>
      <c r="DF68" s="267"/>
      <c r="DG68" s="267"/>
      <c r="DH68" s="267"/>
      <c r="DI68" s="267"/>
      <c r="DJ68" s="267"/>
      <c r="DK68" s="267"/>
      <c r="DL68" s="267"/>
      <c r="DM68" s="268"/>
      <c r="DN68" s="266" t="s">
        <v>343</v>
      </c>
      <c r="DO68" s="267"/>
      <c r="DP68" s="267"/>
      <c r="DQ68" s="267"/>
      <c r="DR68" s="267"/>
      <c r="DS68" s="267"/>
      <c r="DT68" s="267"/>
      <c r="DU68" s="267"/>
      <c r="DV68" s="267"/>
      <c r="DW68" s="267"/>
      <c r="DX68" s="268"/>
      <c r="DY68" s="266"/>
      <c r="DZ68" s="267"/>
      <c r="EA68" s="267"/>
      <c r="EB68" s="267"/>
      <c r="EC68" s="267"/>
      <c r="ED68" s="267"/>
      <c r="EE68" s="267"/>
      <c r="EF68" s="268"/>
    </row>
    <row r="69" spans="1:136" s="42" customFormat="1" ht="50.1" customHeight="1">
      <c r="A69" s="134">
        <f>IF(B69&lt;&gt;"",COUNTA($B$8:B69),"")</f>
        <v>60</v>
      </c>
      <c r="B69" s="266" t="s">
        <v>189</v>
      </c>
      <c r="C69" s="267"/>
      <c r="D69" s="267"/>
      <c r="E69" s="267"/>
      <c r="F69" s="267"/>
      <c r="G69" s="267"/>
      <c r="H69" s="267"/>
      <c r="I69" s="267"/>
      <c r="J69" s="269"/>
      <c r="K69" s="262" t="s">
        <v>204</v>
      </c>
      <c r="L69" s="270"/>
      <c r="M69" s="302"/>
      <c r="N69" s="303"/>
      <c r="O69" s="262"/>
      <c r="P69" s="270"/>
      <c r="Q69" s="262" t="s">
        <v>207</v>
      </c>
      <c r="R69" s="279"/>
      <c r="S69" s="270"/>
      <c r="T69" s="262" t="s">
        <v>209</v>
      </c>
      <c r="U69" s="279"/>
      <c r="V69" s="270"/>
      <c r="W69" s="280" t="s">
        <v>207</v>
      </c>
      <c r="X69" s="281"/>
      <c r="Y69" s="282"/>
      <c r="Z69" s="280">
        <v>100</v>
      </c>
      <c r="AA69" s="281"/>
      <c r="AB69" s="282"/>
      <c r="AC69" s="304"/>
      <c r="AD69" s="305"/>
      <c r="AE69" s="273" t="s">
        <v>243</v>
      </c>
      <c r="AF69" s="274"/>
      <c r="AG69" s="274"/>
      <c r="AH69" s="274"/>
      <c r="AI69" s="274"/>
      <c r="AJ69" s="274"/>
      <c r="AK69" s="274"/>
      <c r="AL69" s="275"/>
      <c r="AM69" s="306" t="s">
        <v>189</v>
      </c>
      <c r="AN69" s="306"/>
      <c r="AO69" s="306"/>
      <c r="AP69" s="306"/>
      <c r="AQ69" s="306"/>
      <c r="AR69" s="306"/>
      <c r="AS69" s="306"/>
      <c r="AT69" s="307"/>
      <c r="AU69" s="266"/>
      <c r="AV69" s="267"/>
      <c r="AW69" s="267"/>
      <c r="AX69" s="267"/>
      <c r="AY69" s="267"/>
      <c r="AZ69" s="267"/>
      <c r="BA69" s="267"/>
      <c r="BB69" s="267"/>
      <c r="BC69" s="267"/>
      <c r="BD69" s="268"/>
      <c r="BE69" s="266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  <c r="BP69" s="267"/>
      <c r="BQ69" s="267"/>
      <c r="BR69" s="267"/>
      <c r="BS69" s="266" t="s">
        <v>329</v>
      </c>
      <c r="BT69" s="267"/>
      <c r="BU69" s="267"/>
      <c r="BV69" s="267"/>
      <c r="BW69" s="267"/>
      <c r="BX69" s="267"/>
      <c r="BY69" s="267"/>
      <c r="BZ69" s="267"/>
      <c r="CA69" s="267"/>
      <c r="CB69" s="268"/>
      <c r="CC69" s="266"/>
      <c r="CD69" s="267"/>
      <c r="CE69" s="267"/>
      <c r="CF69" s="267"/>
      <c r="CG69" s="267"/>
      <c r="CH69" s="267"/>
      <c r="CI69" s="267"/>
      <c r="CJ69" s="267"/>
      <c r="CK69" s="267"/>
      <c r="CL69" s="267"/>
      <c r="CM69" s="267"/>
      <c r="CN69" s="267"/>
      <c r="CO69" s="267"/>
      <c r="CP69" s="267"/>
      <c r="CQ69" s="267"/>
      <c r="CR69" s="267"/>
      <c r="CS69" s="268"/>
      <c r="CT69" s="266"/>
      <c r="CU69" s="267"/>
      <c r="CV69" s="267"/>
      <c r="CW69" s="267"/>
      <c r="CX69" s="267"/>
      <c r="CY69" s="267"/>
      <c r="CZ69" s="267"/>
      <c r="DA69" s="267"/>
      <c r="DB69" s="267"/>
      <c r="DC69" s="268"/>
      <c r="DD69" s="266"/>
      <c r="DE69" s="267"/>
      <c r="DF69" s="267"/>
      <c r="DG69" s="267"/>
      <c r="DH69" s="267"/>
      <c r="DI69" s="267"/>
      <c r="DJ69" s="267"/>
      <c r="DK69" s="267"/>
      <c r="DL69" s="267"/>
      <c r="DM69" s="268"/>
      <c r="DN69" s="266" t="s">
        <v>344</v>
      </c>
      <c r="DO69" s="267"/>
      <c r="DP69" s="267"/>
      <c r="DQ69" s="267"/>
      <c r="DR69" s="267"/>
      <c r="DS69" s="267"/>
      <c r="DT69" s="267"/>
      <c r="DU69" s="267"/>
      <c r="DV69" s="267"/>
      <c r="DW69" s="267"/>
      <c r="DX69" s="268"/>
      <c r="DY69" s="266"/>
      <c r="DZ69" s="267"/>
      <c r="EA69" s="267"/>
      <c r="EB69" s="267"/>
      <c r="EC69" s="267"/>
      <c r="ED69" s="267"/>
      <c r="EE69" s="267"/>
      <c r="EF69" s="268"/>
    </row>
    <row r="70" spans="1:136" s="42" customFormat="1" ht="50.1" customHeight="1">
      <c r="A70" s="134">
        <f>IF(B70&lt;&gt;"",COUNTA($B$8:B70),"")</f>
        <v>61</v>
      </c>
      <c r="B70" s="266" t="s">
        <v>190</v>
      </c>
      <c r="C70" s="267"/>
      <c r="D70" s="267"/>
      <c r="E70" s="267"/>
      <c r="F70" s="267"/>
      <c r="G70" s="267"/>
      <c r="H70" s="267"/>
      <c r="I70" s="267"/>
      <c r="J70" s="269"/>
      <c r="K70" s="262" t="s">
        <v>204</v>
      </c>
      <c r="L70" s="270"/>
      <c r="M70" s="302"/>
      <c r="N70" s="303"/>
      <c r="O70" s="262"/>
      <c r="P70" s="270"/>
      <c r="Q70" s="262" t="s">
        <v>207</v>
      </c>
      <c r="R70" s="279"/>
      <c r="S70" s="270"/>
      <c r="T70" s="262" t="s">
        <v>208</v>
      </c>
      <c r="U70" s="279"/>
      <c r="V70" s="270"/>
      <c r="W70" s="280" t="s">
        <v>207</v>
      </c>
      <c r="X70" s="281"/>
      <c r="Y70" s="282"/>
      <c r="Z70" s="280">
        <v>10</v>
      </c>
      <c r="AA70" s="281"/>
      <c r="AB70" s="282"/>
      <c r="AC70" s="304"/>
      <c r="AD70" s="305"/>
      <c r="AE70" s="273" t="s">
        <v>243</v>
      </c>
      <c r="AF70" s="274"/>
      <c r="AG70" s="274"/>
      <c r="AH70" s="274"/>
      <c r="AI70" s="274"/>
      <c r="AJ70" s="274"/>
      <c r="AK70" s="274"/>
      <c r="AL70" s="275"/>
      <c r="AM70" s="306" t="s">
        <v>190</v>
      </c>
      <c r="AN70" s="306"/>
      <c r="AO70" s="306"/>
      <c r="AP70" s="306"/>
      <c r="AQ70" s="306"/>
      <c r="AR70" s="306"/>
      <c r="AS70" s="306"/>
      <c r="AT70" s="307"/>
      <c r="AU70" s="266"/>
      <c r="AV70" s="267"/>
      <c r="AW70" s="267"/>
      <c r="AX70" s="267"/>
      <c r="AY70" s="267"/>
      <c r="AZ70" s="267"/>
      <c r="BA70" s="267"/>
      <c r="BB70" s="267"/>
      <c r="BC70" s="267"/>
      <c r="BD70" s="268"/>
      <c r="BE70" s="266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  <c r="BP70" s="267"/>
      <c r="BQ70" s="267"/>
      <c r="BR70" s="267"/>
      <c r="BS70" s="266" t="s">
        <v>330</v>
      </c>
      <c r="BT70" s="267"/>
      <c r="BU70" s="267"/>
      <c r="BV70" s="267"/>
      <c r="BW70" s="267"/>
      <c r="BX70" s="267"/>
      <c r="BY70" s="267"/>
      <c r="BZ70" s="267"/>
      <c r="CA70" s="267"/>
      <c r="CB70" s="268"/>
      <c r="CC70" s="266"/>
      <c r="CD70" s="267"/>
      <c r="CE70" s="267"/>
      <c r="CF70" s="267"/>
      <c r="CG70" s="267"/>
      <c r="CH70" s="267"/>
      <c r="CI70" s="267"/>
      <c r="CJ70" s="267"/>
      <c r="CK70" s="267"/>
      <c r="CL70" s="267"/>
      <c r="CM70" s="267"/>
      <c r="CN70" s="267"/>
      <c r="CO70" s="267"/>
      <c r="CP70" s="267"/>
      <c r="CQ70" s="267"/>
      <c r="CR70" s="267"/>
      <c r="CS70" s="268"/>
      <c r="CT70" s="266"/>
      <c r="CU70" s="267"/>
      <c r="CV70" s="267"/>
      <c r="CW70" s="267"/>
      <c r="CX70" s="267"/>
      <c r="CY70" s="267"/>
      <c r="CZ70" s="267"/>
      <c r="DA70" s="267"/>
      <c r="DB70" s="267"/>
      <c r="DC70" s="268"/>
      <c r="DD70" s="266"/>
      <c r="DE70" s="267"/>
      <c r="DF70" s="267"/>
      <c r="DG70" s="267"/>
      <c r="DH70" s="267"/>
      <c r="DI70" s="267"/>
      <c r="DJ70" s="267"/>
      <c r="DK70" s="267"/>
      <c r="DL70" s="267"/>
      <c r="DM70" s="268"/>
      <c r="DN70" s="266" t="s">
        <v>345</v>
      </c>
      <c r="DO70" s="267"/>
      <c r="DP70" s="267"/>
      <c r="DQ70" s="267"/>
      <c r="DR70" s="267"/>
      <c r="DS70" s="267"/>
      <c r="DT70" s="267"/>
      <c r="DU70" s="267"/>
      <c r="DV70" s="267"/>
      <c r="DW70" s="267"/>
      <c r="DX70" s="268"/>
      <c r="DY70" s="266"/>
      <c r="DZ70" s="267"/>
      <c r="EA70" s="267"/>
      <c r="EB70" s="267"/>
      <c r="EC70" s="267"/>
      <c r="ED70" s="267"/>
      <c r="EE70" s="267"/>
      <c r="EF70" s="268"/>
    </row>
    <row r="71" spans="1:136" s="42" customFormat="1" ht="50.1" customHeight="1">
      <c r="A71" s="134">
        <f>IF(B71&lt;&gt;"",COUNTA($B$8:B71),"")</f>
        <v>62</v>
      </c>
      <c r="B71" s="266" t="s">
        <v>191</v>
      </c>
      <c r="C71" s="267"/>
      <c r="D71" s="267"/>
      <c r="E71" s="267"/>
      <c r="F71" s="267"/>
      <c r="G71" s="267"/>
      <c r="H71" s="267"/>
      <c r="I71" s="267"/>
      <c r="J71" s="269"/>
      <c r="K71" s="262" t="s">
        <v>204</v>
      </c>
      <c r="L71" s="270"/>
      <c r="M71" s="302"/>
      <c r="N71" s="303"/>
      <c r="O71" s="262"/>
      <c r="P71" s="270"/>
      <c r="Q71" s="262" t="s">
        <v>207</v>
      </c>
      <c r="R71" s="279"/>
      <c r="S71" s="270"/>
      <c r="T71" s="262" t="s">
        <v>210</v>
      </c>
      <c r="U71" s="279"/>
      <c r="V71" s="270"/>
      <c r="W71" s="280" t="s">
        <v>207</v>
      </c>
      <c r="X71" s="281"/>
      <c r="Y71" s="282"/>
      <c r="Z71" s="280" t="s">
        <v>250</v>
      </c>
      <c r="AA71" s="281"/>
      <c r="AB71" s="282"/>
      <c r="AC71" s="283"/>
      <c r="AD71" s="305"/>
      <c r="AE71" s="273" t="s">
        <v>243</v>
      </c>
      <c r="AF71" s="274"/>
      <c r="AG71" s="274"/>
      <c r="AH71" s="274"/>
      <c r="AI71" s="274"/>
      <c r="AJ71" s="274"/>
      <c r="AK71" s="274"/>
      <c r="AL71" s="275"/>
      <c r="AM71" s="306" t="s">
        <v>191</v>
      </c>
      <c r="AN71" s="306"/>
      <c r="AO71" s="306"/>
      <c r="AP71" s="306"/>
      <c r="AQ71" s="306"/>
      <c r="AR71" s="306"/>
      <c r="AS71" s="306"/>
      <c r="AT71" s="307"/>
      <c r="AU71" s="285"/>
      <c r="AV71" s="286"/>
      <c r="AW71" s="286"/>
      <c r="AX71" s="286"/>
      <c r="AY71" s="286"/>
      <c r="AZ71" s="286"/>
      <c r="BA71" s="286"/>
      <c r="BB71" s="286"/>
      <c r="BC71" s="286"/>
      <c r="BD71" s="287"/>
      <c r="BE71" s="266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  <c r="BP71" s="267"/>
      <c r="BQ71" s="267"/>
      <c r="BR71" s="267"/>
      <c r="BS71" s="266" t="s">
        <v>331</v>
      </c>
      <c r="BT71" s="267"/>
      <c r="BU71" s="267"/>
      <c r="BV71" s="267"/>
      <c r="BW71" s="267"/>
      <c r="BX71" s="267"/>
      <c r="BY71" s="267"/>
      <c r="BZ71" s="267"/>
      <c r="CA71" s="267"/>
      <c r="CB71" s="268"/>
      <c r="CC71" s="266"/>
      <c r="CD71" s="267"/>
      <c r="CE71" s="267"/>
      <c r="CF71" s="267"/>
      <c r="CG71" s="267"/>
      <c r="CH71" s="267"/>
      <c r="CI71" s="267"/>
      <c r="CJ71" s="267"/>
      <c r="CK71" s="267"/>
      <c r="CL71" s="267"/>
      <c r="CM71" s="267"/>
      <c r="CN71" s="267"/>
      <c r="CO71" s="267"/>
      <c r="CP71" s="267"/>
      <c r="CQ71" s="267"/>
      <c r="CR71" s="267"/>
      <c r="CS71" s="268"/>
      <c r="CT71" s="266"/>
      <c r="CU71" s="267"/>
      <c r="CV71" s="267"/>
      <c r="CW71" s="267"/>
      <c r="CX71" s="267"/>
      <c r="CY71" s="267"/>
      <c r="CZ71" s="267"/>
      <c r="DA71" s="267"/>
      <c r="DB71" s="267"/>
      <c r="DC71" s="268"/>
      <c r="DD71" s="266"/>
      <c r="DE71" s="267"/>
      <c r="DF71" s="267"/>
      <c r="DG71" s="267"/>
      <c r="DH71" s="267"/>
      <c r="DI71" s="267"/>
      <c r="DJ71" s="267"/>
      <c r="DK71" s="267"/>
      <c r="DL71" s="267"/>
      <c r="DM71" s="268"/>
      <c r="DN71" s="266" t="s">
        <v>346</v>
      </c>
      <c r="DO71" s="267"/>
      <c r="DP71" s="267"/>
      <c r="DQ71" s="267"/>
      <c r="DR71" s="267"/>
      <c r="DS71" s="267"/>
      <c r="DT71" s="267"/>
      <c r="DU71" s="267"/>
      <c r="DV71" s="267"/>
      <c r="DW71" s="267"/>
      <c r="DX71" s="268"/>
      <c r="DY71" s="266"/>
      <c r="DZ71" s="267"/>
      <c r="EA71" s="267"/>
      <c r="EB71" s="267"/>
      <c r="EC71" s="267"/>
      <c r="ED71" s="267"/>
      <c r="EE71" s="267"/>
      <c r="EF71" s="268"/>
    </row>
    <row r="72" spans="1:136" s="42" customFormat="1" ht="50.1" customHeight="1">
      <c r="A72" s="134">
        <f>IF(B72&lt;&gt;"",COUNTA($B$8:B72),"")</f>
        <v>63</v>
      </c>
      <c r="B72" s="266" t="s">
        <v>192</v>
      </c>
      <c r="C72" s="267"/>
      <c r="D72" s="267"/>
      <c r="E72" s="267"/>
      <c r="F72" s="267"/>
      <c r="G72" s="267"/>
      <c r="H72" s="267"/>
      <c r="I72" s="267"/>
      <c r="J72" s="269"/>
      <c r="K72" s="262" t="s">
        <v>204</v>
      </c>
      <c r="L72" s="270"/>
      <c r="M72" s="302"/>
      <c r="N72" s="303"/>
      <c r="O72" s="262"/>
      <c r="P72" s="270"/>
      <c r="Q72" s="262" t="s">
        <v>207</v>
      </c>
      <c r="R72" s="279"/>
      <c r="S72" s="270"/>
      <c r="T72" s="262" t="s">
        <v>209</v>
      </c>
      <c r="U72" s="279"/>
      <c r="V72" s="270"/>
      <c r="W72" s="280" t="s">
        <v>207</v>
      </c>
      <c r="X72" s="281"/>
      <c r="Y72" s="282"/>
      <c r="Z72" s="280">
        <v>100</v>
      </c>
      <c r="AA72" s="281"/>
      <c r="AB72" s="282"/>
      <c r="AC72" s="283"/>
      <c r="AD72" s="305"/>
      <c r="AE72" s="273" t="s">
        <v>243</v>
      </c>
      <c r="AF72" s="274"/>
      <c r="AG72" s="274"/>
      <c r="AH72" s="274"/>
      <c r="AI72" s="274"/>
      <c r="AJ72" s="274"/>
      <c r="AK72" s="274"/>
      <c r="AL72" s="275"/>
      <c r="AM72" s="306" t="s">
        <v>192</v>
      </c>
      <c r="AN72" s="306"/>
      <c r="AO72" s="306"/>
      <c r="AP72" s="306"/>
      <c r="AQ72" s="306"/>
      <c r="AR72" s="306"/>
      <c r="AS72" s="306"/>
      <c r="AT72" s="307"/>
      <c r="AU72" s="266"/>
      <c r="AV72" s="267"/>
      <c r="AW72" s="267"/>
      <c r="AX72" s="267"/>
      <c r="AY72" s="267"/>
      <c r="AZ72" s="267"/>
      <c r="BA72" s="267"/>
      <c r="BB72" s="267"/>
      <c r="BC72" s="267"/>
      <c r="BD72" s="268"/>
      <c r="BE72" s="266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  <c r="BP72" s="267"/>
      <c r="BQ72" s="267"/>
      <c r="BR72" s="267"/>
      <c r="BS72" s="266" t="s">
        <v>332</v>
      </c>
      <c r="BT72" s="267"/>
      <c r="BU72" s="267"/>
      <c r="BV72" s="267"/>
      <c r="BW72" s="267"/>
      <c r="BX72" s="267"/>
      <c r="BY72" s="267"/>
      <c r="BZ72" s="267"/>
      <c r="CA72" s="267"/>
      <c r="CB72" s="268"/>
      <c r="CC72" s="266"/>
      <c r="CD72" s="267"/>
      <c r="CE72" s="267"/>
      <c r="CF72" s="267"/>
      <c r="CG72" s="267"/>
      <c r="CH72" s="267"/>
      <c r="CI72" s="267"/>
      <c r="CJ72" s="267"/>
      <c r="CK72" s="267"/>
      <c r="CL72" s="267"/>
      <c r="CM72" s="267"/>
      <c r="CN72" s="267"/>
      <c r="CO72" s="267"/>
      <c r="CP72" s="267"/>
      <c r="CQ72" s="267"/>
      <c r="CR72" s="267"/>
      <c r="CS72" s="268"/>
      <c r="CT72" s="266"/>
      <c r="CU72" s="267"/>
      <c r="CV72" s="267"/>
      <c r="CW72" s="267"/>
      <c r="CX72" s="267"/>
      <c r="CY72" s="267"/>
      <c r="CZ72" s="267"/>
      <c r="DA72" s="267"/>
      <c r="DB72" s="267"/>
      <c r="DC72" s="268"/>
      <c r="DD72" s="266"/>
      <c r="DE72" s="267"/>
      <c r="DF72" s="267"/>
      <c r="DG72" s="267"/>
      <c r="DH72" s="267"/>
      <c r="DI72" s="267"/>
      <c r="DJ72" s="267"/>
      <c r="DK72" s="267"/>
      <c r="DL72" s="267"/>
      <c r="DM72" s="268"/>
      <c r="DN72" s="266" t="s">
        <v>347</v>
      </c>
      <c r="DO72" s="267"/>
      <c r="DP72" s="267"/>
      <c r="DQ72" s="267"/>
      <c r="DR72" s="267"/>
      <c r="DS72" s="267"/>
      <c r="DT72" s="267"/>
      <c r="DU72" s="267"/>
      <c r="DV72" s="267"/>
      <c r="DW72" s="267"/>
      <c r="DX72" s="268"/>
      <c r="DY72" s="266"/>
      <c r="DZ72" s="267"/>
      <c r="EA72" s="267"/>
      <c r="EB72" s="267"/>
      <c r="EC72" s="267"/>
      <c r="ED72" s="267"/>
      <c r="EE72" s="267"/>
      <c r="EF72" s="268"/>
    </row>
    <row r="73" spans="1:136" s="42" customFormat="1" ht="50.1" customHeight="1">
      <c r="A73" s="134">
        <f>IF(B73&lt;&gt;"",COUNTA($B$8:B73),"")</f>
        <v>64</v>
      </c>
      <c r="B73" s="266" t="s">
        <v>193</v>
      </c>
      <c r="C73" s="267"/>
      <c r="D73" s="267"/>
      <c r="E73" s="267"/>
      <c r="F73" s="267"/>
      <c r="G73" s="267"/>
      <c r="H73" s="267"/>
      <c r="I73" s="267"/>
      <c r="J73" s="269"/>
      <c r="K73" s="262" t="s">
        <v>204</v>
      </c>
      <c r="L73" s="270"/>
      <c r="M73" s="302"/>
      <c r="N73" s="303"/>
      <c r="O73" s="262"/>
      <c r="P73" s="270"/>
      <c r="Q73" s="262" t="s">
        <v>207</v>
      </c>
      <c r="R73" s="279"/>
      <c r="S73" s="270"/>
      <c r="T73" s="262" t="s">
        <v>208</v>
      </c>
      <c r="U73" s="279"/>
      <c r="V73" s="270"/>
      <c r="W73" s="280" t="s">
        <v>207</v>
      </c>
      <c r="X73" s="281"/>
      <c r="Y73" s="282"/>
      <c r="Z73" s="280">
        <v>10</v>
      </c>
      <c r="AA73" s="281"/>
      <c r="AB73" s="282"/>
      <c r="AC73" s="304"/>
      <c r="AD73" s="305"/>
      <c r="AE73" s="273" t="s">
        <v>243</v>
      </c>
      <c r="AF73" s="274"/>
      <c r="AG73" s="274"/>
      <c r="AH73" s="274"/>
      <c r="AI73" s="274"/>
      <c r="AJ73" s="274"/>
      <c r="AK73" s="274"/>
      <c r="AL73" s="275"/>
      <c r="AM73" s="306" t="s">
        <v>193</v>
      </c>
      <c r="AN73" s="306"/>
      <c r="AO73" s="306"/>
      <c r="AP73" s="306"/>
      <c r="AQ73" s="306"/>
      <c r="AR73" s="306"/>
      <c r="AS73" s="306"/>
      <c r="AT73" s="307"/>
      <c r="AU73" s="266"/>
      <c r="AV73" s="267"/>
      <c r="AW73" s="267"/>
      <c r="AX73" s="267"/>
      <c r="AY73" s="267"/>
      <c r="AZ73" s="267"/>
      <c r="BA73" s="267"/>
      <c r="BB73" s="267"/>
      <c r="BC73" s="267"/>
      <c r="BD73" s="268"/>
      <c r="BE73" s="266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  <c r="BP73" s="267"/>
      <c r="BQ73" s="267"/>
      <c r="BR73" s="267"/>
      <c r="BS73" s="266" t="s">
        <v>333</v>
      </c>
      <c r="BT73" s="267"/>
      <c r="BU73" s="267"/>
      <c r="BV73" s="267"/>
      <c r="BW73" s="267"/>
      <c r="BX73" s="267"/>
      <c r="BY73" s="267"/>
      <c r="BZ73" s="267"/>
      <c r="CA73" s="267"/>
      <c r="CB73" s="268"/>
      <c r="CC73" s="266"/>
      <c r="CD73" s="267"/>
      <c r="CE73" s="267"/>
      <c r="CF73" s="267"/>
      <c r="CG73" s="267"/>
      <c r="CH73" s="267"/>
      <c r="CI73" s="267"/>
      <c r="CJ73" s="267"/>
      <c r="CK73" s="267"/>
      <c r="CL73" s="267"/>
      <c r="CM73" s="267"/>
      <c r="CN73" s="267"/>
      <c r="CO73" s="267"/>
      <c r="CP73" s="267"/>
      <c r="CQ73" s="267"/>
      <c r="CR73" s="267"/>
      <c r="CS73" s="268"/>
      <c r="CT73" s="266"/>
      <c r="CU73" s="267"/>
      <c r="CV73" s="267"/>
      <c r="CW73" s="267"/>
      <c r="CX73" s="267"/>
      <c r="CY73" s="267"/>
      <c r="CZ73" s="267"/>
      <c r="DA73" s="267"/>
      <c r="DB73" s="267"/>
      <c r="DC73" s="268"/>
      <c r="DD73" s="266"/>
      <c r="DE73" s="267"/>
      <c r="DF73" s="267"/>
      <c r="DG73" s="267"/>
      <c r="DH73" s="267"/>
      <c r="DI73" s="267"/>
      <c r="DJ73" s="267"/>
      <c r="DK73" s="267"/>
      <c r="DL73" s="267"/>
      <c r="DM73" s="268"/>
      <c r="DN73" s="266" t="s">
        <v>348</v>
      </c>
      <c r="DO73" s="267"/>
      <c r="DP73" s="267"/>
      <c r="DQ73" s="267"/>
      <c r="DR73" s="267"/>
      <c r="DS73" s="267"/>
      <c r="DT73" s="267"/>
      <c r="DU73" s="267"/>
      <c r="DV73" s="267"/>
      <c r="DW73" s="267"/>
      <c r="DX73" s="268"/>
      <c r="DY73" s="266"/>
      <c r="DZ73" s="267"/>
      <c r="EA73" s="267"/>
      <c r="EB73" s="267"/>
      <c r="EC73" s="267"/>
      <c r="ED73" s="267"/>
      <c r="EE73" s="267"/>
      <c r="EF73" s="268"/>
    </row>
    <row r="74" spans="1:136" s="42" customFormat="1" ht="50.1" customHeight="1">
      <c r="A74" s="134">
        <f>IF(B74&lt;&gt;"",COUNTA($B$8:B74),"")</f>
        <v>65</v>
      </c>
      <c r="B74" s="319" t="s">
        <v>194</v>
      </c>
      <c r="C74" s="320"/>
      <c r="D74" s="320"/>
      <c r="E74" s="320"/>
      <c r="F74" s="320"/>
      <c r="G74" s="320"/>
      <c r="H74" s="320"/>
      <c r="I74" s="320"/>
      <c r="J74" s="321"/>
      <c r="K74" s="262" t="s">
        <v>204</v>
      </c>
      <c r="L74" s="270"/>
      <c r="M74" s="302"/>
      <c r="N74" s="303"/>
      <c r="O74" s="262"/>
      <c r="P74" s="270"/>
      <c r="Q74" s="262" t="s">
        <v>207</v>
      </c>
      <c r="R74" s="279"/>
      <c r="S74" s="270"/>
      <c r="T74" s="262" t="s">
        <v>210</v>
      </c>
      <c r="U74" s="279"/>
      <c r="V74" s="270"/>
      <c r="W74" s="280" t="s">
        <v>207</v>
      </c>
      <c r="X74" s="281"/>
      <c r="Y74" s="282"/>
      <c r="Z74" s="334" t="s">
        <v>250</v>
      </c>
      <c r="AA74" s="335"/>
      <c r="AB74" s="336"/>
      <c r="AC74" s="304"/>
      <c r="AD74" s="305"/>
      <c r="AE74" s="273" t="s">
        <v>243</v>
      </c>
      <c r="AF74" s="274"/>
      <c r="AG74" s="274"/>
      <c r="AH74" s="274"/>
      <c r="AI74" s="274"/>
      <c r="AJ74" s="274"/>
      <c r="AK74" s="274"/>
      <c r="AL74" s="275"/>
      <c r="AM74" s="306" t="s">
        <v>194</v>
      </c>
      <c r="AN74" s="306"/>
      <c r="AO74" s="306"/>
      <c r="AP74" s="306"/>
      <c r="AQ74" s="306"/>
      <c r="AR74" s="306"/>
      <c r="AS74" s="306"/>
      <c r="AT74" s="307"/>
      <c r="AU74" s="285"/>
      <c r="AV74" s="267"/>
      <c r="AW74" s="267"/>
      <c r="AX74" s="267"/>
      <c r="AY74" s="267"/>
      <c r="AZ74" s="267"/>
      <c r="BA74" s="267"/>
      <c r="BB74" s="267"/>
      <c r="BC74" s="267"/>
      <c r="BD74" s="268"/>
      <c r="BE74" s="266"/>
      <c r="BF74" s="267"/>
      <c r="BG74" s="267"/>
      <c r="BH74" s="267"/>
      <c r="BI74" s="267"/>
      <c r="BJ74" s="267"/>
      <c r="BK74" s="267"/>
      <c r="BL74" s="267"/>
      <c r="BM74" s="267"/>
      <c r="BN74" s="267"/>
      <c r="BO74" s="267"/>
      <c r="BP74" s="267"/>
      <c r="BQ74" s="267"/>
      <c r="BR74" s="267"/>
      <c r="BS74" s="266" t="s">
        <v>334</v>
      </c>
      <c r="BT74" s="267"/>
      <c r="BU74" s="267"/>
      <c r="BV74" s="267"/>
      <c r="BW74" s="267"/>
      <c r="BX74" s="267"/>
      <c r="BY74" s="267"/>
      <c r="BZ74" s="267"/>
      <c r="CA74" s="267"/>
      <c r="CB74" s="268"/>
      <c r="CC74" s="266"/>
      <c r="CD74" s="267"/>
      <c r="CE74" s="267"/>
      <c r="CF74" s="267"/>
      <c r="CG74" s="267"/>
      <c r="CH74" s="267"/>
      <c r="CI74" s="267"/>
      <c r="CJ74" s="267"/>
      <c r="CK74" s="267"/>
      <c r="CL74" s="267"/>
      <c r="CM74" s="267"/>
      <c r="CN74" s="267"/>
      <c r="CO74" s="267"/>
      <c r="CP74" s="267"/>
      <c r="CQ74" s="267"/>
      <c r="CR74" s="267"/>
      <c r="CS74" s="268"/>
      <c r="CT74" s="266"/>
      <c r="CU74" s="267"/>
      <c r="CV74" s="267"/>
      <c r="CW74" s="267"/>
      <c r="CX74" s="267"/>
      <c r="CY74" s="267"/>
      <c r="CZ74" s="267"/>
      <c r="DA74" s="267"/>
      <c r="DB74" s="267"/>
      <c r="DC74" s="268"/>
      <c r="DD74" s="266"/>
      <c r="DE74" s="267"/>
      <c r="DF74" s="267"/>
      <c r="DG74" s="267"/>
      <c r="DH74" s="267"/>
      <c r="DI74" s="267"/>
      <c r="DJ74" s="267"/>
      <c r="DK74" s="267"/>
      <c r="DL74" s="267"/>
      <c r="DM74" s="268"/>
      <c r="DN74" s="266" t="s">
        <v>349</v>
      </c>
      <c r="DO74" s="267"/>
      <c r="DP74" s="267"/>
      <c r="DQ74" s="267"/>
      <c r="DR74" s="267"/>
      <c r="DS74" s="267"/>
      <c r="DT74" s="267"/>
      <c r="DU74" s="267"/>
      <c r="DV74" s="267"/>
      <c r="DW74" s="267"/>
      <c r="DX74" s="268"/>
      <c r="DY74" s="266"/>
      <c r="DZ74" s="267"/>
      <c r="EA74" s="267"/>
      <c r="EB74" s="267"/>
      <c r="EC74" s="267"/>
      <c r="ED74" s="267"/>
      <c r="EE74" s="267"/>
      <c r="EF74" s="268"/>
    </row>
    <row r="75" spans="1:136" s="42" customFormat="1" ht="50.1" customHeight="1">
      <c r="A75" s="134">
        <f>IF(B75&lt;&gt;"",COUNTA($B$8:B75),"")</f>
        <v>66</v>
      </c>
      <c r="B75" s="266" t="s">
        <v>195</v>
      </c>
      <c r="C75" s="267"/>
      <c r="D75" s="267"/>
      <c r="E75" s="267"/>
      <c r="F75" s="267"/>
      <c r="G75" s="267"/>
      <c r="H75" s="267"/>
      <c r="I75" s="267"/>
      <c r="J75" s="269"/>
      <c r="K75" s="262" t="s">
        <v>204</v>
      </c>
      <c r="L75" s="270"/>
      <c r="M75" s="302"/>
      <c r="N75" s="303"/>
      <c r="O75" s="262"/>
      <c r="P75" s="270"/>
      <c r="Q75" s="262" t="s">
        <v>207</v>
      </c>
      <c r="R75" s="279"/>
      <c r="S75" s="270"/>
      <c r="T75" s="262" t="s">
        <v>209</v>
      </c>
      <c r="U75" s="279"/>
      <c r="V75" s="270"/>
      <c r="W75" s="280" t="s">
        <v>207</v>
      </c>
      <c r="X75" s="281"/>
      <c r="Y75" s="282"/>
      <c r="Z75" s="280">
        <v>100</v>
      </c>
      <c r="AA75" s="281"/>
      <c r="AB75" s="282"/>
      <c r="AC75" s="304"/>
      <c r="AD75" s="305"/>
      <c r="AE75" s="273" t="s">
        <v>243</v>
      </c>
      <c r="AF75" s="274"/>
      <c r="AG75" s="274"/>
      <c r="AH75" s="274"/>
      <c r="AI75" s="274"/>
      <c r="AJ75" s="274"/>
      <c r="AK75" s="274"/>
      <c r="AL75" s="275"/>
      <c r="AM75" s="306" t="s">
        <v>195</v>
      </c>
      <c r="AN75" s="306"/>
      <c r="AO75" s="306"/>
      <c r="AP75" s="306"/>
      <c r="AQ75" s="306"/>
      <c r="AR75" s="306"/>
      <c r="AS75" s="306"/>
      <c r="AT75" s="307"/>
      <c r="AU75" s="266"/>
      <c r="AV75" s="267"/>
      <c r="AW75" s="267"/>
      <c r="AX75" s="267"/>
      <c r="AY75" s="267"/>
      <c r="AZ75" s="267"/>
      <c r="BA75" s="267"/>
      <c r="BB75" s="267"/>
      <c r="BC75" s="267"/>
      <c r="BD75" s="268"/>
      <c r="BE75" s="266"/>
      <c r="BF75" s="267"/>
      <c r="BG75" s="267"/>
      <c r="BH75" s="267"/>
      <c r="BI75" s="267"/>
      <c r="BJ75" s="267"/>
      <c r="BK75" s="267"/>
      <c r="BL75" s="267"/>
      <c r="BM75" s="267"/>
      <c r="BN75" s="267"/>
      <c r="BO75" s="267"/>
      <c r="BP75" s="267"/>
      <c r="BQ75" s="267"/>
      <c r="BR75" s="267"/>
      <c r="BS75" s="266" t="s">
        <v>335</v>
      </c>
      <c r="BT75" s="267"/>
      <c r="BU75" s="267"/>
      <c r="BV75" s="267"/>
      <c r="BW75" s="267"/>
      <c r="BX75" s="267"/>
      <c r="BY75" s="267"/>
      <c r="BZ75" s="267"/>
      <c r="CA75" s="267"/>
      <c r="CB75" s="268"/>
      <c r="CC75" s="266"/>
      <c r="CD75" s="267"/>
      <c r="CE75" s="267"/>
      <c r="CF75" s="267"/>
      <c r="CG75" s="267"/>
      <c r="CH75" s="267"/>
      <c r="CI75" s="267"/>
      <c r="CJ75" s="267"/>
      <c r="CK75" s="267"/>
      <c r="CL75" s="267"/>
      <c r="CM75" s="267"/>
      <c r="CN75" s="267"/>
      <c r="CO75" s="267"/>
      <c r="CP75" s="267"/>
      <c r="CQ75" s="267"/>
      <c r="CR75" s="267"/>
      <c r="CS75" s="268"/>
      <c r="CT75" s="266"/>
      <c r="CU75" s="267"/>
      <c r="CV75" s="267"/>
      <c r="CW75" s="267"/>
      <c r="CX75" s="267"/>
      <c r="CY75" s="267"/>
      <c r="CZ75" s="267"/>
      <c r="DA75" s="267"/>
      <c r="DB75" s="267"/>
      <c r="DC75" s="268"/>
      <c r="DD75" s="266"/>
      <c r="DE75" s="267"/>
      <c r="DF75" s="267"/>
      <c r="DG75" s="267"/>
      <c r="DH75" s="267"/>
      <c r="DI75" s="267"/>
      <c r="DJ75" s="267"/>
      <c r="DK75" s="267"/>
      <c r="DL75" s="267"/>
      <c r="DM75" s="268"/>
      <c r="DN75" s="266" t="s">
        <v>350</v>
      </c>
      <c r="DO75" s="267"/>
      <c r="DP75" s="267"/>
      <c r="DQ75" s="267"/>
      <c r="DR75" s="267"/>
      <c r="DS75" s="267"/>
      <c r="DT75" s="267"/>
      <c r="DU75" s="267"/>
      <c r="DV75" s="267"/>
      <c r="DW75" s="267"/>
      <c r="DX75" s="268"/>
      <c r="DY75" s="266"/>
      <c r="DZ75" s="267"/>
      <c r="EA75" s="267"/>
      <c r="EB75" s="267"/>
      <c r="EC75" s="267"/>
      <c r="ED75" s="267"/>
      <c r="EE75" s="267"/>
      <c r="EF75" s="268"/>
    </row>
    <row r="76" spans="1:136" s="42" customFormat="1" ht="50.1" customHeight="1">
      <c r="A76" s="134">
        <f>IF(B76&lt;&gt;"",COUNTA($B$8:B76),"")</f>
        <v>67</v>
      </c>
      <c r="B76" s="266" t="s">
        <v>196</v>
      </c>
      <c r="C76" s="267"/>
      <c r="D76" s="267"/>
      <c r="E76" s="267"/>
      <c r="F76" s="267"/>
      <c r="G76" s="267"/>
      <c r="H76" s="267"/>
      <c r="I76" s="267"/>
      <c r="J76" s="269"/>
      <c r="K76" s="262" t="s">
        <v>204</v>
      </c>
      <c r="L76" s="270"/>
      <c r="M76" s="302"/>
      <c r="N76" s="303"/>
      <c r="O76" s="262"/>
      <c r="P76" s="270"/>
      <c r="Q76" s="262" t="s">
        <v>207</v>
      </c>
      <c r="R76" s="279"/>
      <c r="S76" s="270"/>
      <c r="T76" s="262" t="s">
        <v>208</v>
      </c>
      <c r="U76" s="279"/>
      <c r="V76" s="270"/>
      <c r="W76" s="280" t="s">
        <v>207</v>
      </c>
      <c r="X76" s="281"/>
      <c r="Y76" s="282"/>
      <c r="Z76" s="280">
        <v>10</v>
      </c>
      <c r="AA76" s="281"/>
      <c r="AB76" s="282"/>
      <c r="AC76" s="304"/>
      <c r="AD76" s="305"/>
      <c r="AE76" s="273" t="s">
        <v>243</v>
      </c>
      <c r="AF76" s="274"/>
      <c r="AG76" s="274"/>
      <c r="AH76" s="274"/>
      <c r="AI76" s="274"/>
      <c r="AJ76" s="274"/>
      <c r="AK76" s="274"/>
      <c r="AL76" s="275"/>
      <c r="AM76" s="306" t="s">
        <v>196</v>
      </c>
      <c r="AN76" s="306"/>
      <c r="AO76" s="306"/>
      <c r="AP76" s="306"/>
      <c r="AQ76" s="306"/>
      <c r="AR76" s="306"/>
      <c r="AS76" s="306"/>
      <c r="AT76" s="307"/>
      <c r="AU76" s="266"/>
      <c r="AV76" s="267"/>
      <c r="AW76" s="267"/>
      <c r="AX76" s="267"/>
      <c r="AY76" s="267"/>
      <c r="AZ76" s="267"/>
      <c r="BA76" s="267"/>
      <c r="BB76" s="267"/>
      <c r="BC76" s="267"/>
      <c r="BD76" s="268"/>
      <c r="BE76" s="266"/>
      <c r="BF76" s="267"/>
      <c r="BG76" s="267"/>
      <c r="BH76" s="267"/>
      <c r="BI76" s="267"/>
      <c r="BJ76" s="267"/>
      <c r="BK76" s="267"/>
      <c r="BL76" s="267"/>
      <c r="BM76" s="267"/>
      <c r="BN76" s="267"/>
      <c r="BO76" s="267"/>
      <c r="BP76" s="267"/>
      <c r="BQ76" s="267"/>
      <c r="BR76" s="267"/>
      <c r="BS76" s="266" t="s">
        <v>336</v>
      </c>
      <c r="BT76" s="267"/>
      <c r="BU76" s="267"/>
      <c r="BV76" s="267"/>
      <c r="BW76" s="267"/>
      <c r="BX76" s="267"/>
      <c r="BY76" s="267"/>
      <c r="BZ76" s="267"/>
      <c r="CA76" s="267"/>
      <c r="CB76" s="268"/>
      <c r="CC76" s="285"/>
      <c r="CD76" s="286"/>
      <c r="CE76" s="286"/>
      <c r="CF76" s="286"/>
      <c r="CG76" s="286"/>
      <c r="CH76" s="286"/>
      <c r="CI76" s="286"/>
      <c r="CJ76" s="286"/>
      <c r="CK76" s="286"/>
      <c r="CL76" s="286"/>
      <c r="CM76" s="286"/>
      <c r="CN76" s="286"/>
      <c r="CO76" s="286"/>
      <c r="CP76" s="286"/>
      <c r="CQ76" s="286"/>
      <c r="CR76" s="286"/>
      <c r="CS76" s="287"/>
      <c r="CT76" s="266"/>
      <c r="CU76" s="267"/>
      <c r="CV76" s="267"/>
      <c r="CW76" s="267"/>
      <c r="CX76" s="267"/>
      <c r="CY76" s="267"/>
      <c r="CZ76" s="267"/>
      <c r="DA76" s="267"/>
      <c r="DB76" s="267"/>
      <c r="DC76" s="268"/>
      <c r="DD76" s="266"/>
      <c r="DE76" s="267"/>
      <c r="DF76" s="267"/>
      <c r="DG76" s="267"/>
      <c r="DH76" s="267"/>
      <c r="DI76" s="267"/>
      <c r="DJ76" s="267"/>
      <c r="DK76" s="267"/>
      <c r="DL76" s="267"/>
      <c r="DM76" s="268"/>
      <c r="DN76" s="266" t="s">
        <v>351</v>
      </c>
      <c r="DO76" s="267"/>
      <c r="DP76" s="267"/>
      <c r="DQ76" s="267"/>
      <c r="DR76" s="267"/>
      <c r="DS76" s="267"/>
      <c r="DT76" s="267"/>
      <c r="DU76" s="267"/>
      <c r="DV76" s="267"/>
      <c r="DW76" s="267"/>
      <c r="DX76" s="268"/>
      <c r="DY76" s="266"/>
      <c r="DZ76" s="267"/>
      <c r="EA76" s="267"/>
      <c r="EB76" s="267"/>
      <c r="EC76" s="267"/>
      <c r="ED76" s="267"/>
      <c r="EE76" s="267"/>
      <c r="EF76" s="268"/>
    </row>
    <row r="77" spans="1:136" s="42" customFormat="1" ht="50.1" customHeight="1">
      <c r="A77" s="134">
        <f>IF(B77&lt;&gt;"",COUNTA($B$8:B77),"")</f>
        <v>68</v>
      </c>
      <c r="B77" s="266" t="s">
        <v>197</v>
      </c>
      <c r="C77" s="267"/>
      <c r="D77" s="267"/>
      <c r="E77" s="267"/>
      <c r="F77" s="267"/>
      <c r="G77" s="267"/>
      <c r="H77" s="267"/>
      <c r="I77" s="267"/>
      <c r="J77" s="269"/>
      <c r="K77" s="262" t="s">
        <v>204</v>
      </c>
      <c r="L77" s="270"/>
      <c r="M77" s="302"/>
      <c r="N77" s="303"/>
      <c r="O77" s="262"/>
      <c r="P77" s="270"/>
      <c r="Q77" s="262" t="s">
        <v>207</v>
      </c>
      <c r="R77" s="279"/>
      <c r="S77" s="270"/>
      <c r="T77" s="262" t="s">
        <v>210</v>
      </c>
      <c r="U77" s="279"/>
      <c r="V77" s="270"/>
      <c r="W77" s="280" t="s">
        <v>207</v>
      </c>
      <c r="X77" s="281"/>
      <c r="Y77" s="282"/>
      <c r="Z77" s="280" t="s">
        <v>250</v>
      </c>
      <c r="AA77" s="281"/>
      <c r="AB77" s="282"/>
      <c r="AC77" s="304"/>
      <c r="AD77" s="305"/>
      <c r="AE77" s="273" t="s">
        <v>243</v>
      </c>
      <c r="AF77" s="274"/>
      <c r="AG77" s="274"/>
      <c r="AH77" s="274"/>
      <c r="AI77" s="274"/>
      <c r="AJ77" s="274"/>
      <c r="AK77" s="274"/>
      <c r="AL77" s="275"/>
      <c r="AM77" s="306" t="s">
        <v>197</v>
      </c>
      <c r="AN77" s="306"/>
      <c r="AO77" s="306"/>
      <c r="AP77" s="306"/>
      <c r="AQ77" s="306"/>
      <c r="AR77" s="306"/>
      <c r="AS77" s="306"/>
      <c r="AT77" s="307"/>
      <c r="AU77" s="285"/>
      <c r="AV77" s="267"/>
      <c r="AW77" s="267"/>
      <c r="AX77" s="267"/>
      <c r="AY77" s="267"/>
      <c r="AZ77" s="267"/>
      <c r="BA77" s="267"/>
      <c r="BB77" s="267"/>
      <c r="BC77" s="267"/>
      <c r="BD77" s="268"/>
      <c r="BE77" s="266"/>
      <c r="BF77" s="267"/>
      <c r="BG77" s="267"/>
      <c r="BH77" s="267"/>
      <c r="BI77" s="267"/>
      <c r="BJ77" s="267"/>
      <c r="BK77" s="267"/>
      <c r="BL77" s="267"/>
      <c r="BM77" s="267"/>
      <c r="BN77" s="267"/>
      <c r="BO77" s="267"/>
      <c r="BP77" s="267"/>
      <c r="BQ77" s="267"/>
      <c r="BR77" s="267"/>
      <c r="BS77" s="266" t="s">
        <v>337</v>
      </c>
      <c r="BT77" s="267"/>
      <c r="BU77" s="267"/>
      <c r="BV77" s="267"/>
      <c r="BW77" s="267"/>
      <c r="BX77" s="267"/>
      <c r="BY77" s="267"/>
      <c r="BZ77" s="267"/>
      <c r="CA77" s="267"/>
      <c r="CB77" s="268"/>
      <c r="CC77" s="266"/>
      <c r="CD77" s="267"/>
      <c r="CE77" s="267"/>
      <c r="CF77" s="267"/>
      <c r="CG77" s="267"/>
      <c r="CH77" s="267"/>
      <c r="CI77" s="267"/>
      <c r="CJ77" s="267"/>
      <c r="CK77" s="267"/>
      <c r="CL77" s="267"/>
      <c r="CM77" s="267"/>
      <c r="CN77" s="267"/>
      <c r="CO77" s="267"/>
      <c r="CP77" s="267"/>
      <c r="CQ77" s="267"/>
      <c r="CR77" s="267"/>
      <c r="CS77" s="268"/>
      <c r="CT77" s="266"/>
      <c r="CU77" s="267"/>
      <c r="CV77" s="267"/>
      <c r="CW77" s="267"/>
      <c r="CX77" s="267"/>
      <c r="CY77" s="267"/>
      <c r="CZ77" s="267"/>
      <c r="DA77" s="267"/>
      <c r="DB77" s="267"/>
      <c r="DC77" s="268"/>
      <c r="DD77" s="266"/>
      <c r="DE77" s="267"/>
      <c r="DF77" s="267"/>
      <c r="DG77" s="267"/>
      <c r="DH77" s="267"/>
      <c r="DI77" s="267"/>
      <c r="DJ77" s="267"/>
      <c r="DK77" s="267"/>
      <c r="DL77" s="267"/>
      <c r="DM77" s="268"/>
      <c r="DN77" s="266" t="s">
        <v>352</v>
      </c>
      <c r="DO77" s="267"/>
      <c r="DP77" s="267"/>
      <c r="DQ77" s="267"/>
      <c r="DR77" s="267"/>
      <c r="DS77" s="267"/>
      <c r="DT77" s="267"/>
      <c r="DU77" s="267"/>
      <c r="DV77" s="267"/>
      <c r="DW77" s="267"/>
      <c r="DX77" s="268"/>
      <c r="DY77" s="266"/>
      <c r="DZ77" s="267"/>
      <c r="EA77" s="267"/>
      <c r="EB77" s="267"/>
      <c r="EC77" s="267"/>
      <c r="ED77" s="267"/>
      <c r="EE77" s="267"/>
      <c r="EF77" s="268"/>
    </row>
    <row r="78" spans="1:136" s="42" customFormat="1" ht="50.1" customHeight="1">
      <c r="A78" s="134">
        <f>IF(B78&lt;&gt;"",COUNTA($B$8:B78),"")</f>
        <v>69</v>
      </c>
      <c r="B78" s="266" t="s">
        <v>198</v>
      </c>
      <c r="C78" s="267"/>
      <c r="D78" s="267"/>
      <c r="E78" s="267"/>
      <c r="F78" s="267"/>
      <c r="G78" s="267"/>
      <c r="H78" s="267"/>
      <c r="I78" s="267"/>
      <c r="J78" s="269"/>
      <c r="K78" s="262" t="s">
        <v>204</v>
      </c>
      <c r="L78" s="270"/>
      <c r="M78" s="302"/>
      <c r="N78" s="303"/>
      <c r="O78" s="262"/>
      <c r="P78" s="270"/>
      <c r="Q78" s="262" t="s">
        <v>207</v>
      </c>
      <c r="R78" s="279"/>
      <c r="S78" s="270"/>
      <c r="T78" s="262" t="s">
        <v>209</v>
      </c>
      <c r="U78" s="279"/>
      <c r="V78" s="270"/>
      <c r="W78" s="280" t="s">
        <v>207</v>
      </c>
      <c r="X78" s="281"/>
      <c r="Y78" s="282"/>
      <c r="Z78" s="280">
        <v>100</v>
      </c>
      <c r="AA78" s="281"/>
      <c r="AB78" s="282"/>
      <c r="AC78" s="304"/>
      <c r="AD78" s="305"/>
      <c r="AE78" s="273" t="s">
        <v>243</v>
      </c>
      <c r="AF78" s="274"/>
      <c r="AG78" s="274"/>
      <c r="AH78" s="274"/>
      <c r="AI78" s="274"/>
      <c r="AJ78" s="274"/>
      <c r="AK78" s="274"/>
      <c r="AL78" s="275"/>
      <c r="AM78" s="306" t="s">
        <v>198</v>
      </c>
      <c r="AN78" s="306"/>
      <c r="AO78" s="306"/>
      <c r="AP78" s="306"/>
      <c r="AQ78" s="306"/>
      <c r="AR78" s="306"/>
      <c r="AS78" s="306"/>
      <c r="AT78" s="307"/>
      <c r="AU78" s="266"/>
      <c r="AV78" s="267"/>
      <c r="AW78" s="267"/>
      <c r="AX78" s="267"/>
      <c r="AY78" s="267"/>
      <c r="AZ78" s="267"/>
      <c r="BA78" s="267"/>
      <c r="BB78" s="267"/>
      <c r="BC78" s="267"/>
      <c r="BD78" s="268"/>
      <c r="BE78" s="266"/>
      <c r="BF78" s="267"/>
      <c r="BG78" s="267"/>
      <c r="BH78" s="267"/>
      <c r="BI78" s="267"/>
      <c r="BJ78" s="267"/>
      <c r="BK78" s="267"/>
      <c r="BL78" s="267"/>
      <c r="BM78" s="267"/>
      <c r="BN78" s="267"/>
      <c r="BO78" s="267"/>
      <c r="BP78" s="267"/>
      <c r="BQ78" s="267"/>
      <c r="BR78" s="267"/>
      <c r="BS78" s="266" t="s">
        <v>338</v>
      </c>
      <c r="BT78" s="267"/>
      <c r="BU78" s="267"/>
      <c r="BV78" s="267"/>
      <c r="BW78" s="267"/>
      <c r="BX78" s="267"/>
      <c r="BY78" s="267"/>
      <c r="BZ78" s="267"/>
      <c r="CA78" s="267"/>
      <c r="CB78" s="268"/>
      <c r="CC78" s="285"/>
      <c r="CD78" s="286"/>
      <c r="CE78" s="286"/>
      <c r="CF78" s="286"/>
      <c r="CG78" s="286"/>
      <c r="CH78" s="286"/>
      <c r="CI78" s="286"/>
      <c r="CJ78" s="286"/>
      <c r="CK78" s="286"/>
      <c r="CL78" s="286"/>
      <c r="CM78" s="286"/>
      <c r="CN78" s="286"/>
      <c r="CO78" s="286"/>
      <c r="CP78" s="286"/>
      <c r="CQ78" s="286"/>
      <c r="CR78" s="286"/>
      <c r="CS78" s="287"/>
      <c r="CT78" s="266"/>
      <c r="CU78" s="267"/>
      <c r="CV78" s="267"/>
      <c r="CW78" s="267"/>
      <c r="CX78" s="267"/>
      <c r="CY78" s="267"/>
      <c r="CZ78" s="267"/>
      <c r="DA78" s="267"/>
      <c r="DB78" s="267"/>
      <c r="DC78" s="268"/>
      <c r="DD78" s="266"/>
      <c r="DE78" s="267"/>
      <c r="DF78" s="267"/>
      <c r="DG78" s="267"/>
      <c r="DH78" s="267"/>
      <c r="DI78" s="267"/>
      <c r="DJ78" s="267"/>
      <c r="DK78" s="267"/>
      <c r="DL78" s="267"/>
      <c r="DM78" s="268"/>
      <c r="DN78" s="266" t="s">
        <v>353</v>
      </c>
      <c r="DO78" s="267"/>
      <c r="DP78" s="267"/>
      <c r="DQ78" s="267"/>
      <c r="DR78" s="267"/>
      <c r="DS78" s="267"/>
      <c r="DT78" s="267"/>
      <c r="DU78" s="267"/>
      <c r="DV78" s="267"/>
      <c r="DW78" s="267"/>
      <c r="DX78" s="268"/>
      <c r="DY78" s="266"/>
      <c r="DZ78" s="267"/>
      <c r="EA78" s="267"/>
      <c r="EB78" s="267"/>
      <c r="EC78" s="267"/>
      <c r="ED78" s="267"/>
      <c r="EE78" s="267"/>
      <c r="EF78" s="268"/>
    </row>
    <row r="79" spans="1:136" s="42" customFormat="1" ht="50.1" customHeight="1">
      <c r="A79" s="134">
        <f>IF(B79&lt;&gt;"",COUNTA($B$8:B79),"")</f>
        <v>70</v>
      </c>
      <c r="B79" s="266" t="s">
        <v>199</v>
      </c>
      <c r="C79" s="267"/>
      <c r="D79" s="267"/>
      <c r="E79" s="267"/>
      <c r="F79" s="267"/>
      <c r="G79" s="267"/>
      <c r="H79" s="267"/>
      <c r="I79" s="267"/>
      <c r="J79" s="269"/>
      <c r="K79" s="262" t="s">
        <v>204</v>
      </c>
      <c r="L79" s="270"/>
      <c r="M79" s="271"/>
      <c r="N79" s="272"/>
      <c r="O79" s="262"/>
      <c r="P79" s="270"/>
      <c r="Q79" s="262" t="s">
        <v>207</v>
      </c>
      <c r="R79" s="279"/>
      <c r="S79" s="270"/>
      <c r="T79" s="262" t="s">
        <v>208</v>
      </c>
      <c r="U79" s="279"/>
      <c r="V79" s="270"/>
      <c r="W79" s="280" t="s">
        <v>207</v>
      </c>
      <c r="X79" s="281"/>
      <c r="Y79" s="282"/>
      <c r="Z79" s="280">
        <v>10</v>
      </c>
      <c r="AA79" s="281"/>
      <c r="AB79" s="282"/>
      <c r="AC79" s="283"/>
      <c r="AD79" s="284"/>
      <c r="AE79" s="273" t="s">
        <v>243</v>
      </c>
      <c r="AF79" s="274"/>
      <c r="AG79" s="274"/>
      <c r="AH79" s="274"/>
      <c r="AI79" s="274"/>
      <c r="AJ79" s="274"/>
      <c r="AK79" s="274"/>
      <c r="AL79" s="275"/>
      <c r="AM79" s="276" t="s">
        <v>199</v>
      </c>
      <c r="AN79" s="277"/>
      <c r="AO79" s="277"/>
      <c r="AP79" s="277"/>
      <c r="AQ79" s="277"/>
      <c r="AR79" s="277"/>
      <c r="AS79" s="277"/>
      <c r="AT79" s="278"/>
      <c r="AU79" s="285"/>
      <c r="AV79" s="286"/>
      <c r="AW79" s="286"/>
      <c r="AX79" s="286"/>
      <c r="AY79" s="286"/>
      <c r="AZ79" s="286"/>
      <c r="BA79" s="286"/>
      <c r="BB79" s="286"/>
      <c r="BC79" s="286"/>
      <c r="BD79" s="287"/>
      <c r="BE79" s="285"/>
      <c r="BF79" s="286"/>
      <c r="BG79" s="286"/>
      <c r="BH79" s="286"/>
      <c r="BI79" s="286"/>
      <c r="BJ79" s="286"/>
      <c r="BK79" s="286"/>
      <c r="BL79" s="286"/>
      <c r="BM79" s="286"/>
      <c r="BN79" s="286"/>
      <c r="BO79" s="286"/>
      <c r="BP79" s="286"/>
      <c r="BQ79" s="286"/>
      <c r="BR79" s="286"/>
      <c r="BS79" s="266" t="s">
        <v>339</v>
      </c>
      <c r="BT79" s="267"/>
      <c r="BU79" s="267"/>
      <c r="BV79" s="267"/>
      <c r="BW79" s="267"/>
      <c r="BX79" s="267"/>
      <c r="BY79" s="267"/>
      <c r="BZ79" s="267"/>
      <c r="CA79" s="267"/>
      <c r="CB79" s="268"/>
      <c r="CC79" s="266"/>
      <c r="CD79" s="267"/>
      <c r="CE79" s="267"/>
      <c r="CF79" s="267"/>
      <c r="CG79" s="267"/>
      <c r="CH79" s="267"/>
      <c r="CI79" s="267"/>
      <c r="CJ79" s="267"/>
      <c r="CK79" s="267"/>
      <c r="CL79" s="267"/>
      <c r="CM79" s="267"/>
      <c r="CN79" s="267"/>
      <c r="CO79" s="267"/>
      <c r="CP79" s="267"/>
      <c r="CQ79" s="267"/>
      <c r="CR79" s="267"/>
      <c r="CS79" s="268"/>
      <c r="CT79" s="266"/>
      <c r="CU79" s="267"/>
      <c r="CV79" s="267"/>
      <c r="CW79" s="267"/>
      <c r="CX79" s="267"/>
      <c r="CY79" s="267"/>
      <c r="CZ79" s="267"/>
      <c r="DA79" s="267"/>
      <c r="DB79" s="267"/>
      <c r="DC79" s="268"/>
      <c r="DD79" s="266"/>
      <c r="DE79" s="267"/>
      <c r="DF79" s="267"/>
      <c r="DG79" s="267"/>
      <c r="DH79" s="267"/>
      <c r="DI79" s="267"/>
      <c r="DJ79" s="267"/>
      <c r="DK79" s="267"/>
      <c r="DL79" s="267"/>
      <c r="DM79" s="268"/>
      <c r="DN79" s="266" t="s">
        <v>354</v>
      </c>
      <c r="DO79" s="267"/>
      <c r="DP79" s="267"/>
      <c r="DQ79" s="267"/>
      <c r="DR79" s="267"/>
      <c r="DS79" s="267"/>
      <c r="DT79" s="267"/>
      <c r="DU79" s="267"/>
      <c r="DV79" s="267"/>
      <c r="DW79" s="267"/>
      <c r="DX79" s="268"/>
      <c r="DY79" s="266"/>
      <c r="DZ79" s="267"/>
      <c r="EA79" s="267"/>
      <c r="EB79" s="267"/>
      <c r="EC79" s="267"/>
      <c r="ED79" s="267"/>
      <c r="EE79" s="267"/>
      <c r="EF79" s="268"/>
    </row>
    <row r="80" spans="1:136" s="42" customFormat="1" ht="50.1" customHeight="1">
      <c r="A80" s="134">
        <f>IF(B80&lt;&gt;"",COUNTA($B$8:B80),"")</f>
        <v>71</v>
      </c>
      <c r="B80" s="266" t="s">
        <v>200</v>
      </c>
      <c r="C80" s="267"/>
      <c r="D80" s="267"/>
      <c r="E80" s="267"/>
      <c r="F80" s="267"/>
      <c r="G80" s="267"/>
      <c r="H80" s="267"/>
      <c r="I80" s="267"/>
      <c r="J80" s="269"/>
      <c r="K80" s="262" t="s">
        <v>204</v>
      </c>
      <c r="L80" s="270"/>
      <c r="M80" s="302"/>
      <c r="N80" s="303"/>
      <c r="O80" s="262"/>
      <c r="P80" s="270"/>
      <c r="Q80" s="262" t="s">
        <v>207</v>
      </c>
      <c r="R80" s="279"/>
      <c r="S80" s="270"/>
      <c r="T80" s="262" t="s">
        <v>210</v>
      </c>
      <c r="U80" s="279"/>
      <c r="V80" s="270"/>
      <c r="W80" s="280" t="s">
        <v>207</v>
      </c>
      <c r="X80" s="281"/>
      <c r="Y80" s="282"/>
      <c r="Z80" s="280" t="s">
        <v>250</v>
      </c>
      <c r="AA80" s="281"/>
      <c r="AB80" s="282"/>
      <c r="AC80" s="304"/>
      <c r="AD80" s="305"/>
      <c r="AE80" s="273" t="s">
        <v>243</v>
      </c>
      <c r="AF80" s="274"/>
      <c r="AG80" s="274"/>
      <c r="AH80" s="274"/>
      <c r="AI80" s="274"/>
      <c r="AJ80" s="274"/>
      <c r="AK80" s="274"/>
      <c r="AL80" s="275"/>
      <c r="AM80" s="306" t="s">
        <v>200</v>
      </c>
      <c r="AN80" s="306"/>
      <c r="AO80" s="306"/>
      <c r="AP80" s="306"/>
      <c r="AQ80" s="306"/>
      <c r="AR80" s="306"/>
      <c r="AS80" s="306"/>
      <c r="AT80" s="307"/>
      <c r="AU80" s="285"/>
      <c r="AV80" s="267"/>
      <c r="AW80" s="267"/>
      <c r="AX80" s="267"/>
      <c r="AY80" s="267"/>
      <c r="AZ80" s="267"/>
      <c r="BA80" s="267"/>
      <c r="BB80" s="267"/>
      <c r="BC80" s="267"/>
      <c r="BD80" s="268"/>
      <c r="BE80" s="266"/>
      <c r="BF80" s="267"/>
      <c r="BG80" s="267"/>
      <c r="BH80" s="267"/>
      <c r="BI80" s="267"/>
      <c r="BJ80" s="267"/>
      <c r="BK80" s="267"/>
      <c r="BL80" s="267"/>
      <c r="BM80" s="267"/>
      <c r="BN80" s="267"/>
      <c r="BO80" s="267"/>
      <c r="BP80" s="267"/>
      <c r="BQ80" s="267"/>
      <c r="BR80" s="267"/>
      <c r="BS80" s="266" t="s">
        <v>340</v>
      </c>
      <c r="BT80" s="267"/>
      <c r="BU80" s="267"/>
      <c r="BV80" s="267"/>
      <c r="BW80" s="267"/>
      <c r="BX80" s="267"/>
      <c r="BY80" s="267"/>
      <c r="BZ80" s="267"/>
      <c r="CA80" s="267"/>
      <c r="CB80" s="268"/>
      <c r="CC80" s="266"/>
      <c r="CD80" s="267"/>
      <c r="CE80" s="267"/>
      <c r="CF80" s="267"/>
      <c r="CG80" s="267"/>
      <c r="CH80" s="267"/>
      <c r="CI80" s="267"/>
      <c r="CJ80" s="267"/>
      <c r="CK80" s="267"/>
      <c r="CL80" s="267"/>
      <c r="CM80" s="267"/>
      <c r="CN80" s="267"/>
      <c r="CO80" s="267"/>
      <c r="CP80" s="267"/>
      <c r="CQ80" s="267"/>
      <c r="CR80" s="267"/>
      <c r="CS80" s="268"/>
      <c r="CT80" s="266"/>
      <c r="CU80" s="267"/>
      <c r="CV80" s="267"/>
      <c r="CW80" s="267"/>
      <c r="CX80" s="267"/>
      <c r="CY80" s="267"/>
      <c r="CZ80" s="267"/>
      <c r="DA80" s="267"/>
      <c r="DB80" s="267"/>
      <c r="DC80" s="268"/>
      <c r="DD80" s="266"/>
      <c r="DE80" s="267"/>
      <c r="DF80" s="267"/>
      <c r="DG80" s="267"/>
      <c r="DH80" s="267"/>
      <c r="DI80" s="267"/>
      <c r="DJ80" s="267"/>
      <c r="DK80" s="267"/>
      <c r="DL80" s="267"/>
      <c r="DM80" s="268"/>
      <c r="DN80" s="266" t="s">
        <v>355</v>
      </c>
      <c r="DO80" s="267"/>
      <c r="DP80" s="267"/>
      <c r="DQ80" s="267"/>
      <c r="DR80" s="267"/>
      <c r="DS80" s="267"/>
      <c r="DT80" s="267"/>
      <c r="DU80" s="267"/>
      <c r="DV80" s="267"/>
      <c r="DW80" s="267"/>
      <c r="DX80" s="268"/>
      <c r="DY80" s="266"/>
      <c r="DZ80" s="267"/>
      <c r="EA80" s="267"/>
      <c r="EB80" s="267"/>
      <c r="EC80" s="267"/>
      <c r="ED80" s="267"/>
      <c r="EE80" s="267"/>
      <c r="EF80" s="268"/>
    </row>
    <row r="81" spans="1:205" s="42" customFormat="1" ht="50.1" customHeight="1">
      <c r="A81" s="134">
        <f>IF(B81&lt;&gt;"",COUNTA($B$8:B81),"")</f>
        <v>72</v>
      </c>
      <c r="B81" s="266" t="s">
        <v>201</v>
      </c>
      <c r="C81" s="267"/>
      <c r="D81" s="267"/>
      <c r="E81" s="267"/>
      <c r="F81" s="267"/>
      <c r="G81" s="267"/>
      <c r="H81" s="267"/>
      <c r="I81" s="267"/>
      <c r="J81" s="269"/>
      <c r="K81" s="262" t="s">
        <v>204</v>
      </c>
      <c r="L81" s="270"/>
      <c r="M81" s="302"/>
      <c r="N81" s="303"/>
      <c r="O81" s="262"/>
      <c r="P81" s="270"/>
      <c r="Q81" s="262" t="s">
        <v>245</v>
      </c>
      <c r="R81" s="279"/>
      <c r="S81" s="270"/>
      <c r="T81" s="262" t="s">
        <v>209</v>
      </c>
      <c r="U81" s="279"/>
      <c r="V81" s="270"/>
      <c r="W81" s="280" t="s">
        <v>207</v>
      </c>
      <c r="X81" s="281"/>
      <c r="Y81" s="282"/>
      <c r="Z81" s="280">
        <v>100</v>
      </c>
      <c r="AA81" s="281"/>
      <c r="AB81" s="282"/>
      <c r="AC81" s="304"/>
      <c r="AD81" s="305"/>
      <c r="AE81" s="273" t="s">
        <v>243</v>
      </c>
      <c r="AF81" s="274"/>
      <c r="AG81" s="274"/>
      <c r="AH81" s="274"/>
      <c r="AI81" s="274"/>
      <c r="AJ81" s="274"/>
      <c r="AK81" s="274"/>
      <c r="AL81" s="275"/>
      <c r="AM81" s="306" t="s">
        <v>201</v>
      </c>
      <c r="AN81" s="306"/>
      <c r="AO81" s="306"/>
      <c r="AP81" s="306"/>
      <c r="AQ81" s="306"/>
      <c r="AR81" s="306"/>
      <c r="AS81" s="306"/>
      <c r="AT81" s="307"/>
      <c r="AU81" s="266"/>
      <c r="AV81" s="267"/>
      <c r="AW81" s="267"/>
      <c r="AX81" s="267"/>
      <c r="AY81" s="267"/>
      <c r="AZ81" s="267"/>
      <c r="BA81" s="267"/>
      <c r="BB81" s="267"/>
      <c r="BC81" s="267"/>
      <c r="BD81" s="268"/>
      <c r="BE81" s="266"/>
      <c r="BF81" s="267"/>
      <c r="BG81" s="267"/>
      <c r="BH81" s="267"/>
      <c r="BI81" s="267"/>
      <c r="BJ81" s="267"/>
      <c r="BK81" s="267"/>
      <c r="BL81" s="267"/>
      <c r="BM81" s="267"/>
      <c r="BN81" s="267"/>
      <c r="BO81" s="267"/>
      <c r="BP81" s="267"/>
      <c r="BQ81" s="267"/>
      <c r="BR81" s="267"/>
      <c r="BS81" s="266" t="s">
        <v>341</v>
      </c>
      <c r="BT81" s="267"/>
      <c r="BU81" s="267"/>
      <c r="BV81" s="267"/>
      <c r="BW81" s="267"/>
      <c r="BX81" s="267"/>
      <c r="BY81" s="267"/>
      <c r="BZ81" s="267"/>
      <c r="CA81" s="267"/>
      <c r="CB81" s="268"/>
      <c r="CC81" s="266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  <c r="CR81" s="267"/>
      <c r="CS81" s="268"/>
      <c r="CT81" s="266"/>
      <c r="CU81" s="267"/>
      <c r="CV81" s="267"/>
      <c r="CW81" s="267"/>
      <c r="CX81" s="267"/>
      <c r="CY81" s="267"/>
      <c r="CZ81" s="267"/>
      <c r="DA81" s="267"/>
      <c r="DB81" s="267"/>
      <c r="DC81" s="268"/>
      <c r="DD81" s="266"/>
      <c r="DE81" s="267"/>
      <c r="DF81" s="267"/>
      <c r="DG81" s="267"/>
      <c r="DH81" s="267"/>
      <c r="DI81" s="267"/>
      <c r="DJ81" s="267"/>
      <c r="DK81" s="267"/>
      <c r="DL81" s="267"/>
      <c r="DM81" s="268"/>
      <c r="DN81" s="266" t="s">
        <v>356</v>
      </c>
      <c r="DO81" s="267"/>
      <c r="DP81" s="267"/>
      <c r="DQ81" s="267"/>
      <c r="DR81" s="267"/>
      <c r="DS81" s="267"/>
      <c r="DT81" s="267"/>
      <c r="DU81" s="267"/>
      <c r="DV81" s="267"/>
      <c r="DW81" s="267"/>
      <c r="DX81" s="268"/>
      <c r="DY81" s="266"/>
      <c r="DZ81" s="267"/>
      <c r="EA81" s="267"/>
      <c r="EB81" s="267"/>
      <c r="EC81" s="267"/>
      <c r="ED81" s="267"/>
      <c r="EE81" s="267"/>
      <c r="EF81" s="268"/>
    </row>
    <row r="82" spans="1:205" ht="12" customHeight="1">
      <c r="A82" s="288" t="s">
        <v>144</v>
      </c>
      <c r="B82" s="289"/>
      <c r="C82" s="289"/>
      <c r="D82" s="289"/>
      <c r="E82" s="289"/>
      <c r="F82" s="289"/>
      <c r="G82" s="289"/>
      <c r="H82" s="289"/>
      <c r="I82" s="289"/>
      <c r="J82" s="289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4"/>
      <c r="X82" s="294"/>
      <c r="Y82" s="294"/>
      <c r="Z82" s="294"/>
      <c r="AA82" s="294"/>
      <c r="AB82" s="294"/>
      <c r="AC82" s="295"/>
      <c r="AD82" s="295"/>
      <c r="AE82" s="296"/>
      <c r="AF82" s="296"/>
      <c r="AG82" s="296"/>
      <c r="AH82" s="296"/>
      <c r="AI82" s="296"/>
      <c r="AJ82" s="296"/>
      <c r="AK82" s="296"/>
      <c r="AL82" s="296"/>
      <c r="AM82" s="297"/>
      <c r="AN82" s="297"/>
      <c r="AO82" s="297"/>
      <c r="AP82" s="297"/>
      <c r="AQ82" s="297"/>
      <c r="AR82" s="297"/>
      <c r="AS82" s="297"/>
      <c r="AT82" s="298"/>
      <c r="AU82" s="291"/>
      <c r="AV82" s="292"/>
      <c r="AW82" s="292"/>
      <c r="AX82" s="292"/>
      <c r="AY82" s="292"/>
      <c r="AZ82" s="292"/>
      <c r="BA82" s="292"/>
      <c r="BB82" s="292"/>
      <c r="BC82" s="292"/>
      <c r="BD82" s="293"/>
      <c r="BE82" s="291"/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  <c r="BR82" s="293"/>
      <c r="BS82" s="291"/>
      <c r="BT82" s="292"/>
      <c r="BU82" s="292"/>
      <c r="BV82" s="292"/>
      <c r="BW82" s="292"/>
      <c r="BX82" s="292"/>
      <c r="BY82" s="292"/>
      <c r="BZ82" s="292"/>
      <c r="CA82" s="292"/>
      <c r="CB82" s="293"/>
      <c r="CC82" s="291"/>
      <c r="CD82" s="292"/>
      <c r="CE82" s="292"/>
      <c r="CF82" s="292"/>
      <c r="CG82" s="292"/>
      <c r="CH82" s="292"/>
      <c r="CI82" s="292"/>
      <c r="CJ82" s="292"/>
      <c r="CK82" s="292"/>
      <c r="CL82" s="292"/>
      <c r="CM82" s="292"/>
      <c r="CN82" s="292"/>
      <c r="CO82" s="292"/>
      <c r="CP82" s="292"/>
      <c r="CQ82" s="292"/>
      <c r="CR82" s="292"/>
      <c r="CS82" s="293"/>
      <c r="CT82" s="291"/>
      <c r="CU82" s="292"/>
      <c r="CV82" s="292"/>
      <c r="CW82" s="292"/>
      <c r="CX82" s="292"/>
      <c r="CY82" s="292"/>
      <c r="CZ82" s="292"/>
      <c r="DA82" s="292"/>
      <c r="DB82" s="292"/>
      <c r="DC82" s="293"/>
      <c r="DD82" s="291"/>
      <c r="DE82" s="292"/>
      <c r="DF82" s="292"/>
      <c r="DG82" s="292"/>
      <c r="DH82" s="292"/>
      <c r="DI82" s="292"/>
      <c r="DJ82" s="292"/>
      <c r="DK82" s="292"/>
      <c r="DL82" s="292"/>
      <c r="DM82" s="293"/>
      <c r="DN82" s="291"/>
      <c r="DO82" s="292"/>
      <c r="DP82" s="292"/>
      <c r="DQ82" s="292"/>
      <c r="DR82" s="292"/>
      <c r="DS82" s="292"/>
      <c r="DT82" s="292"/>
      <c r="DU82" s="292"/>
      <c r="DV82" s="292"/>
      <c r="DW82" s="292"/>
      <c r="DX82" s="293"/>
      <c r="DY82" s="299"/>
      <c r="DZ82" s="300"/>
      <c r="EA82" s="300"/>
      <c r="EB82" s="300"/>
      <c r="EC82" s="300"/>
      <c r="ED82" s="300"/>
      <c r="EE82" s="300"/>
      <c r="EF82" s="301"/>
    </row>
    <row r="83" spans="1:205" s="42" customFormat="1" ht="12">
      <c r="A83" s="134">
        <f>IF(B83&lt;&gt;"",COUNTA($B$8:B83),"")</f>
        <v>73</v>
      </c>
      <c r="B83" s="266" t="s">
        <v>202</v>
      </c>
      <c r="C83" s="267"/>
      <c r="D83" s="267"/>
      <c r="E83" s="267"/>
      <c r="F83" s="267"/>
      <c r="G83" s="267"/>
      <c r="H83" s="267"/>
      <c r="I83" s="267"/>
      <c r="J83" s="269"/>
      <c r="K83" s="262" t="s">
        <v>145</v>
      </c>
      <c r="L83" s="270"/>
      <c r="M83" s="271"/>
      <c r="N83" s="272"/>
      <c r="O83" s="262"/>
      <c r="P83" s="270"/>
      <c r="Q83" s="262" t="s">
        <v>357</v>
      </c>
      <c r="R83" s="279"/>
      <c r="S83" s="270"/>
      <c r="T83" s="262" t="s">
        <v>357</v>
      </c>
      <c r="U83" s="279"/>
      <c r="V83" s="270"/>
      <c r="W83" s="280" t="s">
        <v>358</v>
      </c>
      <c r="X83" s="281"/>
      <c r="Y83" s="282"/>
      <c r="Z83" s="280" t="s">
        <v>358</v>
      </c>
      <c r="AA83" s="281"/>
      <c r="AB83" s="282"/>
      <c r="AC83" s="283"/>
      <c r="AD83" s="284"/>
      <c r="AE83" s="266"/>
      <c r="AF83" s="267"/>
      <c r="AG83" s="267"/>
      <c r="AH83" s="267"/>
      <c r="AI83" s="267"/>
      <c r="AJ83" s="267"/>
      <c r="AK83" s="267"/>
      <c r="AL83" s="269"/>
      <c r="AM83" s="276"/>
      <c r="AN83" s="277"/>
      <c r="AO83" s="277"/>
      <c r="AP83" s="277"/>
      <c r="AQ83" s="277"/>
      <c r="AR83" s="277"/>
      <c r="AS83" s="277"/>
      <c r="AT83" s="278"/>
      <c r="AU83" s="285"/>
      <c r="AV83" s="286"/>
      <c r="AW83" s="286"/>
      <c r="AX83" s="286"/>
      <c r="AY83" s="286"/>
      <c r="AZ83" s="286"/>
      <c r="BA83" s="286"/>
      <c r="BB83" s="286"/>
      <c r="BC83" s="286"/>
      <c r="BD83" s="287"/>
      <c r="BE83" s="285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6"/>
      <c r="BQ83" s="286"/>
      <c r="BR83" s="286"/>
      <c r="BS83" s="266"/>
      <c r="BT83" s="267"/>
      <c r="BU83" s="267"/>
      <c r="BV83" s="267"/>
      <c r="BW83" s="267"/>
      <c r="BX83" s="267"/>
      <c r="BY83" s="267"/>
      <c r="BZ83" s="267"/>
      <c r="CA83" s="267"/>
      <c r="CB83" s="268"/>
      <c r="CC83" s="266"/>
      <c r="CD83" s="267"/>
      <c r="CE83" s="267"/>
      <c r="CF83" s="267"/>
      <c r="CG83" s="267"/>
      <c r="CH83" s="267"/>
      <c r="CI83" s="267"/>
      <c r="CJ83" s="267"/>
      <c r="CK83" s="267"/>
      <c r="CL83" s="267"/>
      <c r="CM83" s="267"/>
      <c r="CN83" s="267"/>
      <c r="CO83" s="267"/>
      <c r="CP83" s="267"/>
      <c r="CQ83" s="267"/>
      <c r="CR83" s="267"/>
      <c r="CS83" s="268"/>
      <c r="CT83" s="266"/>
      <c r="CU83" s="267"/>
      <c r="CV83" s="267"/>
      <c r="CW83" s="267"/>
      <c r="CX83" s="267"/>
      <c r="CY83" s="267"/>
      <c r="CZ83" s="267"/>
      <c r="DA83" s="267"/>
      <c r="DB83" s="267"/>
      <c r="DC83" s="268"/>
      <c r="DD83" s="266"/>
      <c r="DE83" s="267"/>
      <c r="DF83" s="267"/>
      <c r="DG83" s="267"/>
      <c r="DH83" s="267"/>
      <c r="DI83" s="267"/>
      <c r="DJ83" s="267"/>
      <c r="DK83" s="267"/>
      <c r="DL83" s="267"/>
      <c r="DM83" s="268"/>
      <c r="DN83" s="266"/>
      <c r="DO83" s="267"/>
      <c r="DP83" s="267"/>
      <c r="DQ83" s="267"/>
      <c r="DR83" s="267"/>
      <c r="DS83" s="267"/>
      <c r="DT83" s="267"/>
      <c r="DU83" s="267"/>
      <c r="DV83" s="267"/>
      <c r="DW83" s="267"/>
      <c r="DX83" s="268"/>
      <c r="DY83" s="266"/>
      <c r="DZ83" s="267"/>
      <c r="EA83" s="267"/>
      <c r="EB83" s="267"/>
      <c r="EC83" s="267"/>
      <c r="ED83" s="267"/>
      <c r="EE83" s="267"/>
      <c r="EF83" s="268"/>
    </row>
    <row r="84" spans="1:205" s="42" customFormat="1" ht="12">
      <c r="A84" s="134">
        <f>IF(B84&lt;&gt;"",COUNTA($B$8:B84),"")</f>
        <v>74</v>
      </c>
      <c r="B84" s="266" t="s">
        <v>203</v>
      </c>
      <c r="C84" s="267"/>
      <c r="D84" s="267"/>
      <c r="E84" s="267"/>
      <c r="F84" s="267"/>
      <c r="G84" s="267"/>
      <c r="H84" s="267"/>
      <c r="I84" s="267"/>
      <c r="J84" s="269"/>
      <c r="K84" s="262" t="s">
        <v>145</v>
      </c>
      <c r="L84" s="270"/>
      <c r="M84" s="271"/>
      <c r="N84" s="272"/>
      <c r="O84" s="262"/>
      <c r="P84" s="270"/>
      <c r="Q84" s="262" t="s">
        <v>357</v>
      </c>
      <c r="R84" s="279"/>
      <c r="S84" s="270"/>
      <c r="T84" s="262" t="s">
        <v>357</v>
      </c>
      <c r="U84" s="279"/>
      <c r="V84" s="270"/>
      <c r="W84" s="280" t="s">
        <v>358</v>
      </c>
      <c r="X84" s="281"/>
      <c r="Y84" s="282"/>
      <c r="Z84" s="280" t="s">
        <v>358</v>
      </c>
      <c r="AA84" s="281"/>
      <c r="AB84" s="282"/>
      <c r="AC84" s="283"/>
      <c r="AD84" s="284"/>
      <c r="AE84" s="273"/>
      <c r="AF84" s="274"/>
      <c r="AG84" s="274"/>
      <c r="AH84" s="274"/>
      <c r="AI84" s="274"/>
      <c r="AJ84" s="274"/>
      <c r="AK84" s="274"/>
      <c r="AL84" s="275"/>
      <c r="AM84" s="276"/>
      <c r="AN84" s="277"/>
      <c r="AO84" s="277"/>
      <c r="AP84" s="277"/>
      <c r="AQ84" s="277"/>
      <c r="AR84" s="277"/>
      <c r="AS84" s="277"/>
      <c r="AT84" s="278"/>
      <c r="AU84" s="266"/>
      <c r="AV84" s="267"/>
      <c r="AW84" s="267"/>
      <c r="AX84" s="267"/>
      <c r="AY84" s="267"/>
      <c r="AZ84" s="267"/>
      <c r="BA84" s="267"/>
      <c r="BB84" s="267"/>
      <c r="BC84" s="267"/>
      <c r="BD84" s="268"/>
      <c r="BE84" s="266"/>
      <c r="BF84" s="267"/>
      <c r="BG84" s="267"/>
      <c r="BH84" s="267"/>
      <c r="BI84" s="267"/>
      <c r="BJ84" s="267"/>
      <c r="BK84" s="267"/>
      <c r="BL84" s="267"/>
      <c r="BM84" s="267"/>
      <c r="BN84" s="267"/>
      <c r="BO84" s="267"/>
      <c r="BP84" s="267"/>
      <c r="BQ84" s="267"/>
      <c r="BR84" s="268"/>
      <c r="BS84" s="266"/>
      <c r="BT84" s="267"/>
      <c r="BU84" s="267"/>
      <c r="BV84" s="267"/>
      <c r="BW84" s="267"/>
      <c r="BX84" s="267"/>
      <c r="BY84" s="267"/>
      <c r="BZ84" s="267"/>
      <c r="CA84" s="267"/>
      <c r="CB84" s="268"/>
      <c r="CC84" s="266"/>
      <c r="CD84" s="267"/>
      <c r="CE84" s="267"/>
      <c r="CF84" s="267"/>
      <c r="CG84" s="267"/>
      <c r="CH84" s="267"/>
      <c r="CI84" s="267"/>
      <c r="CJ84" s="267"/>
      <c r="CK84" s="267"/>
      <c r="CL84" s="267"/>
      <c r="CM84" s="267"/>
      <c r="CN84" s="267"/>
      <c r="CO84" s="267"/>
      <c r="CP84" s="267"/>
      <c r="CQ84" s="267"/>
      <c r="CR84" s="267"/>
      <c r="CS84" s="268"/>
      <c r="CT84" s="266"/>
      <c r="CU84" s="267"/>
      <c r="CV84" s="267"/>
      <c r="CW84" s="267"/>
      <c r="CX84" s="267"/>
      <c r="CY84" s="267"/>
      <c r="CZ84" s="267"/>
      <c r="DA84" s="267"/>
      <c r="DB84" s="267"/>
      <c r="DC84" s="268"/>
      <c r="DD84" s="266"/>
      <c r="DE84" s="267"/>
      <c r="DF84" s="267"/>
      <c r="DG84" s="267"/>
      <c r="DH84" s="267"/>
      <c r="DI84" s="267"/>
      <c r="DJ84" s="267"/>
      <c r="DK84" s="267"/>
      <c r="DL84" s="267"/>
      <c r="DM84" s="268"/>
      <c r="DN84" s="266"/>
      <c r="DO84" s="267"/>
      <c r="DP84" s="267"/>
      <c r="DQ84" s="267"/>
      <c r="DR84" s="267"/>
      <c r="DS84" s="267"/>
      <c r="DT84" s="267"/>
      <c r="DU84" s="267"/>
      <c r="DV84" s="267"/>
      <c r="DW84" s="267"/>
      <c r="DX84" s="268"/>
      <c r="DY84" s="266"/>
      <c r="DZ84" s="267"/>
      <c r="EA84" s="267"/>
      <c r="EB84" s="267"/>
      <c r="EC84" s="267"/>
      <c r="ED84" s="267"/>
      <c r="EE84" s="267"/>
      <c r="EF84" s="268"/>
    </row>
    <row r="85" spans="1:205" ht="13.5">
      <c r="A85" s="386" t="s">
        <v>589</v>
      </c>
      <c r="B85" s="387"/>
      <c r="C85" s="387"/>
      <c r="D85" s="387"/>
      <c r="E85" s="387"/>
      <c r="F85" s="387"/>
      <c r="G85" s="387"/>
      <c r="H85" s="387"/>
      <c r="I85" s="387"/>
      <c r="J85" s="388"/>
      <c r="K85" s="311"/>
      <c r="L85" s="312"/>
      <c r="M85" s="313"/>
      <c r="N85" s="314"/>
      <c r="O85" s="311"/>
      <c r="P85" s="312"/>
      <c r="Q85" s="311"/>
      <c r="R85" s="315"/>
      <c r="S85" s="312"/>
      <c r="T85" s="311"/>
      <c r="U85" s="315"/>
      <c r="V85" s="312"/>
      <c r="W85" s="316"/>
      <c r="X85" s="317"/>
      <c r="Y85" s="318"/>
      <c r="Z85" s="317"/>
      <c r="AA85" s="317"/>
      <c r="AB85" s="318"/>
      <c r="AC85" s="332"/>
      <c r="AD85" s="333"/>
      <c r="AE85" s="328"/>
      <c r="AF85" s="329"/>
      <c r="AG85" s="329"/>
      <c r="AH85" s="329"/>
      <c r="AI85" s="329"/>
      <c r="AJ85" s="329"/>
      <c r="AK85" s="329"/>
      <c r="AL85" s="329"/>
      <c r="AM85" s="330"/>
      <c r="AN85" s="330"/>
      <c r="AO85" s="330"/>
      <c r="AP85" s="330"/>
      <c r="AQ85" s="330"/>
      <c r="AR85" s="330"/>
      <c r="AS85" s="330"/>
      <c r="AT85" s="331"/>
      <c r="AU85" s="322"/>
      <c r="AV85" s="323"/>
      <c r="AW85" s="323"/>
      <c r="AX85" s="323"/>
      <c r="AY85" s="323"/>
      <c r="AZ85" s="323"/>
      <c r="BA85" s="323"/>
      <c r="BB85" s="323"/>
      <c r="BC85" s="323"/>
      <c r="BD85" s="324"/>
      <c r="BE85" s="322"/>
      <c r="BF85" s="323"/>
      <c r="BG85" s="323"/>
      <c r="BH85" s="323"/>
      <c r="BI85" s="323"/>
      <c r="BJ85" s="323"/>
      <c r="BK85" s="323"/>
      <c r="BL85" s="323"/>
      <c r="BM85" s="323"/>
      <c r="BN85" s="323"/>
      <c r="BO85" s="323"/>
      <c r="BP85" s="323"/>
      <c r="BQ85" s="323"/>
      <c r="BR85" s="324"/>
      <c r="BS85" s="322"/>
      <c r="BT85" s="323"/>
      <c r="BU85" s="323"/>
      <c r="BV85" s="323"/>
      <c r="BW85" s="323"/>
      <c r="BX85" s="323"/>
      <c r="BY85" s="323"/>
      <c r="BZ85" s="323"/>
      <c r="CA85" s="323"/>
      <c r="CB85" s="324"/>
      <c r="CC85" s="322"/>
      <c r="CD85" s="323"/>
      <c r="CE85" s="323"/>
      <c r="CF85" s="323"/>
      <c r="CG85" s="323"/>
      <c r="CH85" s="323"/>
      <c r="CI85" s="323"/>
      <c r="CJ85" s="323"/>
      <c r="CK85" s="323"/>
      <c r="CL85" s="323"/>
      <c r="CM85" s="323"/>
      <c r="CN85" s="323"/>
      <c r="CO85" s="323"/>
      <c r="CP85" s="323"/>
      <c r="CQ85" s="323"/>
      <c r="CR85" s="323"/>
      <c r="CS85" s="324"/>
      <c r="CT85" s="322"/>
      <c r="CU85" s="323"/>
      <c r="CV85" s="323"/>
      <c r="CW85" s="323"/>
      <c r="CX85" s="323"/>
      <c r="CY85" s="323"/>
      <c r="CZ85" s="323"/>
      <c r="DA85" s="323"/>
      <c r="DB85" s="323"/>
      <c r="DC85" s="324"/>
      <c r="DD85" s="322"/>
      <c r="DE85" s="323"/>
      <c r="DF85" s="323"/>
      <c r="DG85" s="323"/>
      <c r="DH85" s="323"/>
      <c r="DI85" s="323"/>
      <c r="DJ85" s="323"/>
      <c r="DK85" s="323"/>
      <c r="DL85" s="323"/>
      <c r="DM85" s="324"/>
      <c r="DN85" s="322"/>
      <c r="DO85" s="323"/>
      <c r="DP85" s="323"/>
      <c r="DQ85" s="323"/>
      <c r="DR85" s="323"/>
      <c r="DS85" s="323"/>
      <c r="DT85" s="323"/>
      <c r="DU85" s="323"/>
      <c r="DV85" s="323"/>
      <c r="DW85" s="323"/>
      <c r="DX85" s="324"/>
      <c r="DY85" s="325"/>
      <c r="DZ85" s="326"/>
      <c r="EA85" s="326"/>
      <c r="EB85" s="326"/>
      <c r="EC85" s="326"/>
      <c r="ED85" s="326"/>
      <c r="EE85" s="326"/>
      <c r="EF85" s="327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159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/>
      <c r="GG85" s="159"/>
      <c r="GH85" s="159"/>
      <c r="GI85" s="159"/>
      <c r="GJ85" s="159"/>
      <c r="GK85" s="159"/>
      <c r="GL85" s="159"/>
      <c r="GM85" s="159"/>
      <c r="GN85" s="159"/>
      <c r="GO85" s="159"/>
      <c r="GP85" s="159"/>
      <c r="GQ85" s="159"/>
      <c r="GR85" s="159"/>
      <c r="GS85" s="159"/>
      <c r="GT85" s="159"/>
      <c r="GU85" s="159"/>
      <c r="GV85" s="159"/>
      <c r="GW85" s="159"/>
    </row>
    <row r="86" spans="1:205" ht="12">
      <c r="A86" s="160">
        <f>IF(B86&lt;&gt;"",COUNTA($B$8:B86),"")</f>
        <v>75</v>
      </c>
      <c r="B86" s="360" t="s">
        <v>590</v>
      </c>
      <c r="C86" s="361"/>
      <c r="D86" s="361"/>
      <c r="E86" s="361"/>
      <c r="F86" s="361"/>
      <c r="G86" s="361"/>
      <c r="H86" s="361"/>
      <c r="I86" s="361"/>
      <c r="J86" s="366"/>
      <c r="K86" s="367" t="s">
        <v>41</v>
      </c>
      <c r="L86" s="368"/>
      <c r="M86" s="369"/>
      <c r="N86" s="370"/>
      <c r="O86" s="371" t="s">
        <v>591</v>
      </c>
      <c r="P86" s="372"/>
      <c r="Q86" s="371" t="s">
        <v>592</v>
      </c>
      <c r="R86" s="373"/>
      <c r="S86" s="373"/>
      <c r="T86" s="371" t="s">
        <v>592</v>
      </c>
      <c r="U86" s="373"/>
      <c r="V86" s="373"/>
      <c r="W86" s="374" t="s">
        <v>230</v>
      </c>
      <c r="X86" s="375"/>
      <c r="Y86" s="376"/>
      <c r="Z86" s="377" t="s">
        <v>230</v>
      </c>
      <c r="AA86" s="378"/>
      <c r="AB86" s="379"/>
      <c r="AC86" s="380"/>
      <c r="AD86" s="381"/>
      <c r="AE86" s="382" t="s">
        <v>593</v>
      </c>
      <c r="AF86" s="383"/>
      <c r="AG86" s="383"/>
      <c r="AH86" s="383"/>
      <c r="AI86" s="383"/>
      <c r="AJ86" s="383"/>
      <c r="AK86" s="383"/>
      <c r="AL86" s="383"/>
      <c r="AM86" s="384"/>
      <c r="AN86" s="384"/>
      <c r="AO86" s="384"/>
      <c r="AP86" s="384"/>
      <c r="AQ86" s="384"/>
      <c r="AR86" s="384"/>
      <c r="AS86" s="384"/>
      <c r="AT86" s="385"/>
      <c r="AU86" s="360"/>
      <c r="AV86" s="361"/>
      <c r="AW86" s="361"/>
      <c r="AX86" s="361"/>
      <c r="AY86" s="361"/>
      <c r="AZ86" s="361"/>
      <c r="BA86" s="361"/>
      <c r="BB86" s="361"/>
      <c r="BC86" s="361"/>
      <c r="BD86" s="362"/>
      <c r="BE86" s="360" t="s">
        <v>594</v>
      </c>
      <c r="BF86" s="361"/>
      <c r="BG86" s="361"/>
      <c r="BH86" s="361"/>
      <c r="BI86" s="361"/>
      <c r="BJ86" s="361"/>
      <c r="BK86" s="361"/>
      <c r="BL86" s="361"/>
      <c r="BM86" s="361"/>
      <c r="BN86" s="361"/>
      <c r="BO86" s="361"/>
      <c r="BP86" s="361"/>
      <c r="BQ86" s="361"/>
      <c r="BR86" s="362"/>
      <c r="BS86" s="360"/>
      <c r="BT86" s="361"/>
      <c r="BU86" s="361"/>
      <c r="BV86" s="361"/>
      <c r="BW86" s="361"/>
      <c r="BX86" s="361"/>
      <c r="BY86" s="361"/>
      <c r="BZ86" s="361"/>
      <c r="CA86" s="361"/>
      <c r="CB86" s="362"/>
      <c r="CC86" s="360"/>
      <c r="CD86" s="361"/>
      <c r="CE86" s="361"/>
      <c r="CF86" s="361"/>
      <c r="CG86" s="361"/>
      <c r="CH86" s="361"/>
      <c r="CI86" s="361"/>
      <c r="CJ86" s="361"/>
      <c r="CK86" s="361"/>
      <c r="CL86" s="361"/>
      <c r="CM86" s="361"/>
      <c r="CN86" s="361"/>
      <c r="CO86" s="361"/>
      <c r="CP86" s="361"/>
      <c r="CQ86" s="361"/>
      <c r="CR86" s="361"/>
      <c r="CS86" s="362"/>
      <c r="CT86" s="360"/>
      <c r="CU86" s="361"/>
      <c r="CV86" s="361"/>
      <c r="CW86" s="361"/>
      <c r="CX86" s="361"/>
      <c r="CY86" s="361"/>
      <c r="CZ86" s="361"/>
      <c r="DA86" s="361"/>
      <c r="DB86" s="361"/>
      <c r="DC86" s="362"/>
      <c r="DD86" s="360"/>
      <c r="DE86" s="361"/>
      <c r="DF86" s="361"/>
      <c r="DG86" s="361"/>
      <c r="DH86" s="361"/>
      <c r="DI86" s="361"/>
      <c r="DJ86" s="361"/>
      <c r="DK86" s="361"/>
      <c r="DL86" s="361"/>
      <c r="DM86" s="362"/>
      <c r="DN86" s="360"/>
      <c r="DO86" s="361"/>
      <c r="DP86" s="361"/>
      <c r="DQ86" s="361"/>
      <c r="DR86" s="361"/>
      <c r="DS86" s="361"/>
      <c r="DT86" s="361"/>
      <c r="DU86" s="361"/>
      <c r="DV86" s="361"/>
      <c r="DW86" s="361"/>
      <c r="DX86" s="362"/>
      <c r="DY86" s="363"/>
      <c r="DZ86" s="364"/>
      <c r="EA86" s="364"/>
      <c r="EB86" s="364"/>
      <c r="EC86" s="364"/>
      <c r="ED86" s="364"/>
      <c r="EE86" s="364"/>
      <c r="EF86" s="365"/>
      <c r="EG86" s="159"/>
      <c r="EH86" s="159"/>
      <c r="EI86" s="159"/>
      <c r="EJ86" s="159"/>
      <c r="EK86" s="159"/>
      <c r="EL86" s="159"/>
      <c r="EM86" s="159"/>
      <c r="EN86" s="159"/>
      <c r="EO86" s="159"/>
      <c r="EP86" s="159"/>
      <c r="EQ86" s="159"/>
      <c r="ER86" s="159"/>
      <c r="ES86" s="159"/>
      <c r="ET86" s="159"/>
      <c r="EU86" s="159"/>
      <c r="EV86" s="159"/>
      <c r="EW86" s="159"/>
      <c r="EX86" s="159"/>
      <c r="EY86" s="159"/>
      <c r="EZ86" s="159"/>
      <c r="FA86" s="159"/>
      <c r="FB86" s="159"/>
      <c r="FC86" s="159"/>
      <c r="FD86" s="159"/>
      <c r="FE86" s="159"/>
      <c r="FF86" s="159"/>
      <c r="FG86" s="159"/>
      <c r="FH86" s="159"/>
      <c r="FI86" s="159"/>
      <c r="FJ86" s="159"/>
      <c r="FK86" s="159"/>
      <c r="FL86" s="159"/>
      <c r="FM86" s="159"/>
      <c r="FN86" s="159"/>
      <c r="FO86" s="159"/>
      <c r="FP86" s="159"/>
      <c r="FQ86" s="159"/>
      <c r="FR86" s="159"/>
      <c r="FS86" s="159"/>
      <c r="FT86" s="159"/>
      <c r="FU86" s="159"/>
      <c r="FV86" s="159"/>
      <c r="FW86" s="159"/>
      <c r="FX86" s="159"/>
      <c r="FY86" s="159"/>
      <c r="FZ86" s="159"/>
      <c r="GA86" s="159"/>
      <c r="GB86" s="159"/>
      <c r="GC86" s="159"/>
      <c r="GD86" s="159"/>
      <c r="GE86" s="159"/>
      <c r="GF86" s="159"/>
      <c r="GG86" s="159"/>
      <c r="GH86" s="159"/>
      <c r="GI86" s="159"/>
      <c r="GJ86" s="159"/>
      <c r="GK86" s="159"/>
      <c r="GL86" s="159"/>
      <c r="GM86" s="159"/>
      <c r="GN86" s="159"/>
      <c r="GO86" s="159"/>
      <c r="GP86" s="159"/>
      <c r="GQ86" s="159"/>
      <c r="GR86" s="159"/>
      <c r="GS86" s="159"/>
      <c r="GT86" s="159"/>
      <c r="GU86" s="159"/>
      <c r="GV86" s="159"/>
      <c r="GW86" s="159"/>
    </row>
    <row r="87" spans="1:205" ht="12">
      <c r="A87" s="160">
        <f>IF(B87&lt;&gt;"",COUNTA($B$8:B87),"")</f>
        <v>76</v>
      </c>
      <c r="B87" s="360" t="s">
        <v>595</v>
      </c>
      <c r="C87" s="361"/>
      <c r="D87" s="361"/>
      <c r="E87" s="361"/>
      <c r="F87" s="361"/>
      <c r="G87" s="361"/>
      <c r="H87" s="361"/>
      <c r="I87" s="361"/>
      <c r="J87" s="366"/>
      <c r="K87" s="367" t="s">
        <v>41</v>
      </c>
      <c r="L87" s="368"/>
      <c r="M87" s="369"/>
      <c r="N87" s="370"/>
      <c r="O87" s="371" t="s">
        <v>591</v>
      </c>
      <c r="P87" s="372"/>
      <c r="Q87" s="371" t="s">
        <v>592</v>
      </c>
      <c r="R87" s="373"/>
      <c r="S87" s="373"/>
      <c r="T87" s="371" t="s">
        <v>592</v>
      </c>
      <c r="U87" s="373"/>
      <c r="V87" s="373"/>
      <c r="W87" s="374" t="s">
        <v>230</v>
      </c>
      <c r="X87" s="375"/>
      <c r="Y87" s="376"/>
      <c r="Z87" s="377" t="s">
        <v>230</v>
      </c>
      <c r="AA87" s="378"/>
      <c r="AB87" s="379"/>
      <c r="AC87" s="380"/>
      <c r="AD87" s="381"/>
      <c r="AE87" s="382" t="s">
        <v>593</v>
      </c>
      <c r="AF87" s="383"/>
      <c r="AG87" s="383"/>
      <c r="AH87" s="383"/>
      <c r="AI87" s="383"/>
      <c r="AJ87" s="383"/>
      <c r="AK87" s="383"/>
      <c r="AL87" s="383"/>
      <c r="AM87" s="384"/>
      <c r="AN87" s="384"/>
      <c r="AO87" s="384"/>
      <c r="AP87" s="384"/>
      <c r="AQ87" s="384"/>
      <c r="AR87" s="384"/>
      <c r="AS87" s="384"/>
      <c r="AT87" s="385"/>
      <c r="AU87" s="360"/>
      <c r="AV87" s="361"/>
      <c r="AW87" s="361"/>
      <c r="AX87" s="361"/>
      <c r="AY87" s="361"/>
      <c r="AZ87" s="361"/>
      <c r="BA87" s="361"/>
      <c r="BB87" s="361"/>
      <c r="BC87" s="361"/>
      <c r="BD87" s="362"/>
      <c r="BE87" s="360" t="s">
        <v>596</v>
      </c>
      <c r="BF87" s="361"/>
      <c r="BG87" s="361"/>
      <c r="BH87" s="361"/>
      <c r="BI87" s="361"/>
      <c r="BJ87" s="361"/>
      <c r="BK87" s="361"/>
      <c r="BL87" s="361"/>
      <c r="BM87" s="361"/>
      <c r="BN87" s="361"/>
      <c r="BO87" s="361"/>
      <c r="BP87" s="361"/>
      <c r="BQ87" s="361"/>
      <c r="BR87" s="362"/>
      <c r="BS87" s="360"/>
      <c r="BT87" s="361"/>
      <c r="BU87" s="361"/>
      <c r="BV87" s="361"/>
      <c r="BW87" s="361"/>
      <c r="BX87" s="361"/>
      <c r="BY87" s="361"/>
      <c r="BZ87" s="361"/>
      <c r="CA87" s="361"/>
      <c r="CB87" s="362"/>
      <c r="CC87" s="360"/>
      <c r="CD87" s="361"/>
      <c r="CE87" s="361"/>
      <c r="CF87" s="361"/>
      <c r="CG87" s="361"/>
      <c r="CH87" s="361"/>
      <c r="CI87" s="361"/>
      <c r="CJ87" s="361"/>
      <c r="CK87" s="361"/>
      <c r="CL87" s="361"/>
      <c r="CM87" s="361"/>
      <c r="CN87" s="361"/>
      <c r="CO87" s="361"/>
      <c r="CP87" s="361"/>
      <c r="CQ87" s="361"/>
      <c r="CR87" s="361"/>
      <c r="CS87" s="362"/>
      <c r="CT87" s="360"/>
      <c r="CU87" s="361"/>
      <c r="CV87" s="361"/>
      <c r="CW87" s="361"/>
      <c r="CX87" s="361"/>
      <c r="CY87" s="361"/>
      <c r="CZ87" s="361"/>
      <c r="DA87" s="361"/>
      <c r="DB87" s="361"/>
      <c r="DC87" s="362"/>
      <c r="DD87" s="360"/>
      <c r="DE87" s="361"/>
      <c r="DF87" s="361"/>
      <c r="DG87" s="361"/>
      <c r="DH87" s="361"/>
      <c r="DI87" s="361"/>
      <c r="DJ87" s="361"/>
      <c r="DK87" s="361"/>
      <c r="DL87" s="361"/>
      <c r="DM87" s="362"/>
      <c r="DN87" s="360"/>
      <c r="DO87" s="361"/>
      <c r="DP87" s="361"/>
      <c r="DQ87" s="361"/>
      <c r="DR87" s="361"/>
      <c r="DS87" s="361"/>
      <c r="DT87" s="361"/>
      <c r="DU87" s="361"/>
      <c r="DV87" s="361"/>
      <c r="DW87" s="361"/>
      <c r="DX87" s="362"/>
      <c r="DY87" s="363"/>
      <c r="DZ87" s="364"/>
      <c r="EA87" s="364"/>
      <c r="EB87" s="364"/>
      <c r="EC87" s="364"/>
      <c r="ED87" s="364"/>
      <c r="EE87" s="364"/>
      <c r="EF87" s="365"/>
      <c r="EG87" s="159"/>
      <c r="EH87" s="159"/>
      <c r="EI87" s="159"/>
      <c r="EJ87" s="159"/>
      <c r="EK87" s="159"/>
      <c r="EL87" s="159"/>
      <c r="EM87" s="159"/>
      <c r="EN87" s="159"/>
      <c r="EO87" s="159"/>
      <c r="EP87" s="159"/>
      <c r="EQ87" s="159"/>
      <c r="ER87" s="159"/>
      <c r="ES87" s="159"/>
      <c r="ET87" s="159"/>
      <c r="EU87" s="159"/>
      <c r="EV87" s="159"/>
      <c r="EW87" s="159"/>
      <c r="EX87" s="159"/>
      <c r="EY87" s="159"/>
      <c r="EZ87" s="159"/>
      <c r="FA87" s="159"/>
      <c r="FB87" s="159"/>
      <c r="FC87" s="159"/>
      <c r="FD87" s="159"/>
      <c r="FE87" s="159"/>
      <c r="FF87" s="159"/>
      <c r="FG87" s="159"/>
      <c r="FH87" s="159"/>
      <c r="FI87" s="159"/>
      <c r="FJ87" s="159"/>
      <c r="FK87" s="159"/>
      <c r="FL87" s="159"/>
      <c r="FM87" s="159"/>
      <c r="FN87" s="159"/>
      <c r="FO87" s="159"/>
      <c r="FP87" s="159"/>
      <c r="FQ87" s="159"/>
      <c r="FR87" s="159"/>
      <c r="FS87" s="159"/>
      <c r="FT87" s="159"/>
      <c r="FU87" s="159"/>
      <c r="FV87" s="159"/>
      <c r="FW87" s="159"/>
      <c r="FX87" s="159"/>
      <c r="FY87" s="159"/>
      <c r="FZ87" s="159"/>
      <c r="GA87" s="159"/>
      <c r="GB87" s="159"/>
      <c r="GC87" s="159"/>
      <c r="GD87" s="159"/>
      <c r="GE87" s="159"/>
      <c r="GF87" s="159"/>
      <c r="GG87" s="159"/>
      <c r="GH87" s="159"/>
      <c r="GI87" s="159"/>
      <c r="GJ87" s="159"/>
      <c r="GK87" s="159"/>
      <c r="GL87" s="159"/>
      <c r="GM87" s="159"/>
      <c r="GN87" s="159"/>
      <c r="GO87" s="159"/>
      <c r="GP87" s="159"/>
      <c r="GQ87" s="159"/>
      <c r="GR87" s="159"/>
      <c r="GS87" s="159"/>
      <c r="GT87" s="159"/>
      <c r="GU87" s="159"/>
      <c r="GV87" s="159"/>
      <c r="GW87" s="159"/>
    </row>
    <row r="88" spans="1:205" ht="80.099999999999994" customHeight="1">
      <c r="A88" s="160">
        <f>IF(B88&lt;&gt;"",COUNTA($B$8:B88),"")</f>
        <v>77</v>
      </c>
      <c r="B88" s="360" t="s">
        <v>597</v>
      </c>
      <c r="C88" s="361"/>
      <c r="D88" s="361"/>
      <c r="E88" s="361"/>
      <c r="F88" s="361"/>
      <c r="G88" s="361"/>
      <c r="H88" s="361"/>
      <c r="I88" s="361"/>
      <c r="J88" s="366"/>
      <c r="K88" s="367" t="s">
        <v>41</v>
      </c>
      <c r="L88" s="368"/>
      <c r="M88" s="369"/>
      <c r="N88" s="370"/>
      <c r="O88" s="371" t="s">
        <v>591</v>
      </c>
      <c r="P88" s="372"/>
      <c r="Q88" s="371" t="s">
        <v>209</v>
      </c>
      <c r="R88" s="373"/>
      <c r="S88" s="373"/>
      <c r="T88" s="371" t="s">
        <v>209</v>
      </c>
      <c r="U88" s="373"/>
      <c r="V88" s="373"/>
      <c r="W88" s="374">
        <v>100</v>
      </c>
      <c r="X88" s="375"/>
      <c r="Y88" s="376"/>
      <c r="Z88" s="377">
        <v>100</v>
      </c>
      <c r="AA88" s="378"/>
      <c r="AB88" s="379"/>
      <c r="AC88" s="380"/>
      <c r="AD88" s="381"/>
      <c r="AE88" s="382" t="s">
        <v>593</v>
      </c>
      <c r="AF88" s="383"/>
      <c r="AG88" s="383"/>
      <c r="AH88" s="383"/>
      <c r="AI88" s="383"/>
      <c r="AJ88" s="383"/>
      <c r="AK88" s="383"/>
      <c r="AL88" s="383"/>
      <c r="AM88" s="384"/>
      <c r="AN88" s="384"/>
      <c r="AO88" s="384"/>
      <c r="AP88" s="384"/>
      <c r="AQ88" s="384"/>
      <c r="AR88" s="384"/>
      <c r="AS88" s="384"/>
      <c r="AT88" s="385"/>
      <c r="AU88" s="360"/>
      <c r="AV88" s="361"/>
      <c r="AW88" s="361"/>
      <c r="AX88" s="361"/>
      <c r="AY88" s="361"/>
      <c r="AZ88" s="361"/>
      <c r="BA88" s="361"/>
      <c r="BB88" s="361"/>
      <c r="BC88" s="361"/>
      <c r="BD88" s="362"/>
      <c r="BE88" s="360"/>
      <c r="BF88" s="361"/>
      <c r="BG88" s="361"/>
      <c r="BH88" s="361"/>
      <c r="BI88" s="361"/>
      <c r="BJ88" s="361"/>
      <c r="BK88" s="361"/>
      <c r="BL88" s="361"/>
      <c r="BM88" s="361"/>
      <c r="BN88" s="361"/>
      <c r="BO88" s="361"/>
      <c r="BP88" s="361"/>
      <c r="BQ88" s="361"/>
      <c r="BR88" s="362"/>
      <c r="BS88" s="360"/>
      <c r="BT88" s="361"/>
      <c r="BU88" s="361"/>
      <c r="BV88" s="361"/>
      <c r="BW88" s="361"/>
      <c r="BX88" s="361"/>
      <c r="BY88" s="361"/>
      <c r="BZ88" s="361"/>
      <c r="CA88" s="361"/>
      <c r="CB88" s="362"/>
      <c r="CC88" s="360" t="s">
        <v>598</v>
      </c>
      <c r="CD88" s="361"/>
      <c r="CE88" s="361"/>
      <c r="CF88" s="361"/>
      <c r="CG88" s="361"/>
      <c r="CH88" s="361"/>
      <c r="CI88" s="361"/>
      <c r="CJ88" s="361"/>
      <c r="CK88" s="361"/>
      <c r="CL88" s="361"/>
      <c r="CM88" s="361"/>
      <c r="CN88" s="361"/>
      <c r="CO88" s="361"/>
      <c r="CP88" s="361"/>
      <c r="CQ88" s="361"/>
      <c r="CR88" s="361"/>
      <c r="CS88" s="362"/>
      <c r="CT88" s="360"/>
      <c r="CU88" s="361"/>
      <c r="CV88" s="361"/>
      <c r="CW88" s="361"/>
      <c r="CX88" s="361"/>
      <c r="CY88" s="361"/>
      <c r="CZ88" s="361"/>
      <c r="DA88" s="361"/>
      <c r="DB88" s="361"/>
      <c r="DC88" s="362"/>
      <c r="DD88" s="360"/>
      <c r="DE88" s="361"/>
      <c r="DF88" s="361"/>
      <c r="DG88" s="361"/>
      <c r="DH88" s="361"/>
      <c r="DI88" s="361"/>
      <c r="DJ88" s="361"/>
      <c r="DK88" s="361"/>
      <c r="DL88" s="361"/>
      <c r="DM88" s="362"/>
      <c r="DN88" s="360"/>
      <c r="DO88" s="361"/>
      <c r="DP88" s="361"/>
      <c r="DQ88" s="361"/>
      <c r="DR88" s="361"/>
      <c r="DS88" s="361"/>
      <c r="DT88" s="361"/>
      <c r="DU88" s="361"/>
      <c r="DV88" s="361"/>
      <c r="DW88" s="361"/>
      <c r="DX88" s="362"/>
      <c r="DY88" s="363"/>
      <c r="DZ88" s="364"/>
      <c r="EA88" s="364"/>
      <c r="EB88" s="364"/>
      <c r="EC88" s="364"/>
      <c r="ED88" s="364"/>
      <c r="EE88" s="364"/>
      <c r="EF88" s="365"/>
      <c r="EG88" s="159"/>
      <c r="EH88" s="159"/>
      <c r="EI88" s="159"/>
      <c r="EJ88" s="159"/>
      <c r="EK88" s="159"/>
      <c r="EL88" s="159"/>
      <c r="EM88" s="159"/>
      <c r="EN88" s="159"/>
      <c r="EO88" s="159"/>
      <c r="EP88" s="159"/>
      <c r="EQ88" s="159"/>
      <c r="ER88" s="159"/>
      <c r="ES88" s="159"/>
      <c r="ET88" s="159"/>
      <c r="EU88" s="159"/>
      <c r="EV88" s="159"/>
      <c r="EW88" s="159"/>
      <c r="EX88" s="159"/>
      <c r="EY88" s="159"/>
      <c r="EZ88" s="159"/>
      <c r="FA88" s="159"/>
      <c r="FB88" s="159"/>
      <c r="FC88" s="159"/>
      <c r="FD88" s="159"/>
      <c r="FE88" s="159"/>
      <c r="FF88" s="159"/>
      <c r="FG88" s="159"/>
      <c r="FH88" s="159"/>
      <c r="FI88" s="159"/>
      <c r="FJ88" s="159"/>
      <c r="FK88" s="159"/>
      <c r="FL88" s="159"/>
      <c r="FM88" s="159"/>
      <c r="FN88" s="159"/>
      <c r="FO88" s="159"/>
      <c r="FP88" s="159"/>
      <c r="FQ88" s="159"/>
      <c r="FR88" s="159"/>
      <c r="FS88" s="159"/>
      <c r="FT88" s="159"/>
      <c r="FU88" s="159"/>
      <c r="FV88" s="159"/>
      <c r="FW88" s="159"/>
      <c r="FX88" s="159"/>
      <c r="FY88" s="159"/>
      <c r="FZ88" s="159"/>
      <c r="GA88" s="159"/>
      <c r="GB88" s="159"/>
      <c r="GC88" s="159"/>
      <c r="GD88" s="159"/>
      <c r="GE88" s="159"/>
      <c r="GF88" s="159"/>
      <c r="GG88" s="159"/>
      <c r="GH88" s="159"/>
      <c r="GI88" s="159"/>
      <c r="GJ88" s="159"/>
      <c r="GK88" s="159"/>
      <c r="GL88" s="159"/>
      <c r="GM88" s="159"/>
      <c r="GN88" s="159"/>
      <c r="GO88" s="159"/>
      <c r="GP88" s="159"/>
      <c r="GQ88" s="159"/>
      <c r="GR88" s="159"/>
      <c r="GS88" s="159"/>
      <c r="GT88" s="159"/>
      <c r="GU88" s="159"/>
      <c r="GV88" s="159"/>
      <c r="GW88" s="159"/>
    </row>
    <row r="89" spans="1:205" ht="80.099999999999994" customHeight="1">
      <c r="A89" s="160">
        <f>IF(B89&lt;&gt;"",COUNTA($B$8:B89),"")</f>
        <v>78</v>
      </c>
      <c r="B89" s="360" t="s">
        <v>599</v>
      </c>
      <c r="C89" s="361"/>
      <c r="D89" s="361"/>
      <c r="E89" s="361"/>
      <c r="F89" s="361"/>
      <c r="G89" s="361"/>
      <c r="H89" s="361"/>
      <c r="I89" s="361"/>
      <c r="J89" s="366"/>
      <c r="K89" s="367" t="s">
        <v>41</v>
      </c>
      <c r="L89" s="368"/>
      <c r="M89" s="369"/>
      <c r="N89" s="370"/>
      <c r="O89" s="371" t="s">
        <v>591</v>
      </c>
      <c r="P89" s="372"/>
      <c r="Q89" s="371" t="s">
        <v>209</v>
      </c>
      <c r="R89" s="373"/>
      <c r="S89" s="373"/>
      <c r="T89" s="371" t="s">
        <v>209</v>
      </c>
      <c r="U89" s="373"/>
      <c r="V89" s="373"/>
      <c r="W89" s="374">
        <v>100</v>
      </c>
      <c r="X89" s="375"/>
      <c r="Y89" s="376"/>
      <c r="Z89" s="377">
        <v>100</v>
      </c>
      <c r="AA89" s="378"/>
      <c r="AB89" s="379"/>
      <c r="AC89" s="380"/>
      <c r="AD89" s="381"/>
      <c r="AE89" s="382" t="s">
        <v>593</v>
      </c>
      <c r="AF89" s="383"/>
      <c r="AG89" s="383"/>
      <c r="AH89" s="383"/>
      <c r="AI89" s="383"/>
      <c r="AJ89" s="383"/>
      <c r="AK89" s="383"/>
      <c r="AL89" s="383"/>
      <c r="AM89" s="384"/>
      <c r="AN89" s="384"/>
      <c r="AO89" s="384"/>
      <c r="AP89" s="384"/>
      <c r="AQ89" s="384"/>
      <c r="AR89" s="384"/>
      <c r="AS89" s="384"/>
      <c r="AT89" s="385"/>
      <c r="AU89" s="360"/>
      <c r="AV89" s="361"/>
      <c r="AW89" s="361"/>
      <c r="AX89" s="361"/>
      <c r="AY89" s="361"/>
      <c r="AZ89" s="361"/>
      <c r="BA89" s="361"/>
      <c r="BB89" s="361"/>
      <c r="BC89" s="361"/>
      <c r="BD89" s="362"/>
      <c r="BE89" s="360"/>
      <c r="BF89" s="361"/>
      <c r="BG89" s="361"/>
      <c r="BH89" s="361"/>
      <c r="BI89" s="361"/>
      <c r="BJ89" s="361"/>
      <c r="BK89" s="361"/>
      <c r="BL89" s="361"/>
      <c r="BM89" s="361"/>
      <c r="BN89" s="361"/>
      <c r="BO89" s="361"/>
      <c r="BP89" s="361"/>
      <c r="BQ89" s="361"/>
      <c r="BR89" s="362"/>
      <c r="BS89" s="360"/>
      <c r="BT89" s="361"/>
      <c r="BU89" s="361"/>
      <c r="BV89" s="361"/>
      <c r="BW89" s="361"/>
      <c r="BX89" s="361"/>
      <c r="BY89" s="361"/>
      <c r="BZ89" s="361"/>
      <c r="CA89" s="361"/>
      <c r="CB89" s="362"/>
      <c r="CC89" s="360" t="s">
        <v>600</v>
      </c>
      <c r="CD89" s="361"/>
      <c r="CE89" s="361"/>
      <c r="CF89" s="361"/>
      <c r="CG89" s="361"/>
      <c r="CH89" s="361"/>
      <c r="CI89" s="361"/>
      <c r="CJ89" s="361"/>
      <c r="CK89" s="361"/>
      <c r="CL89" s="361"/>
      <c r="CM89" s="361"/>
      <c r="CN89" s="361"/>
      <c r="CO89" s="361"/>
      <c r="CP89" s="361"/>
      <c r="CQ89" s="361"/>
      <c r="CR89" s="361"/>
      <c r="CS89" s="362"/>
      <c r="CT89" s="360"/>
      <c r="CU89" s="361"/>
      <c r="CV89" s="361"/>
      <c r="CW89" s="361"/>
      <c r="CX89" s="361"/>
      <c r="CY89" s="361"/>
      <c r="CZ89" s="361"/>
      <c r="DA89" s="361"/>
      <c r="DB89" s="361"/>
      <c r="DC89" s="362"/>
      <c r="DD89" s="360"/>
      <c r="DE89" s="361"/>
      <c r="DF89" s="361"/>
      <c r="DG89" s="361"/>
      <c r="DH89" s="361"/>
      <c r="DI89" s="361"/>
      <c r="DJ89" s="361"/>
      <c r="DK89" s="361"/>
      <c r="DL89" s="361"/>
      <c r="DM89" s="362"/>
      <c r="DN89" s="360"/>
      <c r="DO89" s="361"/>
      <c r="DP89" s="361"/>
      <c r="DQ89" s="361"/>
      <c r="DR89" s="361"/>
      <c r="DS89" s="361"/>
      <c r="DT89" s="361"/>
      <c r="DU89" s="361"/>
      <c r="DV89" s="361"/>
      <c r="DW89" s="361"/>
      <c r="DX89" s="362"/>
      <c r="DY89" s="363"/>
      <c r="DZ89" s="364"/>
      <c r="EA89" s="364"/>
      <c r="EB89" s="364"/>
      <c r="EC89" s="364"/>
      <c r="ED89" s="364"/>
      <c r="EE89" s="364"/>
      <c r="EF89" s="365"/>
      <c r="EG89" s="159"/>
      <c r="EH89" s="159"/>
      <c r="EI89" s="159"/>
      <c r="EJ89" s="159"/>
      <c r="EK89" s="159"/>
      <c r="EL89" s="159"/>
      <c r="EM89" s="159"/>
      <c r="EN89" s="159"/>
      <c r="EO89" s="159"/>
      <c r="EP89" s="159"/>
      <c r="EQ89" s="159"/>
      <c r="ER89" s="159"/>
      <c r="ES89" s="159"/>
      <c r="ET89" s="159"/>
      <c r="EU89" s="159"/>
      <c r="EV89" s="159"/>
      <c r="EW89" s="159"/>
      <c r="EX89" s="159"/>
      <c r="EY89" s="159"/>
      <c r="EZ89" s="159"/>
      <c r="FA89" s="159"/>
      <c r="FB89" s="159"/>
      <c r="FC89" s="159"/>
      <c r="FD89" s="159"/>
      <c r="FE89" s="159"/>
      <c r="FF89" s="159"/>
      <c r="FG89" s="159"/>
      <c r="FH89" s="159"/>
      <c r="FI89" s="159"/>
      <c r="FJ89" s="159"/>
      <c r="FK89" s="159"/>
      <c r="FL89" s="159"/>
      <c r="FM89" s="159"/>
      <c r="FN89" s="159"/>
      <c r="FO89" s="159"/>
      <c r="FP89" s="159"/>
      <c r="FQ89" s="159"/>
      <c r="FR89" s="159"/>
      <c r="FS89" s="159"/>
      <c r="FT89" s="159"/>
      <c r="FU89" s="159"/>
      <c r="FV89" s="159"/>
      <c r="FW89" s="159"/>
      <c r="FX89" s="159"/>
      <c r="FY89" s="159"/>
      <c r="FZ89" s="159"/>
      <c r="GA89" s="159"/>
      <c r="GB89" s="159"/>
      <c r="GC89" s="159"/>
      <c r="GD89" s="159"/>
      <c r="GE89" s="159"/>
      <c r="GF89" s="159"/>
      <c r="GG89" s="159"/>
      <c r="GH89" s="159"/>
      <c r="GI89" s="159"/>
      <c r="GJ89" s="159"/>
      <c r="GK89" s="159"/>
      <c r="GL89" s="159"/>
      <c r="GM89" s="159"/>
      <c r="GN89" s="159"/>
      <c r="GO89" s="159"/>
      <c r="GP89" s="159"/>
      <c r="GQ89" s="159"/>
      <c r="GR89" s="159"/>
      <c r="GS89" s="159"/>
      <c r="GT89" s="159"/>
      <c r="GU89" s="159"/>
      <c r="GV89" s="159"/>
      <c r="GW89" s="159"/>
    </row>
    <row r="90" spans="1:205" ht="80.099999999999994" customHeight="1">
      <c r="A90" s="160">
        <f>IF(B90&lt;&gt;"",COUNTA($B$8:B90),"")</f>
        <v>79</v>
      </c>
      <c r="B90" s="360" t="s">
        <v>601</v>
      </c>
      <c r="C90" s="361"/>
      <c r="D90" s="361"/>
      <c r="E90" s="361"/>
      <c r="F90" s="361"/>
      <c r="G90" s="361"/>
      <c r="H90" s="361"/>
      <c r="I90" s="361"/>
      <c r="J90" s="366"/>
      <c r="K90" s="367" t="s">
        <v>41</v>
      </c>
      <c r="L90" s="368"/>
      <c r="M90" s="369"/>
      <c r="N90" s="370"/>
      <c r="O90" s="371" t="s">
        <v>591</v>
      </c>
      <c r="P90" s="372"/>
      <c r="Q90" s="371" t="s">
        <v>209</v>
      </c>
      <c r="R90" s="373"/>
      <c r="S90" s="373"/>
      <c r="T90" s="371" t="s">
        <v>209</v>
      </c>
      <c r="U90" s="373"/>
      <c r="V90" s="373"/>
      <c r="W90" s="374">
        <v>100</v>
      </c>
      <c r="X90" s="375"/>
      <c r="Y90" s="376"/>
      <c r="Z90" s="377">
        <v>100</v>
      </c>
      <c r="AA90" s="378"/>
      <c r="AB90" s="379"/>
      <c r="AC90" s="380"/>
      <c r="AD90" s="381"/>
      <c r="AE90" s="382" t="s">
        <v>593</v>
      </c>
      <c r="AF90" s="383"/>
      <c r="AG90" s="383"/>
      <c r="AH90" s="383"/>
      <c r="AI90" s="383"/>
      <c r="AJ90" s="383"/>
      <c r="AK90" s="383"/>
      <c r="AL90" s="383"/>
      <c r="AM90" s="384"/>
      <c r="AN90" s="384"/>
      <c r="AO90" s="384"/>
      <c r="AP90" s="384"/>
      <c r="AQ90" s="384"/>
      <c r="AR90" s="384"/>
      <c r="AS90" s="384"/>
      <c r="AT90" s="385"/>
      <c r="AU90" s="360"/>
      <c r="AV90" s="361"/>
      <c r="AW90" s="361"/>
      <c r="AX90" s="361"/>
      <c r="AY90" s="361"/>
      <c r="AZ90" s="361"/>
      <c r="BA90" s="361"/>
      <c r="BB90" s="361"/>
      <c r="BC90" s="361"/>
      <c r="BD90" s="362"/>
      <c r="BE90" s="360"/>
      <c r="BF90" s="361"/>
      <c r="BG90" s="361"/>
      <c r="BH90" s="361"/>
      <c r="BI90" s="361"/>
      <c r="BJ90" s="361"/>
      <c r="BK90" s="361"/>
      <c r="BL90" s="361"/>
      <c r="BM90" s="361"/>
      <c r="BN90" s="361"/>
      <c r="BO90" s="361"/>
      <c r="BP90" s="361"/>
      <c r="BQ90" s="361"/>
      <c r="BR90" s="362"/>
      <c r="BS90" s="360"/>
      <c r="BT90" s="361"/>
      <c r="BU90" s="361"/>
      <c r="BV90" s="361"/>
      <c r="BW90" s="361"/>
      <c r="BX90" s="361"/>
      <c r="BY90" s="361"/>
      <c r="BZ90" s="361"/>
      <c r="CA90" s="361"/>
      <c r="CB90" s="362"/>
      <c r="CC90" s="360" t="s">
        <v>602</v>
      </c>
      <c r="CD90" s="361"/>
      <c r="CE90" s="361"/>
      <c r="CF90" s="361"/>
      <c r="CG90" s="361"/>
      <c r="CH90" s="361"/>
      <c r="CI90" s="361"/>
      <c r="CJ90" s="361"/>
      <c r="CK90" s="361"/>
      <c r="CL90" s="361"/>
      <c r="CM90" s="361"/>
      <c r="CN90" s="361"/>
      <c r="CO90" s="361"/>
      <c r="CP90" s="361"/>
      <c r="CQ90" s="361"/>
      <c r="CR90" s="361"/>
      <c r="CS90" s="362"/>
      <c r="CT90" s="360"/>
      <c r="CU90" s="361"/>
      <c r="CV90" s="361"/>
      <c r="CW90" s="361"/>
      <c r="CX90" s="361"/>
      <c r="CY90" s="361"/>
      <c r="CZ90" s="361"/>
      <c r="DA90" s="361"/>
      <c r="DB90" s="361"/>
      <c r="DC90" s="362"/>
      <c r="DD90" s="360"/>
      <c r="DE90" s="361"/>
      <c r="DF90" s="361"/>
      <c r="DG90" s="361"/>
      <c r="DH90" s="361"/>
      <c r="DI90" s="361"/>
      <c r="DJ90" s="361"/>
      <c r="DK90" s="361"/>
      <c r="DL90" s="361"/>
      <c r="DM90" s="362"/>
      <c r="DN90" s="360"/>
      <c r="DO90" s="361"/>
      <c r="DP90" s="361"/>
      <c r="DQ90" s="361"/>
      <c r="DR90" s="361"/>
      <c r="DS90" s="361"/>
      <c r="DT90" s="361"/>
      <c r="DU90" s="361"/>
      <c r="DV90" s="361"/>
      <c r="DW90" s="361"/>
      <c r="DX90" s="362"/>
      <c r="DY90" s="363"/>
      <c r="DZ90" s="364"/>
      <c r="EA90" s="364"/>
      <c r="EB90" s="364"/>
      <c r="EC90" s="364"/>
      <c r="ED90" s="364"/>
      <c r="EE90" s="364"/>
      <c r="EF90" s="365"/>
      <c r="EG90" s="159"/>
      <c r="EH90" s="159"/>
      <c r="EI90" s="159"/>
      <c r="EJ90" s="159"/>
      <c r="EK90" s="159"/>
      <c r="EL90" s="159"/>
      <c r="EM90" s="159"/>
      <c r="EN90" s="159"/>
      <c r="EO90" s="159"/>
      <c r="EP90" s="159"/>
      <c r="EQ90" s="159"/>
      <c r="ER90" s="159"/>
      <c r="ES90" s="159"/>
      <c r="ET90" s="159"/>
      <c r="EU90" s="159"/>
      <c r="EV90" s="159"/>
      <c r="EW90" s="159"/>
      <c r="EX90" s="159"/>
      <c r="EY90" s="159"/>
      <c r="EZ90" s="159"/>
      <c r="FA90" s="159"/>
      <c r="FB90" s="159"/>
      <c r="FC90" s="159"/>
      <c r="FD90" s="159"/>
      <c r="FE90" s="159"/>
      <c r="FF90" s="159"/>
      <c r="FG90" s="159"/>
      <c r="FH90" s="159"/>
      <c r="FI90" s="159"/>
      <c r="FJ90" s="159"/>
      <c r="FK90" s="159"/>
      <c r="FL90" s="159"/>
      <c r="FM90" s="159"/>
      <c r="FN90" s="159"/>
      <c r="FO90" s="159"/>
      <c r="FP90" s="159"/>
      <c r="FQ90" s="159"/>
      <c r="FR90" s="159"/>
      <c r="FS90" s="159"/>
      <c r="FT90" s="159"/>
      <c r="FU90" s="159"/>
      <c r="FV90" s="159"/>
      <c r="FW90" s="159"/>
      <c r="FX90" s="159"/>
      <c r="FY90" s="159"/>
      <c r="FZ90" s="159"/>
      <c r="GA90" s="159"/>
      <c r="GB90" s="159"/>
      <c r="GC90" s="159"/>
      <c r="GD90" s="159"/>
      <c r="GE90" s="159"/>
      <c r="GF90" s="159"/>
      <c r="GG90" s="159"/>
      <c r="GH90" s="159"/>
      <c r="GI90" s="159"/>
      <c r="GJ90" s="159"/>
      <c r="GK90" s="159"/>
      <c r="GL90" s="159"/>
      <c r="GM90" s="159"/>
      <c r="GN90" s="159"/>
      <c r="GO90" s="159"/>
      <c r="GP90" s="159"/>
      <c r="GQ90" s="159"/>
      <c r="GR90" s="159"/>
      <c r="GS90" s="159"/>
      <c r="GT90" s="159"/>
      <c r="GU90" s="159"/>
      <c r="GV90" s="159"/>
      <c r="GW90" s="159"/>
    </row>
    <row r="91" spans="1:205" ht="60" customHeight="1">
      <c r="A91" s="160">
        <f>IF(B91&lt;&gt;"",COUNTA($B$8:B91),"")</f>
        <v>80</v>
      </c>
      <c r="B91" s="360" t="s">
        <v>603</v>
      </c>
      <c r="C91" s="361"/>
      <c r="D91" s="361"/>
      <c r="E91" s="361"/>
      <c r="F91" s="361"/>
      <c r="G91" s="361"/>
      <c r="H91" s="361"/>
      <c r="I91" s="361"/>
      <c r="J91" s="366"/>
      <c r="K91" s="367" t="s">
        <v>41</v>
      </c>
      <c r="L91" s="368"/>
      <c r="M91" s="369"/>
      <c r="N91" s="370"/>
      <c r="O91" s="371" t="s">
        <v>591</v>
      </c>
      <c r="P91" s="372"/>
      <c r="Q91" s="371" t="s">
        <v>209</v>
      </c>
      <c r="R91" s="373"/>
      <c r="S91" s="373"/>
      <c r="T91" s="371" t="s">
        <v>209</v>
      </c>
      <c r="U91" s="373"/>
      <c r="V91" s="373"/>
      <c r="W91" s="374">
        <v>100</v>
      </c>
      <c r="X91" s="375"/>
      <c r="Y91" s="376"/>
      <c r="Z91" s="377">
        <v>100</v>
      </c>
      <c r="AA91" s="378"/>
      <c r="AB91" s="379"/>
      <c r="AC91" s="380"/>
      <c r="AD91" s="381"/>
      <c r="AE91" s="382" t="s">
        <v>593</v>
      </c>
      <c r="AF91" s="383"/>
      <c r="AG91" s="383"/>
      <c r="AH91" s="383"/>
      <c r="AI91" s="383"/>
      <c r="AJ91" s="383"/>
      <c r="AK91" s="383"/>
      <c r="AL91" s="383"/>
      <c r="AM91" s="384"/>
      <c r="AN91" s="384"/>
      <c r="AO91" s="384"/>
      <c r="AP91" s="384"/>
      <c r="AQ91" s="384"/>
      <c r="AR91" s="384"/>
      <c r="AS91" s="384"/>
      <c r="AT91" s="385"/>
      <c r="AU91" s="360"/>
      <c r="AV91" s="361"/>
      <c r="AW91" s="361"/>
      <c r="AX91" s="361"/>
      <c r="AY91" s="361"/>
      <c r="AZ91" s="361"/>
      <c r="BA91" s="361"/>
      <c r="BB91" s="361"/>
      <c r="BC91" s="361"/>
      <c r="BD91" s="362"/>
      <c r="BE91" s="360"/>
      <c r="BF91" s="361"/>
      <c r="BG91" s="361"/>
      <c r="BH91" s="361"/>
      <c r="BI91" s="361"/>
      <c r="BJ91" s="361"/>
      <c r="BK91" s="361"/>
      <c r="BL91" s="361"/>
      <c r="BM91" s="361"/>
      <c r="BN91" s="361"/>
      <c r="BO91" s="361"/>
      <c r="BP91" s="361"/>
      <c r="BQ91" s="361"/>
      <c r="BR91" s="362"/>
      <c r="BS91" s="360"/>
      <c r="BT91" s="361"/>
      <c r="BU91" s="361"/>
      <c r="BV91" s="361"/>
      <c r="BW91" s="361"/>
      <c r="BX91" s="361"/>
      <c r="BY91" s="361"/>
      <c r="BZ91" s="361"/>
      <c r="CA91" s="361"/>
      <c r="CB91" s="362"/>
      <c r="CC91" s="360" t="s">
        <v>604</v>
      </c>
      <c r="CD91" s="361"/>
      <c r="CE91" s="361"/>
      <c r="CF91" s="361"/>
      <c r="CG91" s="361"/>
      <c r="CH91" s="361"/>
      <c r="CI91" s="361"/>
      <c r="CJ91" s="361"/>
      <c r="CK91" s="361"/>
      <c r="CL91" s="361"/>
      <c r="CM91" s="361"/>
      <c r="CN91" s="361"/>
      <c r="CO91" s="361"/>
      <c r="CP91" s="361"/>
      <c r="CQ91" s="361"/>
      <c r="CR91" s="361"/>
      <c r="CS91" s="362"/>
      <c r="CT91" s="360"/>
      <c r="CU91" s="361"/>
      <c r="CV91" s="361"/>
      <c r="CW91" s="361"/>
      <c r="CX91" s="361"/>
      <c r="CY91" s="361"/>
      <c r="CZ91" s="361"/>
      <c r="DA91" s="361"/>
      <c r="DB91" s="361"/>
      <c r="DC91" s="362"/>
      <c r="DD91" s="360"/>
      <c r="DE91" s="361"/>
      <c r="DF91" s="361"/>
      <c r="DG91" s="361"/>
      <c r="DH91" s="361"/>
      <c r="DI91" s="361"/>
      <c r="DJ91" s="361"/>
      <c r="DK91" s="361"/>
      <c r="DL91" s="361"/>
      <c r="DM91" s="362"/>
      <c r="DN91" s="360"/>
      <c r="DO91" s="361"/>
      <c r="DP91" s="361"/>
      <c r="DQ91" s="361"/>
      <c r="DR91" s="361"/>
      <c r="DS91" s="361"/>
      <c r="DT91" s="361"/>
      <c r="DU91" s="361"/>
      <c r="DV91" s="361"/>
      <c r="DW91" s="361"/>
      <c r="DX91" s="362"/>
      <c r="DY91" s="363"/>
      <c r="DZ91" s="364"/>
      <c r="EA91" s="364"/>
      <c r="EB91" s="364"/>
      <c r="EC91" s="364"/>
      <c r="ED91" s="364"/>
      <c r="EE91" s="364"/>
      <c r="EF91" s="365"/>
      <c r="EG91" s="159"/>
      <c r="EH91" s="159"/>
      <c r="EI91" s="159"/>
      <c r="EJ91" s="159"/>
      <c r="EK91" s="159"/>
      <c r="EL91" s="159"/>
      <c r="EM91" s="159"/>
      <c r="EN91" s="159"/>
      <c r="EO91" s="159"/>
      <c r="EP91" s="159"/>
      <c r="EQ91" s="159"/>
      <c r="ER91" s="159"/>
      <c r="ES91" s="159"/>
      <c r="ET91" s="159"/>
      <c r="EU91" s="159"/>
      <c r="EV91" s="159"/>
      <c r="EW91" s="159"/>
      <c r="EX91" s="159"/>
      <c r="EY91" s="159"/>
      <c r="EZ91" s="159"/>
      <c r="FA91" s="159"/>
      <c r="FB91" s="159"/>
      <c r="FC91" s="159"/>
      <c r="FD91" s="159"/>
      <c r="FE91" s="159"/>
      <c r="FF91" s="159"/>
      <c r="FG91" s="159"/>
      <c r="FH91" s="159"/>
      <c r="FI91" s="159"/>
      <c r="FJ91" s="159"/>
      <c r="FK91" s="159"/>
      <c r="FL91" s="159"/>
      <c r="FM91" s="159"/>
      <c r="FN91" s="159"/>
      <c r="FO91" s="159"/>
      <c r="FP91" s="159"/>
      <c r="FQ91" s="159"/>
      <c r="FR91" s="159"/>
      <c r="FS91" s="159"/>
      <c r="FT91" s="159"/>
      <c r="FU91" s="159"/>
      <c r="FV91" s="159"/>
      <c r="FW91" s="159"/>
      <c r="FX91" s="159"/>
      <c r="FY91" s="159"/>
      <c r="FZ91" s="159"/>
      <c r="GA91" s="159"/>
      <c r="GB91" s="159"/>
      <c r="GC91" s="159"/>
      <c r="GD91" s="159"/>
      <c r="GE91" s="159"/>
      <c r="GF91" s="159"/>
      <c r="GG91" s="159"/>
      <c r="GH91" s="159"/>
      <c r="GI91" s="159"/>
      <c r="GJ91" s="159"/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</row>
    <row r="92" spans="1:205" ht="101.25" customHeight="1">
      <c r="A92" s="161">
        <f>IF(B92&lt;&gt;"",COUNTA($B$8:B92),"")</f>
        <v>81</v>
      </c>
      <c r="B92" s="389" t="s">
        <v>605</v>
      </c>
      <c r="C92" s="390"/>
      <c r="D92" s="390"/>
      <c r="E92" s="390"/>
      <c r="F92" s="390"/>
      <c r="G92" s="390"/>
      <c r="H92" s="390"/>
      <c r="I92" s="390"/>
      <c r="J92" s="392"/>
      <c r="K92" s="393" t="s">
        <v>33</v>
      </c>
      <c r="L92" s="394"/>
      <c r="M92" s="395"/>
      <c r="N92" s="396"/>
      <c r="O92" s="393"/>
      <c r="P92" s="394"/>
      <c r="Q92" s="397" t="s">
        <v>209</v>
      </c>
      <c r="R92" s="398"/>
      <c r="S92" s="398"/>
      <c r="T92" s="393" t="s">
        <v>209</v>
      </c>
      <c r="U92" s="399"/>
      <c r="V92" s="394"/>
      <c r="W92" s="400" t="s">
        <v>593</v>
      </c>
      <c r="X92" s="401"/>
      <c r="Y92" s="402"/>
      <c r="Z92" s="403" t="s">
        <v>593</v>
      </c>
      <c r="AA92" s="403"/>
      <c r="AB92" s="404"/>
      <c r="AC92" s="405"/>
      <c r="AD92" s="406"/>
      <c r="AE92" s="407"/>
      <c r="AF92" s="408"/>
      <c r="AG92" s="408"/>
      <c r="AH92" s="408"/>
      <c r="AI92" s="408"/>
      <c r="AJ92" s="408"/>
      <c r="AK92" s="408"/>
      <c r="AL92" s="409"/>
      <c r="AM92" s="410"/>
      <c r="AN92" s="410"/>
      <c r="AO92" s="410"/>
      <c r="AP92" s="410"/>
      <c r="AQ92" s="410"/>
      <c r="AR92" s="410"/>
      <c r="AS92" s="410"/>
      <c r="AT92" s="411"/>
      <c r="AU92" s="389"/>
      <c r="AV92" s="390"/>
      <c r="AW92" s="390"/>
      <c r="AX92" s="390"/>
      <c r="AY92" s="390"/>
      <c r="AZ92" s="390"/>
      <c r="BA92" s="390"/>
      <c r="BB92" s="390"/>
      <c r="BC92" s="390"/>
      <c r="BD92" s="391"/>
      <c r="BE92" s="412" t="s">
        <v>606</v>
      </c>
      <c r="BF92" s="413"/>
      <c r="BG92" s="413"/>
      <c r="BH92" s="413"/>
      <c r="BI92" s="413"/>
      <c r="BJ92" s="413"/>
      <c r="BK92" s="413"/>
      <c r="BL92" s="413"/>
      <c r="BM92" s="413"/>
      <c r="BN92" s="413"/>
      <c r="BO92" s="413"/>
      <c r="BP92" s="413"/>
      <c r="BQ92" s="413"/>
      <c r="BR92" s="414"/>
      <c r="BS92" s="389"/>
      <c r="BT92" s="390"/>
      <c r="BU92" s="390"/>
      <c r="BV92" s="390"/>
      <c r="BW92" s="390"/>
      <c r="BX92" s="390"/>
      <c r="BY92" s="390"/>
      <c r="BZ92" s="390"/>
      <c r="CA92" s="390"/>
      <c r="CB92" s="391"/>
      <c r="CC92" s="415"/>
      <c r="CD92" s="416"/>
      <c r="CE92" s="416"/>
      <c r="CF92" s="416"/>
      <c r="CG92" s="416"/>
      <c r="CH92" s="416"/>
      <c r="CI92" s="416"/>
      <c r="CJ92" s="416"/>
      <c r="CK92" s="416"/>
      <c r="CL92" s="416"/>
      <c r="CM92" s="416"/>
      <c r="CN92" s="416"/>
      <c r="CO92" s="416"/>
      <c r="CP92" s="416"/>
      <c r="CQ92" s="416"/>
      <c r="CR92" s="416"/>
      <c r="CS92" s="417"/>
      <c r="CT92" s="418" t="s">
        <v>607</v>
      </c>
      <c r="CU92" s="419"/>
      <c r="CV92" s="419"/>
      <c r="CW92" s="419"/>
      <c r="CX92" s="419"/>
      <c r="CY92" s="419"/>
      <c r="CZ92" s="419"/>
      <c r="DA92" s="419"/>
      <c r="DB92" s="419"/>
      <c r="DC92" s="420"/>
      <c r="DD92" s="415"/>
      <c r="DE92" s="416"/>
      <c r="DF92" s="416"/>
      <c r="DG92" s="416"/>
      <c r="DH92" s="416"/>
      <c r="DI92" s="416"/>
      <c r="DJ92" s="416"/>
      <c r="DK92" s="416"/>
      <c r="DL92" s="416"/>
      <c r="DM92" s="417"/>
      <c r="DN92" s="389"/>
      <c r="DO92" s="390"/>
      <c r="DP92" s="390"/>
      <c r="DQ92" s="390"/>
      <c r="DR92" s="390"/>
      <c r="DS92" s="390"/>
      <c r="DT92" s="390"/>
      <c r="DU92" s="390"/>
      <c r="DV92" s="390"/>
      <c r="DW92" s="390"/>
      <c r="DX92" s="391"/>
      <c r="DY92" s="389"/>
      <c r="DZ92" s="390"/>
      <c r="EA92" s="390"/>
      <c r="EB92" s="390"/>
      <c r="EC92" s="390"/>
      <c r="ED92" s="390"/>
      <c r="EE92" s="390"/>
      <c r="EF92" s="391"/>
    </row>
  </sheetData>
  <autoFilter ref="A6:EF85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2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</autoFilter>
  <mergeCells count="1657">
    <mergeCell ref="DN92:DX92"/>
    <mergeCell ref="DY92:EF92"/>
    <mergeCell ref="B92:J92"/>
    <mergeCell ref="K92:L92"/>
    <mergeCell ref="M92:N92"/>
    <mergeCell ref="O92:P92"/>
    <mergeCell ref="Q92:S92"/>
    <mergeCell ref="T92:V92"/>
    <mergeCell ref="W92:Y92"/>
    <mergeCell ref="Z92:AB92"/>
    <mergeCell ref="AC92:AD92"/>
    <mergeCell ref="AE92:AL92"/>
    <mergeCell ref="AM92:AT92"/>
    <mergeCell ref="AU92:BD92"/>
    <mergeCell ref="BE92:BR92"/>
    <mergeCell ref="BS92:CB92"/>
    <mergeCell ref="CC92:CS92"/>
    <mergeCell ref="CT92:DC92"/>
    <mergeCell ref="DD92:DM92"/>
    <mergeCell ref="DN90:DX90"/>
    <mergeCell ref="DY90:EF90"/>
    <mergeCell ref="A85:J85"/>
    <mergeCell ref="B91:J91"/>
    <mergeCell ref="K91:L91"/>
    <mergeCell ref="M91:N91"/>
    <mergeCell ref="O91:P91"/>
    <mergeCell ref="Q91:S91"/>
    <mergeCell ref="T91:V91"/>
    <mergeCell ref="W91:Y91"/>
    <mergeCell ref="Z91:AB91"/>
    <mergeCell ref="AC91:AD91"/>
    <mergeCell ref="AE91:AL91"/>
    <mergeCell ref="AM91:AT91"/>
    <mergeCell ref="AU91:BD91"/>
    <mergeCell ref="BE91:BR91"/>
    <mergeCell ref="BS91:CB91"/>
    <mergeCell ref="CC91:CS91"/>
    <mergeCell ref="CT91:DC91"/>
    <mergeCell ref="DD91:DM91"/>
    <mergeCell ref="DN91:DX91"/>
    <mergeCell ref="DY91:EF91"/>
    <mergeCell ref="B90:J90"/>
    <mergeCell ref="K90:L90"/>
    <mergeCell ref="M90:N90"/>
    <mergeCell ref="O90:P90"/>
    <mergeCell ref="Q90:S90"/>
    <mergeCell ref="T90:V90"/>
    <mergeCell ref="W90:Y90"/>
    <mergeCell ref="Z90:AB90"/>
    <mergeCell ref="AC90:AD90"/>
    <mergeCell ref="AE90:AL90"/>
    <mergeCell ref="AM90:AT90"/>
    <mergeCell ref="AU90:BD90"/>
    <mergeCell ref="BE90:BR90"/>
    <mergeCell ref="BS90:CB90"/>
    <mergeCell ref="CC90:CS90"/>
    <mergeCell ref="CT90:DC90"/>
    <mergeCell ref="DD90:DM90"/>
    <mergeCell ref="DN88:DX88"/>
    <mergeCell ref="DY88:EF88"/>
    <mergeCell ref="B89:J89"/>
    <mergeCell ref="K89:L89"/>
    <mergeCell ref="M89:N89"/>
    <mergeCell ref="O89:P89"/>
    <mergeCell ref="Q89:S89"/>
    <mergeCell ref="T89:V89"/>
    <mergeCell ref="W89:Y89"/>
    <mergeCell ref="Z89:AB89"/>
    <mergeCell ref="AC89:AD89"/>
    <mergeCell ref="AE89:AL89"/>
    <mergeCell ref="AM89:AT89"/>
    <mergeCell ref="AU89:BD89"/>
    <mergeCell ref="BE89:BR89"/>
    <mergeCell ref="BS89:CB89"/>
    <mergeCell ref="CC89:CS89"/>
    <mergeCell ref="CT89:DC89"/>
    <mergeCell ref="DD89:DM89"/>
    <mergeCell ref="DN89:DX89"/>
    <mergeCell ref="DY89:EF89"/>
    <mergeCell ref="B88:J88"/>
    <mergeCell ref="K88:L88"/>
    <mergeCell ref="M88:N88"/>
    <mergeCell ref="O88:P88"/>
    <mergeCell ref="Q88:S88"/>
    <mergeCell ref="T88:V88"/>
    <mergeCell ref="W88:Y88"/>
    <mergeCell ref="Z88:AB88"/>
    <mergeCell ref="AC88:AD88"/>
    <mergeCell ref="AE88:AL88"/>
    <mergeCell ref="AM88:AT88"/>
    <mergeCell ref="AU88:BD88"/>
    <mergeCell ref="BE88:BR88"/>
    <mergeCell ref="BS88:CB88"/>
    <mergeCell ref="CC88:CS88"/>
    <mergeCell ref="CT88:DC88"/>
    <mergeCell ref="DD88:DM88"/>
    <mergeCell ref="DD86:DM86"/>
    <mergeCell ref="DN86:DX86"/>
    <mergeCell ref="DY86:EF86"/>
    <mergeCell ref="B87:J87"/>
    <mergeCell ref="K87:L87"/>
    <mergeCell ref="M87:N87"/>
    <mergeCell ref="O87:P87"/>
    <mergeCell ref="Q87:S87"/>
    <mergeCell ref="T87:V87"/>
    <mergeCell ref="W87:Y87"/>
    <mergeCell ref="Z87:AB87"/>
    <mergeCell ref="AC87:AD87"/>
    <mergeCell ref="AE87:AL87"/>
    <mergeCell ref="AM87:AT87"/>
    <mergeCell ref="AU87:BD87"/>
    <mergeCell ref="BE87:BR87"/>
    <mergeCell ref="BS87:CB87"/>
    <mergeCell ref="CC87:CS87"/>
    <mergeCell ref="CT87:DC87"/>
    <mergeCell ref="DD87:DM87"/>
    <mergeCell ref="DN87:DX87"/>
    <mergeCell ref="DY87:EF87"/>
    <mergeCell ref="B86:J86"/>
    <mergeCell ref="K86:L86"/>
    <mergeCell ref="M86:N86"/>
    <mergeCell ref="O86:P86"/>
    <mergeCell ref="Q86:S86"/>
    <mergeCell ref="T86:V86"/>
    <mergeCell ref="W86:Y86"/>
    <mergeCell ref="Z86:AB86"/>
    <mergeCell ref="AC86:AD86"/>
    <mergeCell ref="AE86:AL86"/>
    <mergeCell ref="AM86:AT86"/>
    <mergeCell ref="AU86:BD86"/>
    <mergeCell ref="BE86:BR86"/>
    <mergeCell ref="BS86:CB86"/>
    <mergeCell ref="CC86:CS86"/>
    <mergeCell ref="CT86:DC86"/>
    <mergeCell ref="K55:L55"/>
    <mergeCell ref="B55:J55"/>
    <mergeCell ref="DY55:EF55"/>
    <mergeCell ref="DN55:DX55"/>
    <mergeCell ref="DY54:EF54"/>
    <mergeCell ref="B61:J61"/>
    <mergeCell ref="K61:L61"/>
    <mergeCell ref="M61:N61"/>
    <mergeCell ref="O61:P61"/>
    <mergeCell ref="Q61:S61"/>
    <mergeCell ref="T61:V61"/>
    <mergeCell ref="W61:Y61"/>
    <mergeCell ref="Z61:AB61"/>
    <mergeCell ref="AC61:AD61"/>
    <mergeCell ref="AE61:AL61"/>
    <mergeCell ref="AM61:AT61"/>
    <mergeCell ref="AU61:BD61"/>
    <mergeCell ref="BE61:BR61"/>
    <mergeCell ref="BS61:CB61"/>
    <mergeCell ref="CC61:CS61"/>
    <mergeCell ref="CT61:DC61"/>
    <mergeCell ref="DD61:DM61"/>
    <mergeCell ref="DN61:DX61"/>
    <mergeCell ref="DY61:EF61"/>
    <mergeCell ref="B54:J54"/>
    <mergeCell ref="K54:L54"/>
    <mergeCell ref="M54:N54"/>
    <mergeCell ref="O54:P54"/>
    <mergeCell ref="Q54:S54"/>
    <mergeCell ref="T54:V54"/>
    <mergeCell ref="W54:Y54"/>
    <mergeCell ref="Z54:AB54"/>
    <mergeCell ref="DN38:DX38"/>
    <mergeCell ref="DY38:EF38"/>
    <mergeCell ref="DN39:DX39"/>
    <mergeCell ref="DY39:EF39"/>
    <mergeCell ref="DD55:DM55"/>
    <mergeCell ref="AU54:BD54"/>
    <mergeCell ref="BE54:BR54"/>
    <mergeCell ref="BS54:CB54"/>
    <mergeCell ref="CC54:CS54"/>
    <mergeCell ref="CT54:DC54"/>
    <mergeCell ref="DD54:DM54"/>
    <mergeCell ref="DN54:DX54"/>
    <mergeCell ref="CC55:CS55"/>
    <mergeCell ref="BS55:CB55"/>
    <mergeCell ref="BE55:BR55"/>
    <mergeCell ref="AU55:BD55"/>
    <mergeCell ref="AM55:AT55"/>
    <mergeCell ref="AU39:BD39"/>
    <mergeCell ref="BE39:BR39"/>
    <mergeCell ref="BS39:CB39"/>
    <mergeCell ref="CC39:CS39"/>
    <mergeCell ref="CT39:DC39"/>
    <mergeCell ref="DD39:DM39"/>
    <mergeCell ref="DY53:EF53"/>
    <mergeCell ref="DY50:EF50"/>
    <mergeCell ref="CC51:CS51"/>
    <mergeCell ref="CT51:DC51"/>
    <mergeCell ref="DD51:DM51"/>
    <mergeCell ref="DN51:DX51"/>
    <mergeCell ref="DY51:EF51"/>
    <mergeCell ref="AU45:BD45"/>
    <mergeCell ref="BE45:BR45"/>
    <mergeCell ref="AC54:AD54"/>
    <mergeCell ref="AE54:AL54"/>
    <mergeCell ref="AM54:AT54"/>
    <mergeCell ref="CT55:DC55"/>
    <mergeCell ref="BE38:BR38"/>
    <mergeCell ref="BS38:CB38"/>
    <mergeCell ref="CC38:CS38"/>
    <mergeCell ref="CT38:DC38"/>
    <mergeCell ref="DD38:DM38"/>
    <mergeCell ref="Z55:AB55"/>
    <mergeCell ref="W55:Y55"/>
    <mergeCell ref="T55:V55"/>
    <mergeCell ref="Q55:S55"/>
    <mergeCell ref="O55:P55"/>
    <mergeCell ref="M55:N55"/>
    <mergeCell ref="DN52:DX52"/>
    <mergeCell ref="DN50:DX50"/>
    <mergeCell ref="DN48:DX48"/>
    <mergeCell ref="DD52:DM52"/>
    <mergeCell ref="AE55:AL55"/>
    <mergeCell ref="AC55:AD55"/>
    <mergeCell ref="DN53:DX53"/>
    <mergeCell ref="Q51:S51"/>
    <mergeCell ref="T51:V51"/>
    <mergeCell ref="W51:Y51"/>
    <mergeCell ref="Z51:AB51"/>
    <mergeCell ref="AC51:AD51"/>
    <mergeCell ref="AE51:AL51"/>
    <mergeCell ref="AM51:AT51"/>
    <mergeCell ref="AU51:BD51"/>
    <mergeCell ref="BE51:BR51"/>
    <mergeCell ref="BS51:CB51"/>
    <mergeCell ref="B37:J37"/>
    <mergeCell ref="K37:L37"/>
    <mergeCell ref="M37:N37"/>
    <mergeCell ref="O37:P37"/>
    <mergeCell ref="Q37:S37"/>
    <mergeCell ref="T37:V37"/>
    <mergeCell ref="W37:Y37"/>
    <mergeCell ref="Z37:AB37"/>
    <mergeCell ref="AC37:AD37"/>
    <mergeCell ref="AE37:AL37"/>
    <mergeCell ref="AM37:AT37"/>
    <mergeCell ref="AU37:BD37"/>
    <mergeCell ref="BE37:BR37"/>
    <mergeCell ref="BS37:CB37"/>
    <mergeCell ref="CC37:CS37"/>
    <mergeCell ref="CT37:DC37"/>
    <mergeCell ref="DD37:DM37"/>
    <mergeCell ref="B39:J39"/>
    <mergeCell ref="K39:L39"/>
    <mergeCell ref="M39:N39"/>
    <mergeCell ref="O39:P39"/>
    <mergeCell ref="Q39:S39"/>
    <mergeCell ref="T39:V39"/>
    <mergeCell ref="W39:Y39"/>
    <mergeCell ref="Z39:AB39"/>
    <mergeCell ref="AC39:AD39"/>
    <mergeCell ref="AE39:AL39"/>
    <mergeCell ref="AM39:AT39"/>
    <mergeCell ref="T52:V52"/>
    <mergeCell ref="W52:Y52"/>
    <mergeCell ref="Z52:AB52"/>
    <mergeCell ref="AC52:AD52"/>
    <mergeCell ref="AE52:AL52"/>
    <mergeCell ref="DN37:DX37"/>
    <mergeCell ref="B52:J52"/>
    <mergeCell ref="K52:L52"/>
    <mergeCell ref="M52:N52"/>
    <mergeCell ref="O52:P52"/>
    <mergeCell ref="Q52:S52"/>
    <mergeCell ref="BS49:CB49"/>
    <mergeCell ref="CC49:CS49"/>
    <mergeCell ref="CT49:DC49"/>
    <mergeCell ref="DD49:DM49"/>
    <mergeCell ref="DN49:DX49"/>
    <mergeCell ref="AM52:AT52"/>
    <mergeCell ref="B51:J51"/>
    <mergeCell ref="K51:L51"/>
    <mergeCell ref="M51:N51"/>
    <mergeCell ref="O51:P51"/>
    <mergeCell ref="DY37:EF37"/>
    <mergeCell ref="B38:J38"/>
    <mergeCell ref="K38:L38"/>
    <mergeCell ref="M38:N38"/>
    <mergeCell ref="O38:P38"/>
    <mergeCell ref="Q38:S38"/>
    <mergeCell ref="T38:V38"/>
    <mergeCell ref="W38:Y38"/>
    <mergeCell ref="Z38:AB38"/>
    <mergeCell ref="AC38:AD38"/>
    <mergeCell ref="AE38:AL38"/>
    <mergeCell ref="AM38:AT38"/>
    <mergeCell ref="AU38:BD38"/>
    <mergeCell ref="AU52:BD52"/>
    <mergeCell ref="BE52:BR52"/>
    <mergeCell ref="BS52:CB52"/>
    <mergeCell ref="CC52:CS52"/>
    <mergeCell ref="CT52:DC52"/>
    <mergeCell ref="AM50:AT50"/>
    <mergeCell ref="AU50:BD50"/>
    <mergeCell ref="BE50:BR50"/>
    <mergeCell ref="BS50:CB50"/>
    <mergeCell ref="CC50:CS50"/>
    <mergeCell ref="CT50:DC50"/>
    <mergeCell ref="K47:L47"/>
    <mergeCell ref="M47:N47"/>
    <mergeCell ref="W50:Y50"/>
    <mergeCell ref="Z50:AB50"/>
    <mergeCell ref="AC50:AD50"/>
    <mergeCell ref="AE50:AL50"/>
    <mergeCell ref="DD50:DM50"/>
    <mergeCell ref="DY52:EF52"/>
    <mergeCell ref="B53:J53"/>
    <mergeCell ref="K53:L53"/>
    <mergeCell ref="M53:N53"/>
    <mergeCell ref="O53:P53"/>
    <mergeCell ref="Q53:S53"/>
    <mergeCell ref="T53:V53"/>
    <mergeCell ref="W53:Y53"/>
    <mergeCell ref="Z53:AB53"/>
    <mergeCell ref="AC53:AD53"/>
    <mergeCell ref="AE53:AL53"/>
    <mergeCell ref="AM53:AT53"/>
    <mergeCell ref="AU53:BD53"/>
    <mergeCell ref="BE53:BR53"/>
    <mergeCell ref="BS53:CB53"/>
    <mergeCell ref="CC53:CS53"/>
    <mergeCell ref="CT53:DC53"/>
    <mergeCell ref="DD53:DM53"/>
    <mergeCell ref="B50:J50"/>
    <mergeCell ref="K50:L50"/>
    <mergeCell ref="M50:N50"/>
    <mergeCell ref="O50:P50"/>
    <mergeCell ref="Q50:S50"/>
    <mergeCell ref="T50:V50"/>
    <mergeCell ref="DY49:EF49"/>
    <mergeCell ref="B48:J48"/>
    <mergeCell ref="K48:L48"/>
    <mergeCell ref="M48:N48"/>
    <mergeCell ref="O48:P48"/>
    <mergeCell ref="Q48:S48"/>
    <mergeCell ref="T48:V48"/>
    <mergeCell ref="W48:Y48"/>
    <mergeCell ref="Z48:AB48"/>
    <mergeCell ref="AC48:AD48"/>
    <mergeCell ref="AE48:AL48"/>
    <mergeCell ref="AM48:AT48"/>
    <mergeCell ref="AU48:BD48"/>
    <mergeCell ref="BE48:BR48"/>
    <mergeCell ref="BS48:CB48"/>
    <mergeCell ref="CC48:CS48"/>
    <mergeCell ref="CT48:DC48"/>
    <mergeCell ref="DD48:DM48"/>
    <mergeCell ref="DY48:EF48"/>
    <mergeCell ref="B49:J49"/>
    <mergeCell ref="K49:L49"/>
    <mergeCell ref="M49:N49"/>
    <mergeCell ref="O49:P49"/>
    <mergeCell ref="Q49:S49"/>
    <mergeCell ref="T49:V49"/>
    <mergeCell ref="W49:Y49"/>
    <mergeCell ref="Z49:AB49"/>
    <mergeCell ref="AC49:AD49"/>
    <mergeCell ref="AE49:AL49"/>
    <mergeCell ref="AM49:AT49"/>
    <mergeCell ref="AU49:BD49"/>
    <mergeCell ref="BE49:BR49"/>
    <mergeCell ref="AU47:BD47"/>
    <mergeCell ref="BE47:BR47"/>
    <mergeCell ref="BS47:CB47"/>
    <mergeCell ref="CC47:CS47"/>
    <mergeCell ref="AU46:BD46"/>
    <mergeCell ref="BE46:BR46"/>
    <mergeCell ref="BS46:CB46"/>
    <mergeCell ref="CC46:CS46"/>
    <mergeCell ref="B46:J46"/>
    <mergeCell ref="K46:L46"/>
    <mergeCell ref="M46:N46"/>
    <mergeCell ref="O46:P46"/>
    <mergeCell ref="Q46:S46"/>
    <mergeCell ref="T46:V46"/>
    <mergeCell ref="W46:Y46"/>
    <mergeCell ref="Z46:AB46"/>
    <mergeCell ref="AC46:AD46"/>
    <mergeCell ref="AE46:AL46"/>
    <mergeCell ref="AM46:AT46"/>
    <mergeCell ref="B47:J47"/>
    <mergeCell ref="O47:P47"/>
    <mergeCell ref="Z44:AB44"/>
    <mergeCell ref="AC44:AD44"/>
    <mergeCell ref="AE44:AL44"/>
    <mergeCell ref="AM44:AT44"/>
    <mergeCell ref="Q47:S47"/>
    <mergeCell ref="T47:V47"/>
    <mergeCell ref="W47:Y47"/>
    <mergeCell ref="Z47:AB47"/>
    <mergeCell ref="AC47:AD47"/>
    <mergeCell ref="AE47:AL47"/>
    <mergeCell ref="AM47:AT47"/>
    <mergeCell ref="B45:J45"/>
    <mergeCell ref="K45:L45"/>
    <mergeCell ref="M45:N45"/>
    <mergeCell ref="O45:P45"/>
    <mergeCell ref="Q45:S45"/>
    <mergeCell ref="T45:V45"/>
    <mergeCell ref="W45:Y45"/>
    <mergeCell ref="Z45:AB45"/>
    <mergeCell ref="AC45:AD45"/>
    <mergeCell ref="AE45:AL45"/>
    <mergeCell ref="AM45:AT45"/>
    <mergeCell ref="BS45:CB45"/>
    <mergeCell ref="CC45:CS45"/>
    <mergeCell ref="CT45:DC45"/>
    <mergeCell ref="DD45:DM45"/>
    <mergeCell ref="B43:J43"/>
    <mergeCell ref="K43:L43"/>
    <mergeCell ref="M43:N43"/>
    <mergeCell ref="O43:P43"/>
    <mergeCell ref="Q43:S43"/>
    <mergeCell ref="T43:V43"/>
    <mergeCell ref="W43:Y43"/>
    <mergeCell ref="Z43:AB43"/>
    <mergeCell ref="AC43:AD43"/>
    <mergeCell ref="AE43:AL43"/>
    <mergeCell ref="AM43:AT43"/>
    <mergeCell ref="AU43:BD43"/>
    <mergeCell ref="BE43:BR43"/>
    <mergeCell ref="BS43:CB43"/>
    <mergeCell ref="CC43:CS43"/>
    <mergeCell ref="CT43:DC43"/>
    <mergeCell ref="BE44:BR44"/>
    <mergeCell ref="BS44:CB44"/>
    <mergeCell ref="CC44:CS44"/>
    <mergeCell ref="CT44:DC44"/>
    <mergeCell ref="DD44:DM44"/>
    <mergeCell ref="B44:J44"/>
    <mergeCell ref="K44:L44"/>
    <mergeCell ref="M44:N44"/>
    <mergeCell ref="O44:P44"/>
    <mergeCell ref="Q44:S44"/>
    <mergeCell ref="T44:V44"/>
    <mergeCell ref="W44:Y44"/>
    <mergeCell ref="B42:J42"/>
    <mergeCell ref="K42:L42"/>
    <mergeCell ref="M42:N42"/>
    <mergeCell ref="O42:P42"/>
    <mergeCell ref="Q42:S42"/>
    <mergeCell ref="T42:V42"/>
    <mergeCell ref="BE65:BR65"/>
    <mergeCell ref="DN81:DX81"/>
    <mergeCell ref="DY81:EF81"/>
    <mergeCell ref="B81:J81"/>
    <mergeCell ref="K81:L81"/>
    <mergeCell ref="M81:N81"/>
    <mergeCell ref="O81:P81"/>
    <mergeCell ref="Q81:S81"/>
    <mergeCell ref="DN62:DX62"/>
    <mergeCell ref="DY62:EF62"/>
    <mergeCell ref="B62:J62"/>
    <mergeCell ref="K62:L62"/>
    <mergeCell ref="M62:N62"/>
    <mergeCell ref="O62:P62"/>
    <mergeCell ref="W42:Y42"/>
    <mergeCell ref="Z42:AB42"/>
    <mergeCell ref="AC42:AD42"/>
    <mergeCell ref="AE42:AL42"/>
    <mergeCell ref="AM42:AT42"/>
    <mergeCell ref="AU42:BD42"/>
    <mergeCell ref="BE42:BR42"/>
    <mergeCell ref="BS42:CB42"/>
    <mergeCell ref="CC42:CS42"/>
    <mergeCell ref="CT42:DC42"/>
    <mergeCell ref="DD42:DM42"/>
    <mergeCell ref="AU44:BD44"/>
    <mergeCell ref="DN42:DX42"/>
    <mergeCell ref="AC62:AD62"/>
    <mergeCell ref="AE62:AL62"/>
    <mergeCell ref="AM62:AT62"/>
    <mergeCell ref="DN40:DX40"/>
    <mergeCell ref="DY40:EF40"/>
    <mergeCell ref="B41:J41"/>
    <mergeCell ref="K41:L41"/>
    <mergeCell ref="M41:N41"/>
    <mergeCell ref="O41:P41"/>
    <mergeCell ref="T81:V81"/>
    <mergeCell ref="W81:Y81"/>
    <mergeCell ref="Z81:AB81"/>
    <mergeCell ref="DY14:EF14"/>
    <mergeCell ref="BE31:BR31"/>
    <mergeCell ref="CC68:CS68"/>
    <mergeCell ref="CT68:DC68"/>
    <mergeCell ref="DD68:DM68"/>
    <mergeCell ref="DY71:EF71"/>
    <mergeCell ref="DN71:DX71"/>
    <mergeCell ref="CC71:CS71"/>
    <mergeCell ref="CT71:DC71"/>
    <mergeCell ref="DD71:DM71"/>
    <mergeCell ref="DY64:EF64"/>
    <mergeCell ref="DY32:EF32"/>
    <mergeCell ref="BS72:CB72"/>
    <mergeCell ref="CC31:CS31"/>
    <mergeCell ref="BS63:CB63"/>
    <mergeCell ref="CT70:DC70"/>
    <mergeCell ref="AC81:AD81"/>
    <mergeCell ref="AE81:AL81"/>
    <mergeCell ref="AM81:AT81"/>
    <mergeCell ref="DD70:DM70"/>
    <mergeCell ref="DN7:DX7"/>
    <mergeCell ref="AU81:BD81"/>
    <mergeCell ref="BE81:BR81"/>
    <mergeCell ref="BS81:CB81"/>
    <mergeCell ref="CC81:CS81"/>
    <mergeCell ref="CT81:DC81"/>
    <mergeCell ref="DD81:DM81"/>
    <mergeCell ref="CC65:CS65"/>
    <mergeCell ref="CT65:DC65"/>
    <mergeCell ref="DD65:DM65"/>
    <mergeCell ref="DN65:DX65"/>
    <mergeCell ref="DY65:EF65"/>
    <mergeCell ref="DN63:DX63"/>
    <mergeCell ref="CT64:DC64"/>
    <mergeCell ref="CC63:CS63"/>
    <mergeCell ref="BS64:CB64"/>
    <mergeCell ref="BS67:CB67"/>
    <mergeCell ref="DD74:DM74"/>
    <mergeCell ref="CC70:CS70"/>
    <mergeCell ref="DY74:EF74"/>
    <mergeCell ref="DN70:DX70"/>
    <mergeCell ref="AU40:BD40"/>
    <mergeCell ref="BE40:BR40"/>
    <mergeCell ref="BS40:CB40"/>
    <mergeCell ref="CC40:CS40"/>
    <mergeCell ref="CT40:DC40"/>
    <mergeCell ref="DD40:DM40"/>
    <mergeCell ref="DY59:EF59"/>
    <mergeCell ref="DY63:EF63"/>
    <mergeCell ref="DY31:EF31"/>
    <mergeCell ref="DY30:EF30"/>
    <mergeCell ref="CC66:CS66"/>
    <mergeCell ref="BS5:CB6"/>
    <mergeCell ref="AM6:AT6"/>
    <mergeCell ref="AE32:AL32"/>
    <mergeCell ref="DD5:DM6"/>
    <mergeCell ref="AE6:AL6"/>
    <mergeCell ref="AE7:AL7"/>
    <mergeCell ref="AE30:AL30"/>
    <mergeCell ref="AM30:AT30"/>
    <mergeCell ref="AE9:AL9"/>
    <mergeCell ref="AM9:AT9"/>
    <mergeCell ref="AE8:AL8"/>
    <mergeCell ref="AM8:AT8"/>
    <mergeCell ref="BE8:BR8"/>
    <mergeCell ref="BS8:CB8"/>
    <mergeCell ref="BS31:CB31"/>
    <mergeCell ref="CT7:DC7"/>
    <mergeCell ref="CT28:DC28"/>
    <mergeCell ref="DD28:DM28"/>
    <mergeCell ref="AM20:AT20"/>
    <mergeCell ref="AE21:AL21"/>
    <mergeCell ref="AE20:AL20"/>
    <mergeCell ref="BE21:BR21"/>
    <mergeCell ref="BS21:CB21"/>
    <mergeCell ref="CC21:CS21"/>
    <mergeCell ref="CT21:DC21"/>
    <mergeCell ref="AU17:BD17"/>
    <mergeCell ref="AE16:AL16"/>
    <mergeCell ref="CT18:DC18"/>
    <mergeCell ref="DD7:DM7"/>
    <mergeCell ref="CC7:CS7"/>
    <mergeCell ref="BS7:CB7"/>
    <mergeCell ref="DN5:DX6"/>
    <mergeCell ref="CT5:DC6"/>
    <mergeCell ref="DY5:EF5"/>
    <mergeCell ref="DY7:EF7"/>
    <mergeCell ref="DY57:EF57"/>
    <mergeCell ref="DY6:EF6"/>
    <mergeCell ref="AU5:BD6"/>
    <mergeCell ref="AU7:BD7"/>
    <mergeCell ref="AU32:BD32"/>
    <mergeCell ref="AU57:BD57"/>
    <mergeCell ref="AU10:BD10"/>
    <mergeCell ref="BE10:BR10"/>
    <mergeCell ref="BS10:CB10"/>
    <mergeCell ref="CC10:CS10"/>
    <mergeCell ref="AU30:BD30"/>
    <mergeCell ref="AU26:BD26"/>
    <mergeCell ref="BE26:BR26"/>
    <mergeCell ref="BS26:CB26"/>
    <mergeCell ref="CC26:CS26"/>
    <mergeCell ref="AU9:BD9"/>
    <mergeCell ref="BE9:BR9"/>
    <mergeCell ref="BS9:CB9"/>
    <mergeCell ref="AU8:BD8"/>
    <mergeCell ref="DY9:EF9"/>
    <mergeCell ref="DD31:DM31"/>
    <mergeCell ref="DN31:DX31"/>
    <mergeCell ref="DN32:DX32"/>
    <mergeCell ref="CT32:DC32"/>
    <mergeCell ref="AU16:BD16"/>
    <mergeCell ref="BE16:BR16"/>
    <mergeCell ref="BS16:CB16"/>
    <mergeCell ref="BS20:CB20"/>
    <mergeCell ref="DN66:DX66"/>
    <mergeCell ref="DN64:DX64"/>
    <mergeCell ref="DY70:EF70"/>
    <mergeCell ref="DN35:DX35"/>
    <mergeCell ref="DN56:DX56"/>
    <mergeCell ref="DY56:EF56"/>
    <mergeCell ref="BS62:CB62"/>
    <mergeCell ref="CC62:CS62"/>
    <mergeCell ref="CT62:DC62"/>
    <mergeCell ref="DD62:DM62"/>
    <mergeCell ref="DY43:EF43"/>
    <mergeCell ref="DN46:DX46"/>
    <mergeCell ref="DY46:EF46"/>
    <mergeCell ref="AU68:BD68"/>
    <mergeCell ref="BE68:BR68"/>
    <mergeCell ref="CT69:DC69"/>
    <mergeCell ref="DD69:DM69"/>
    <mergeCell ref="BE59:BR59"/>
    <mergeCell ref="DD56:DM56"/>
    <mergeCell ref="CT35:DC35"/>
    <mergeCell ref="DD35:DM35"/>
    <mergeCell ref="BS70:CB70"/>
    <mergeCell ref="DN41:DX41"/>
    <mergeCell ref="DY41:EF41"/>
    <mergeCell ref="DD43:DM43"/>
    <mergeCell ref="DN43:DX43"/>
    <mergeCell ref="CT47:DC47"/>
    <mergeCell ref="DD47:DM47"/>
    <mergeCell ref="CT46:DC46"/>
    <mergeCell ref="DD46:DM46"/>
    <mergeCell ref="DN47:DX47"/>
    <mergeCell ref="DY47:EF47"/>
    <mergeCell ref="BE69:BR69"/>
    <mergeCell ref="CC67:CS67"/>
    <mergeCell ref="CT67:DC67"/>
    <mergeCell ref="DD67:DM67"/>
    <mergeCell ref="AM64:AT64"/>
    <mergeCell ref="BS65:CB65"/>
    <mergeCell ref="DD64:DM64"/>
    <mergeCell ref="DD63:DM63"/>
    <mergeCell ref="BS66:CB66"/>
    <mergeCell ref="BE64:BR64"/>
    <mergeCell ref="BS68:CB68"/>
    <mergeCell ref="B6:J6"/>
    <mergeCell ref="K6:L6"/>
    <mergeCell ref="O6:P6"/>
    <mergeCell ref="Q6:S6"/>
    <mergeCell ref="B8:J8"/>
    <mergeCell ref="K8:L8"/>
    <mergeCell ref="M8:N8"/>
    <mergeCell ref="O8:P8"/>
    <mergeCell ref="Q8:S8"/>
    <mergeCell ref="A9:J9"/>
    <mergeCell ref="W6:Y6"/>
    <mergeCell ref="T6:V6"/>
    <mergeCell ref="Z6:AB6"/>
    <mergeCell ref="A7:J7"/>
    <mergeCell ref="K7:L7"/>
    <mergeCell ref="O7:P7"/>
    <mergeCell ref="Z7:AB7"/>
    <mergeCell ref="A5:A6"/>
    <mergeCell ref="AE5:AT5"/>
    <mergeCell ref="BE5:BR6"/>
    <mergeCell ref="CC5:CS6"/>
    <mergeCell ref="B5:AD5"/>
    <mergeCell ref="W7:Y7"/>
    <mergeCell ref="AC7:AD7"/>
    <mergeCell ref="M6:N6"/>
    <mergeCell ref="M7:N7"/>
    <mergeCell ref="AC6:AD6"/>
    <mergeCell ref="Q7:S7"/>
    <mergeCell ref="T7:V7"/>
    <mergeCell ref="T8:V8"/>
    <mergeCell ref="W8:Y8"/>
    <mergeCell ref="Z8:AB8"/>
    <mergeCell ref="AC8:AD8"/>
    <mergeCell ref="T9:V9"/>
    <mergeCell ref="AC9:AD9"/>
    <mergeCell ref="B31:J31"/>
    <mergeCell ref="K31:L31"/>
    <mergeCell ref="M31:N31"/>
    <mergeCell ref="K9:L9"/>
    <mergeCell ref="M9:N9"/>
    <mergeCell ref="O9:P9"/>
    <mergeCell ref="Q9:S9"/>
    <mergeCell ref="B13:J13"/>
    <mergeCell ref="B14:J14"/>
    <mergeCell ref="B15:J15"/>
    <mergeCell ref="O29:P29"/>
    <mergeCell ref="O26:P26"/>
    <mergeCell ref="Q26:S26"/>
    <mergeCell ref="K23:L23"/>
    <mergeCell ref="T18:V18"/>
    <mergeCell ref="B30:J30"/>
    <mergeCell ref="K30:L30"/>
    <mergeCell ref="M30:N30"/>
    <mergeCell ref="BS32:CB32"/>
    <mergeCell ref="AC32:AD32"/>
    <mergeCell ref="AE31:AL31"/>
    <mergeCell ref="AE11:AL11"/>
    <mergeCell ref="AM11:AT11"/>
    <mergeCell ref="AU11:BD11"/>
    <mergeCell ref="BE11:BR11"/>
    <mergeCell ref="BS13:CB13"/>
    <mergeCell ref="CC13:CS13"/>
    <mergeCell ref="CC36:CS36"/>
    <mergeCell ref="AC56:AD56"/>
    <mergeCell ref="AE56:AL56"/>
    <mergeCell ref="AM56:AT56"/>
    <mergeCell ref="AE12:AL12"/>
    <mergeCell ref="AM12:AT12"/>
    <mergeCell ref="AU35:BD35"/>
    <mergeCell ref="AC20:AD20"/>
    <mergeCell ref="AU34:BD34"/>
    <mergeCell ref="BE35:BR35"/>
    <mergeCell ref="BS35:CB35"/>
    <mergeCell ref="CC35:CS35"/>
    <mergeCell ref="AC40:AD40"/>
    <mergeCell ref="AE40:AL40"/>
    <mergeCell ref="AM40:AT40"/>
    <mergeCell ref="AC41:AD41"/>
    <mergeCell ref="BE23:BR23"/>
    <mergeCell ref="AM21:AT21"/>
    <mergeCell ref="CC24:CS24"/>
    <mergeCell ref="AE23:AL23"/>
    <mergeCell ref="AM23:AT23"/>
    <mergeCell ref="AE22:AL22"/>
    <mergeCell ref="AM22:AT22"/>
    <mergeCell ref="AE10:AL10"/>
    <mergeCell ref="AM7:AT7"/>
    <mergeCell ref="BE7:BR7"/>
    <mergeCell ref="AE41:AL41"/>
    <mergeCell ref="AM41:AT41"/>
    <mergeCell ref="Q11:S11"/>
    <mergeCell ref="T11:V11"/>
    <mergeCell ref="W11:Y11"/>
    <mergeCell ref="AM13:AT13"/>
    <mergeCell ref="AU13:BD13"/>
    <mergeCell ref="BE13:BR13"/>
    <mergeCell ref="DD10:DM10"/>
    <mergeCell ref="T14:V14"/>
    <mergeCell ref="BE15:BR15"/>
    <mergeCell ref="BS15:CB15"/>
    <mergeCell ref="CC15:CS15"/>
    <mergeCell ref="CT15:DC15"/>
    <mergeCell ref="AU14:BD14"/>
    <mergeCell ref="BE14:BR14"/>
    <mergeCell ref="BS12:CB12"/>
    <mergeCell ref="CC12:CS12"/>
    <mergeCell ref="BS14:CB14"/>
    <mergeCell ref="Q15:S15"/>
    <mergeCell ref="T15:V15"/>
    <mergeCell ref="Z15:AB15"/>
    <mergeCell ref="AC15:AD15"/>
    <mergeCell ref="AE15:AL15"/>
    <mergeCell ref="AM15:AT15"/>
    <mergeCell ref="AU15:BD15"/>
    <mergeCell ref="AC14:AD14"/>
    <mergeCell ref="AE14:AL14"/>
    <mergeCell ref="CT11:DC11"/>
    <mergeCell ref="DD11:DM11"/>
    <mergeCell ref="DN14:DX14"/>
    <mergeCell ref="AU21:BD21"/>
    <mergeCell ref="W9:Y9"/>
    <mergeCell ref="Z9:AB9"/>
    <mergeCell ref="CT10:DC10"/>
    <mergeCell ref="CC9:CS9"/>
    <mergeCell ref="CT9:DC9"/>
    <mergeCell ref="DD9:DM9"/>
    <mergeCell ref="DN9:DX9"/>
    <mergeCell ref="BS24:CB24"/>
    <mergeCell ref="CT13:DC13"/>
    <mergeCell ref="DN13:DX13"/>
    <mergeCell ref="W20:Y20"/>
    <mergeCell ref="CT25:DC25"/>
    <mergeCell ref="BE22:BR22"/>
    <mergeCell ref="BS22:CB22"/>
    <mergeCell ref="CC22:CS22"/>
    <mergeCell ref="CT22:DC22"/>
    <mergeCell ref="DD18:DM18"/>
    <mergeCell ref="AE17:AL17"/>
    <mergeCell ref="BE17:BR17"/>
    <mergeCell ref="BS17:CB17"/>
    <mergeCell ref="CC16:CS16"/>
    <mergeCell ref="W15:Y15"/>
    <mergeCell ref="AU19:BD19"/>
    <mergeCell ref="DN20:DX20"/>
    <mergeCell ref="AU25:BD25"/>
    <mergeCell ref="BE25:BR25"/>
    <mergeCell ref="BS25:CB25"/>
    <mergeCell ref="CT20:DC20"/>
    <mergeCell ref="AU23:BD23"/>
    <mergeCell ref="DD16:DM16"/>
    <mergeCell ref="CT16:DC16"/>
    <mergeCell ref="CT19:DC19"/>
    <mergeCell ref="O57:P57"/>
    <mergeCell ref="Q57:S57"/>
    <mergeCell ref="AM63:AT63"/>
    <mergeCell ref="O12:P12"/>
    <mergeCell ref="Q12:S12"/>
    <mergeCell ref="T12:V12"/>
    <mergeCell ref="W36:Y36"/>
    <mergeCell ref="BS29:CB29"/>
    <mergeCell ref="CC29:CS29"/>
    <mergeCell ref="AM26:AT26"/>
    <mergeCell ref="O28:P28"/>
    <mergeCell ref="AC31:AD31"/>
    <mergeCell ref="BE18:BR18"/>
    <mergeCell ref="CC17:CS17"/>
    <mergeCell ref="BE30:BR30"/>
    <mergeCell ref="AC18:AD18"/>
    <mergeCell ref="CC14:CS14"/>
    <mergeCell ref="CT14:DC14"/>
    <mergeCell ref="DD14:DM14"/>
    <mergeCell ref="BS23:CB23"/>
    <mergeCell ref="CC23:CS23"/>
    <mergeCell ref="W12:Y12"/>
    <mergeCell ref="Z12:AB12"/>
    <mergeCell ref="AC12:AD12"/>
    <mergeCell ref="AU63:BD63"/>
    <mergeCell ref="AU62:BD62"/>
    <mergeCell ref="BE62:BR62"/>
    <mergeCell ref="Q41:S41"/>
    <mergeCell ref="O15:P15"/>
    <mergeCell ref="M63:N63"/>
    <mergeCell ref="B22:J22"/>
    <mergeCell ref="B18:J18"/>
    <mergeCell ref="O13:P13"/>
    <mergeCell ref="Q13:S13"/>
    <mergeCell ref="T13:V13"/>
    <mergeCell ref="W13:Y13"/>
    <mergeCell ref="B19:J19"/>
    <mergeCell ref="M14:N14"/>
    <mergeCell ref="O14:P14"/>
    <mergeCell ref="Q14:S14"/>
    <mergeCell ref="Z31:AB31"/>
    <mergeCell ref="W18:Y18"/>
    <mergeCell ref="Z18:AB18"/>
    <mergeCell ref="K21:L21"/>
    <mergeCell ref="M21:N21"/>
    <mergeCell ref="O21:P21"/>
    <mergeCell ref="Q21:S21"/>
    <mergeCell ref="T21:V21"/>
    <mergeCell ref="W21:Y21"/>
    <mergeCell ref="K15:L15"/>
    <mergeCell ref="M15:N15"/>
    <mergeCell ref="K14:L14"/>
    <mergeCell ref="W14:Y14"/>
    <mergeCell ref="Z14:AB14"/>
    <mergeCell ref="M32:N32"/>
    <mergeCell ref="K29:L29"/>
    <mergeCell ref="O32:P32"/>
    <mergeCell ref="Q62:S62"/>
    <mergeCell ref="T62:V62"/>
    <mergeCell ref="W62:Y62"/>
    <mergeCell ref="Z62:AB62"/>
    <mergeCell ref="DY18:EF18"/>
    <mergeCell ref="DD21:DM21"/>
    <mergeCell ref="DN21:DX21"/>
    <mergeCell ref="DD22:DM22"/>
    <mergeCell ref="K32:L32"/>
    <mergeCell ref="K57:L57"/>
    <mergeCell ref="M57:N57"/>
    <mergeCell ref="T57:V57"/>
    <mergeCell ref="W57:Y57"/>
    <mergeCell ref="Z57:AB57"/>
    <mergeCell ref="B60:J60"/>
    <mergeCell ref="B71:J71"/>
    <mergeCell ref="K71:L71"/>
    <mergeCell ref="B66:J66"/>
    <mergeCell ref="K66:L66"/>
    <mergeCell ref="M66:N66"/>
    <mergeCell ref="O66:P66"/>
    <mergeCell ref="Q66:S66"/>
    <mergeCell ref="T66:V66"/>
    <mergeCell ref="W66:Y66"/>
    <mergeCell ref="B63:J63"/>
    <mergeCell ref="W65:Y65"/>
    <mergeCell ref="Z65:AB65"/>
    <mergeCell ref="Z32:AB32"/>
    <mergeCell ref="M67:N67"/>
    <mergeCell ref="O67:P67"/>
    <mergeCell ref="Q67:S67"/>
    <mergeCell ref="T67:V67"/>
    <mergeCell ref="K63:L63"/>
    <mergeCell ref="O63:P63"/>
    <mergeCell ref="Q63:S63"/>
    <mergeCell ref="T63:V63"/>
    <mergeCell ref="DY11:EF11"/>
    <mergeCell ref="B12:J12"/>
    <mergeCell ref="K12:L12"/>
    <mergeCell ref="M12:N12"/>
    <mergeCell ref="Z11:AB11"/>
    <mergeCell ref="Q10:S10"/>
    <mergeCell ref="T10:V10"/>
    <mergeCell ref="DD12:DM12"/>
    <mergeCell ref="DN12:DX12"/>
    <mergeCell ref="DY10:EF10"/>
    <mergeCell ref="DN10:DX10"/>
    <mergeCell ref="Q30:S30"/>
    <mergeCell ref="T30:V30"/>
    <mergeCell ref="M26:N26"/>
    <mergeCell ref="K25:L25"/>
    <mergeCell ref="Q28:S28"/>
    <mergeCell ref="AM10:AT10"/>
    <mergeCell ref="AC11:AD11"/>
    <mergeCell ref="W10:Y10"/>
    <mergeCell ref="DY12:EF12"/>
    <mergeCell ref="CT12:DC12"/>
    <mergeCell ref="K13:L13"/>
    <mergeCell ref="K22:L22"/>
    <mergeCell ref="M22:N22"/>
    <mergeCell ref="O22:P22"/>
    <mergeCell ref="Q22:S22"/>
    <mergeCell ref="T22:V22"/>
    <mergeCell ref="W22:Y22"/>
    <mergeCell ref="Z22:AB22"/>
    <mergeCell ref="AC22:AD22"/>
    <mergeCell ref="K18:L18"/>
    <mergeCell ref="M18:N18"/>
    <mergeCell ref="DN18:DX18"/>
    <mergeCell ref="O74:P74"/>
    <mergeCell ref="Q74:S74"/>
    <mergeCell ref="T74:V74"/>
    <mergeCell ref="Q72:S72"/>
    <mergeCell ref="T72:V72"/>
    <mergeCell ref="M71:N71"/>
    <mergeCell ref="T71:V71"/>
    <mergeCell ref="AM72:AT72"/>
    <mergeCell ref="AU72:BD72"/>
    <mergeCell ref="BE72:BR72"/>
    <mergeCell ref="W72:Y72"/>
    <mergeCell ref="O72:P72"/>
    <mergeCell ref="Z72:AB72"/>
    <mergeCell ref="AC72:AD72"/>
    <mergeCell ref="BS69:CB69"/>
    <mergeCell ref="CC69:CS69"/>
    <mergeCell ref="Z74:AB74"/>
    <mergeCell ref="BS74:CB74"/>
    <mergeCell ref="AE71:AL71"/>
    <mergeCell ref="AM71:AT71"/>
    <mergeCell ref="BS71:CB71"/>
    <mergeCell ref="M70:N70"/>
    <mergeCell ref="O70:P70"/>
    <mergeCell ref="Z73:AB73"/>
    <mergeCell ref="W71:Y71"/>
    <mergeCell ref="Z71:AB71"/>
    <mergeCell ref="AC73:AD73"/>
    <mergeCell ref="Z19:AB19"/>
    <mergeCell ref="AC19:AD19"/>
    <mergeCell ref="BE63:BR63"/>
    <mergeCell ref="AC66:AD66"/>
    <mergeCell ref="DN16:DX16"/>
    <mergeCell ref="BE74:BR74"/>
    <mergeCell ref="W74:Y74"/>
    <mergeCell ref="T69:V69"/>
    <mergeCell ref="Q70:S70"/>
    <mergeCell ref="T70:V70"/>
    <mergeCell ref="K65:L65"/>
    <mergeCell ref="K58:L58"/>
    <mergeCell ref="K72:L72"/>
    <mergeCell ref="T68:V68"/>
    <mergeCell ref="W68:Y68"/>
    <mergeCell ref="Z68:AB68"/>
    <mergeCell ref="AE68:AL68"/>
    <mergeCell ref="AM68:AT68"/>
    <mergeCell ref="BE71:BR71"/>
    <mergeCell ref="O71:P71"/>
    <mergeCell ref="Q71:S71"/>
    <mergeCell ref="M72:N72"/>
    <mergeCell ref="AM65:AT65"/>
    <mergeCell ref="K70:L70"/>
    <mergeCell ref="O60:P60"/>
    <mergeCell ref="K60:L60"/>
    <mergeCell ref="Z63:AB63"/>
    <mergeCell ref="M60:N60"/>
    <mergeCell ref="Z69:AB69"/>
    <mergeCell ref="AC70:AD70"/>
    <mergeCell ref="BE70:BR70"/>
    <mergeCell ref="AU71:BD71"/>
    <mergeCell ref="W69:Y69"/>
    <mergeCell ref="AC69:AD69"/>
    <mergeCell ref="W63:Y63"/>
    <mergeCell ref="T58:V58"/>
    <mergeCell ref="DD34:DM34"/>
    <mergeCell ref="DY28:EF28"/>
    <mergeCell ref="DY29:EF29"/>
    <mergeCell ref="B59:J59"/>
    <mergeCell ref="K59:L59"/>
    <mergeCell ref="M59:N59"/>
    <mergeCell ref="O59:P59"/>
    <mergeCell ref="Q59:S59"/>
    <mergeCell ref="T59:V59"/>
    <mergeCell ref="W59:Y59"/>
    <mergeCell ref="Z59:AB59"/>
    <mergeCell ref="AC59:AD59"/>
    <mergeCell ref="Q29:S29"/>
    <mergeCell ref="DD58:DM58"/>
    <mergeCell ref="T29:V29"/>
    <mergeCell ref="DN58:DX58"/>
    <mergeCell ref="DY58:EF58"/>
    <mergeCell ref="DN34:DX34"/>
    <mergeCell ref="Q35:S35"/>
    <mergeCell ref="T35:V35"/>
    <mergeCell ref="W58:Y58"/>
    <mergeCell ref="B34:J34"/>
    <mergeCell ref="Z30:AB30"/>
    <mergeCell ref="AC30:AD30"/>
    <mergeCell ref="K34:L34"/>
    <mergeCell ref="B32:J32"/>
    <mergeCell ref="Q32:S32"/>
    <mergeCell ref="M29:N29"/>
    <mergeCell ref="O30:P30"/>
    <mergeCell ref="AC57:AD57"/>
    <mergeCell ref="AM32:AT32"/>
    <mergeCell ref="BE32:BR32"/>
    <mergeCell ref="DY66:EF66"/>
    <mergeCell ref="DN68:DX68"/>
    <mergeCell ref="DY69:EF69"/>
    <mergeCell ref="AE66:AL66"/>
    <mergeCell ref="AE64:AL64"/>
    <mergeCell ref="AC60:AD60"/>
    <mergeCell ref="AE60:AL60"/>
    <mergeCell ref="AE35:AL35"/>
    <mergeCell ref="AC65:AD65"/>
    <mergeCell ref="AE65:AL65"/>
    <mergeCell ref="AC68:AD68"/>
    <mergeCell ref="AU65:BD65"/>
    <mergeCell ref="AU64:BD64"/>
    <mergeCell ref="AM57:AT57"/>
    <mergeCell ref="AE36:AL36"/>
    <mergeCell ref="DN67:DX67"/>
    <mergeCell ref="DY67:EF67"/>
    <mergeCell ref="DN69:DX69"/>
    <mergeCell ref="AM36:AT36"/>
    <mergeCell ref="DY68:EF68"/>
    <mergeCell ref="AM66:AT66"/>
    <mergeCell ref="AU66:BD66"/>
    <mergeCell ref="BE66:BR66"/>
    <mergeCell ref="BE67:BR67"/>
    <mergeCell ref="AC63:AD63"/>
    <mergeCell ref="CC64:CS64"/>
    <mergeCell ref="CT63:DC63"/>
    <mergeCell ref="CT66:DC66"/>
    <mergeCell ref="DD66:DM66"/>
    <mergeCell ref="AC64:AD64"/>
    <mergeCell ref="AE63:AL63"/>
    <mergeCell ref="AE69:AL69"/>
    <mergeCell ref="DN85:DX85"/>
    <mergeCell ref="DY85:EF85"/>
    <mergeCell ref="AE74:AL74"/>
    <mergeCell ref="CC74:CS74"/>
    <mergeCell ref="AC74:AD74"/>
    <mergeCell ref="DN74:DX74"/>
    <mergeCell ref="CC72:CS72"/>
    <mergeCell ref="DY72:EF72"/>
    <mergeCell ref="AE73:AL73"/>
    <mergeCell ref="AM73:AT73"/>
    <mergeCell ref="AU73:BD73"/>
    <mergeCell ref="BE73:BR73"/>
    <mergeCell ref="BS73:CB73"/>
    <mergeCell ref="CC73:CS73"/>
    <mergeCell ref="CT73:DC73"/>
    <mergeCell ref="DY73:EF73"/>
    <mergeCell ref="AE72:AL72"/>
    <mergeCell ref="CT72:DC72"/>
    <mergeCell ref="DN72:DX72"/>
    <mergeCell ref="BS85:CB85"/>
    <mergeCell ref="AE85:AL85"/>
    <mergeCell ref="AM85:AT85"/>
    <mergeCell ref="AC75:AD75"/>
    <mergeCell ref="CC85:CS85"/>
    <mergeCell ref="CT85:DC85"/>
    <mergeCell ref="AC85:AD85"/>
    <mergeCell ref="DD85:DM85"/>
    <mergeCell ref="AU85:BD85"/>
    <mergeCell ref="BE85:BR85"/>
    <mergeCell ref="DN73:DX73"/>
    <mergeCell ref="CT74:DC74"/>
    <mergeCell ref="CT75:DC75"/>
    <mergeCell ref="DY22:EF22"/>
    <mergeCell ref="DN25:DX25"/>
    <mergeCell ref="DY25:EF25"/>
    <mergeCell ref="CT29:DC29"/>
    <mergeCell ref="DY13:EF13"/>
    <mergeCell ref="DD13:DM13"/>
    <mergeCell ref="DY21:EF21"/>
    <mergeCell ref="DY26:EF26"/>
    <mergeCell ref="CT24:DC24"/>
    <mergeCell ref="DD24:DM24"/>
    <mergeCell ref="DN24:DX24"/>
    <mergeCell ref="DY24:EF24"/>
    <mergeCell ref="DN28:DX28"/>
    <mergeCell ref="DD15:DM15"/>
    <mergeCell ref="DN26:DX26"/>
    <mergeCell ref="DD25:DM25"/>
    <mergeCell ref="DY16:EF16"/>
    <mergeCell ref="DN23:DX23"/>
    <mergeCell ref="DY23:EF23"/>
    <mergeCell ref="DD17:DM17"/>
    <mergeCell ref="DN17:DX17"/>
    <mergeCell ref="DY17:EF17"/>
    <mergeCell ref="DD20:DM20"/>
    <mergeCell ref="CT27:DC27"/>
    <mergeCell ref="CT26:DC26"/>
    <mergeCell ref="DY20:EF20"/>
    <mergeCell ref="DY15:EF15"/>
    <mergeCell ref="DN19:DX19"/>
    <mergeCell ref="DY19:EF19"/>
    <mergeCell ref="DN15:DX15"/>
    <mergeCell ref="DY27:EF27"/>
    <mergeCell ref="DD27:DM27"/>
    <mergeCell ref="K85:L85"/>
    <mergeCell ref="M85:N85"/>
    <mergeCell ref="O85:P85"/>
    <mergeCell ref="Q85:S85"/>
    <mergeCell ref="T85:V85"/>
    <mergeCell ref="W85:Y85"/>
    <mergeCell ref="Z85:AB85"/>
    <mergeCell ref="M64:N64"/>
    <mergeCell ref="O64:P64"/>
    <mergeCell ref="Q64:S64"/>
    <mergeCell ref="T64:V64"/>
    <mergeCell ref="W64:Y64"/>
    <mergeCell ref="B65:J65"/>
    <mergeCell ref="B68:J68"/>
    <mergeCell ref="K68:L68"/>
    <mergeCell ref="M65:N65"/>
    <mergeCell ref="O65:P65"/>
    <mergeCell ref="Q65:S65"/>
    <mergeCell ref="T65:V65"/>
    <mergeCell ref="B69:J69"/>
    <mergeCell ref="K69:L69"/>
    <mergeCell ref="M69:N69"/>
    <mergeCell ref="B72:J72"/>
    <mergeCell ref="B74:J74"/>
    <mergeCell ref="K74:L74"/>
    <mergeCell ref="M74:N74"/>
    <mergeCell ref="M68:N68"/>
    <mergeCell ref="O68:P68"/>
    <mergeCell ref="Q68:S68"/>
    <mergeCell ref="Z64:AB64"/>
    <mergeCell ref="Z66:AB66"/>
    <mergeCell ref="T73:V73"/>
    <mergeCell ref="DY8:EF8"/>
    <mergeCell ref="O56:P56"/>
    <mergeCell ref="Q56:S56"/>
    <mergeCell ref="T56:V56"/>
    <mergeCell ref="W56:Y56"/>
    <mergeCell ref="DY33:EF33"/>
    <mergeCell ref="DY34:EF34"/>
    <mergeCell ref="Z13:AB13"/>
    <mergeCell ref="AC13:AD13"/>
    <mergeCell ref="AE34:AL34"/>
    <mergeCell ref="CT34:DC34"/>
    <mergeCell ref="O36:P36"/>
    <mergeCell ref="Q36:S36"/>
    <mergeCell ref="T36:V36"/>
    <mergeCell ref="AU36:BD36"/>
    <mergeCell ref="CT36:DC36"/>
    <mergeCell ref="DD29:DM29"/>
    <mergeCell ref="BS18:CB18"/>
    <mergeCell ref="CC18:CS18"/>
    <mergeCell ref="BE33:BR33"/>
    <mergeCell ref="BS33:CB33"/>
    <mergeCell ref="CC33:CS33"/>
    <mergeCell ref="DY35:EF35"/>
    <mergeCell ref="AM34:AT34"/>
    <mergeCell ref="O34:P34"/>
    <mergeCell ref="Q34:S34"/>
    <mergeCell ref="T34:V34"/>
    <mergeCell ref="Z56:AB56"/>
    <mergeCell ref="BE34:BR34"/>
    <mergeCell ref="BS34:CB34"/>
    <mergeCell ref="CC34:CS34"/>
    <mergeCell ref="AC36:AD36"/>
    <mergeCell ref="CC8:CS8"/>
    <mergeCell ref="CC28:CS28"/>
    <mergeCell ref="AE13:AL13"/>
    <mergeCell ref="W29:Y29"/>
    <mergeCell ref="Z29:AB29"/>
    <mergeCell ref="AC29:AD29"/>
    <mergeCell ref="AE29:AL29"/>
    <mergeCell ref="AE26:AL26"/>
    <mergeCell ref="BE28:BR28"/>
    <mergeCell ref="BS28:CB28"/>
    <mergeCell ref="AM29:AT29"/>
    <mergeCell ref="AU29:BD29"/>
    <mergeCell ref="BE29:BR29"/>
    <mergeCell ref="AM35:AT35"/>
    <mergeCell ref="AM18:AT18"/>
    <mergeCell ref="BS11:CB11"/>
    <mergeCell ref="CC11:CS11"/>
    <mergeCell ref="AC28:AD28"/>
    <mergeCell ref="W31:Y31"/>
    <mergeCell ref="Z35:AB35"/>
    <mergeCell ref="AM14:AT14"/>
    <mergeCell ref="AM17:AT17"/>
    <mergeCell ref="AE18:AL18"/>
    <mergeCell ref="AM16:AT16"/>
    <mergeCell ref="AE19:AL19"/>
    <mergeCell ref="AM19:AT19"/>
    <mergeCell ref="AU18:BD18"/>
    <mergeCell ref="Z10:AB10"/>
    <mergeCell ref="Z20:AB20"/>
    <mergeCell ref="W34:Y34"/>
    <mergeCell ref="W32:Y32"/>
    <mergeCell ref="AC10:AD10"/>
    <mergeCell ref="DN11:DX11"/>
    <mergeCell ref="CT17:DC17"/>
    <mergeCell ref="W25:Y25"/>
    <mergeCell ref="W24:Y24"/>
    <mergeCell ref="DD19:DM19"/>
    <mergeCell ref="DD26:DM26"/>
    <mergeCell ref="AU12:BD12"/>
    <mergeCell ref="BE12:BR12"/>
    <mergeCell ref="T28:V28"/>
    <mergeCell ref="Q31:S31"/>
    <mergeCell ref="T31:V31"/>
    <mergeCell ref="M25:N25"/>
    <mergeCell ref="O25:P25"/>
    <mergeCell ref="B17:J17"/>
    <mergeCell ref="K17:L17"/>
    <mergeCell ref="M17:N17"/>
    <mergeCell ref="O17:P17"/>
    <mergeCell ref="Q17:S17"/>
    <mergeCell ref="T17:V17"/>
    <mergeCell ref="W17:Y17"/>
    <mergeCell ref="T24:V24"/>
    <mergeCell ref="K19:L19"/>
    <mergeCell ref="M23:N23"/>
    <mergeCell ref="M24:N24"/>
    <mergeCell ref="M16:N16"/>
    <mergeCell ref="O16:P16"/>
    <mergeCell ref="Q16:S16"/>
    <mergeCell ref="Q25:S25"/>
    <mergeCell ref="T25:V25"/>
    <mergeCell ref="B23:J23"/>
    <mergeCell ref="CC20:CS20"/>
    <mergeCell ref="BE19:BR19"/>
    <mergeCell ref="CT8:DC8"/>
    <mergeCell ref="DN22:DX22"/>
    <mergeCell ref="DN29:DX29"/>
    <mergeCell ref="DD8:DM8"/>
    <mergeCell ref="DN8:DX8"/>
    <mergeCell ref="DN30:DX30"/>
    <mergeCell ref="CC30:CS30"/>
    <mergeCell ref="CT30:DC30"/>
    <mergeCell ref="DD30:DM30"/>
    <mergeCell ref="B11:J11"/>
    <mergeCell ref="K11:L11"/>
    <mergeCell ref="M11:N11"/>
    <mergeCell ref="O11:P11"/>
    <mergeCell ref="B10:J10"/>
    <mergeCell ref="K10:L10"/>
    <mergeCell ref="M10:N10"/>
    <mergeCell ref="O10:P10"/>
    <mergeCell ref="O18:P18"/>
    <mergeCell ref="Q18:S18"/>
    <mergeCell ref="M13:N13"/>
    <mergeCell ref="B26:J26"/>
    <mergeCell ref="K26:L26"/>
    <mergeCell ref="B24:J24"/>
    <mergeCell ref="K24:L24"/>
    <mergeCell ref="B20:J20"/>
    <mergeCell ref="K20:L20"/>
    <mergeCell ref="M20:N20"/>
    <mergeCell ref="B21:J21"/>
    <mergeCell ref="B25:J25"/>
    <mergeCell ref="T26:V26"/>
    <mergeCell ref="O24:P24"/>
    <mergeCell ref="Q24:S24"/>
    <mergeCell ref="Z58:AB58"/>
    <mergeCell ref="AE58:AL58"/>
    <mergeCell ref="AM58:AT58"/>
    <mergeCell ref="M56:N56"/>
    <mergeCell ref="B58:J58"/>
    <mergeCell ref="AM60:AT60"/>
    <mergeCell ref="AU60:BD60"/>
    <mergeCell ref="K36:L36"/>
    <mergeCell ref="CC57:CS57"/>
    <mergeCell ref="BE57:BR57"/>
    <mergeCell ref="BS56:CB56"/>
    <mergeCell ref="CC56:CS56"/>
    <mergeCell ref="CT56:DC56"/>
    <mergeCell ref="AE57:AL57"/>
    <mergeCell ref="BS60:CB60"/>
    <mergeCell ref="AM59:AT59"/>
    <mergeCell ref="AU59:BD59"/>
    <mergeCell ref="Q58:S58"/>
    <mergeCell ref="B40:J40"/>
    <mergeCell ref="K40:L40"/>
    <mergeCell ref="M40:N40"/>
    <mergeCell ref="O40:P40"/>
    <mergeCell ref="Q40:S40"/>
    <mergeCell ref="T40:V40"/>
    <mergeCell ref="W40:Y40"/>
    <mergeCell ref="BE36:BR36"/>
    <mergeCell ref="BS36:CB36"/>
    <mergeCell ref="T41:V41"/>
    <mergeCell ref="W41:Y41"/>
    <mergeCell ref="AU41:BD41"/>
    <mergeCell ref="BE41:BR41"/>
    <mergeCell ref="BS41:CB41"/>
    <mergeCell ref="DY36:EF36"/>
    <mergeCell ref="DY60:EF60"/>
    <mergeCell ref="DN59:DX59"/>
    <mergeCell ref="DD36:DM36"/>
    <mergeCell ref="DD60:DM60"/>
    <mergeCell ref="DD59:DM59"/>
    <mergeCell ref="AU56:BD56"/>
    <mergeCell ref="CT57:DC57"/>
    <mergeCell ref="DD57:DM57"/>
    <mergeCell ref="DN57:DX57"/>
    <mergeCell ref="AU58:BD58"/>
    <mergeCell ref="BE58:BR58"/>
    <mergeCell ref="BS58:CB58"/>
    <mergeCell ref="CC58:CS58"/>
    <mergeCell ref="DN60:DX60"/>
    <mergeCell ref="BS57:CB57"/>
    <mergeCell ref="BE56:BR56"/>
    <mergeCell ref="CT58:DC58"/>
    <mergeCell ref="CC60:CS60"/>
    <mergeCell ref="CT60:DC60"/>
    <mergeCell ref="BS59:CB59"/>
    <mergeCell ref="CC59:CS59"/>
    <mergeCell ref="CT59:DC59"/>
    <mergeCell ref="DN36:DX36"/>
    <mergeCell ref="CC41:CS41"/>
    <mergeCell ref="CT41:DC41"/>
    <mergeCell ref="DD41:DM41"/>
    <mergeCell ref="DY42:EF42"/>
    <mergeCell ref="DN44:DX44"/>
    <mergeCell ref="DY44:EF44"/>
    <mergeCell ref="DN45:DX45"/>
    <mergeCell ref="DY45:EF45"/>
    <mergeCell ref="M36:N36"/>
    <mergeCell ref="B29:J29"/>
    <mergeCell ref="T23:V23"/>
    <mergeCell ref="W23:Y23"/>
    <mergeCell ref="Z21:AB21"/>
    <mergeCell ref="AC21:AD21"/>
    <mergeCell ref="T20:V20"/>
    <mergeCell ref="Z23:AB23"/>
    <mergeCell ref="B16:J16"/>
    <mergeCell ref="K16:L16"/>
    <mergeCell ref="T32:V32"/>
    <mergeCell ref="Z17:AB17"/>
    <mergeCell ref="AC17:AD17"/>
    <mergeCell ref="M28:N28"/>
    <mergeCell ref="O23:P23"/>
    <mergeCell ref="Q23:S23"/>
    <mergeCell ref="BE60:BR60"/>
    <mergeCell ref="B57:J57"/>
    <mergeCell ref="B33:J33"/>
    <mergeCell ref="M33:N33"/>
    <mergeCell ref="O33:P33"/>
    <mergeCell ref="Q33:S33"/>
    <mergeCell ref="T33:V33"/>
    <mergeCell ref="W33:Y33"/>
    <mergeCell ref="Z33:AB33"/>
    <mergeCell ref="AC33:AD33"/>
    <mergeCell ref="AE33:AL33"/>
    <mergeCell ref="AE25:AL25"/>
    <mergeCell ref="AC26:AD26"/>
    <mergeCell ref="B36:J36"/>
    <mergeCell ref="AE59:AL59"/>
    <mergeCell ref="K56:L56"/>
    <mergeCell ref="B35:J35"/>
    <mergeCell ref="K35:L35"/>
    <mergeCell ref="M35:N35"/>
    <mergeCell ref="O35:P35"/>
    <mergeCell ref="K33:L33"/>
    <mergeCell ref="T16:V16"/>
    <mergeCell ref="W16:Y16"/>
    <mergeCell ref="Z16:AB16"/>
    <mergeCell ref="AC16:AD16"/>
    <mergeCell ref="M19:N19"/>
    <mergeCell ref="O19:P19"/>
    <mergeCell ref="Q19:S19"/>
    <mergeCell ref="T19:V19"/>
    <mergeCell ref="W19:Y19"/>
    <mergeCell ref="B28:J28"/>
    <mergeCell ref="K28:L28"/>
    <mergeCell ref="O20:P20"/>
    <mergeCell ref="Q20:S20"/>
    <mergeCell ref="O31:P31"/>
    <mergeCell ref="W26:Y26"/>
    <mergeCell ref="AC23:AD23"/>
    <mergeCell ref="CT31:DC31"/>
    <mergeCell ref="AC58:AD58"/>
    <mergeCell ref="Z34:AB34"/>
    <mergeCell ref="AC34:AD34"/>
    <mergeCell ref="AC35:AD35"/>
    <mergeCell ref="M34:N34"/>
    <mergeCell ref="DD32:DM32"/>
    <mergeCell ref="Z40:AB40"/>
    <mergeCell ref="Z41:AB41"/>
    <mergeCell ref="BS19:CB19"/>
    <mergeCell ref="CC19:CS19"/>
    <mergeCell ref="AU20:BD20"/>
    <mergeCell ref="BE20:BR20"/>
    <mergeCell ref="Z25:AB25"/>
    <mergeCell ref="AC25:AD25"/>
    <mergeCell ref="BS30:CB30"/>
    <mergeCell ref="AU31:BD31"/>
    <mergeCell ref="Z24:AB24"/>
    <mergeCell ref="AC24:AD24"/>
    <mergeCell ref="AE24:AL24"/>
    <mergeCell ref="AE28:AL28"/>
    <mergeCell ref="AM28:AT28"/>
    <mergeCell ref="AU28:BD28"/>
    <mergeCell ref="AE27:AL27"/>
    <mergeCell ref="AM27:AT27"/>
    <mergeCell ref="AU27:BD27"/>
    <mergeCell ref="BE27:BR27"/>
    <mergeCell ref="BS27:CB27"/>
    <mergeCell ref="CC27:CS27"/>
    <mergeCell ref="CC25:CS25"/>
    <mergeCell ref="CT23:DC23"/>
    <mergeCell ref="DD23:DM23"/>
    <mergeCell ref="AU22:BD22"/>
    <mergeCell ref="AM24:AT24"/>
    <mergeCell ref="AU24:BD24"/>
    <mergeCell ref="BE24:BR24"/>
    <mergeCell ref="AM31:AT31"/>
    <mergeCell ref="W30:Y30"/>
    <mergeCell ref="AM25:AT25"/>
    <mergeCell ref="AM33:AT33"/>
    <mergeCell ref="AU33:BD33"/>
    <mergeCell ref="CT33:DC33"/>
    <mergeCell ref="DD33:DM33"/>
    <mergeCell ref="Z26:AB26"/>
    <mergeCell ref="CC32:CS32"/>
    <mergeCell ref="DD72:DM72"/>
    <mergeCell ref="DD73:DM73"/>
    <mergeCell ref="DN27:DX27"/>
    <mergeCell ref="B27:J27"/>
    <mergeCell ref="K27:L27"/>
    <mergeCell ref="M27:N27"/>
    <mergeCell ref="O27:P27"/>
    <mergeCell ref="Q27:S27"/>
    <mergeCell ref="T27:V27"/>
    <mergeCell ref="W27:Y27"/>
    <mergeCell ref="Z27:AB27"/>
    <mergeCell ref="AC27:AD27"/>
    <mergeCell ref="W28:Y28"/>
    <mergeCell ref="Z28:AB28"/>
    <mergeCell ref="B64:J64"/>
    <mergeCell ref="K64:L64"/>
    <mergeCell ref="B73:J73"/>
    <mergeCell ref="B67:J67"/>
    <mergeCell ref="K67:L67"/>
    <mergeCell ref="DN33:DX33"/>
    <mergeCell ref="W35:Y35"/>
    <mergeCell ref="Z36:AB36"/>
    <mergeCell ref="AE70:AL70"/>
    <mergeCell ref="AM70:AT70"/>
    <mergeCell ref="AU70:BD70"/>
    <mergeCell ref="A56:J56"/>
    <mergeCell ref="Q60:S60"/>
    <mergeCell ref="T60:V60"/>
    <mergeCell ref="W60:Y60"/>
    <mergeCell ref="Z60:AB60"/>
    <mergeCell ref="M58:N58"/>
    <mergeCell ref="O58:P58"/>
    <mergeCell ref="Q75:S75"/>
    <mergeCell ref="T75:V75"/>
    <mergeCell ref="W75:Y75"/>
    <mergeCell ref="Z75:AB75"/>
    <mergeCell ref="W67:Y67"/>
    <mergeCell ref="Z67:AB67"/>
    <mergeCell ref="AC67:AD67"/>
    <mergeCell ref="AE67:AL67"/>
    <mergeCell ref="AM67:AT67"/>
    <mergeCell ref="AU67:BD67"/>
    <mergeCell ref="AM74:AT74"/>
    <mergeCell ref="AU74:BD74"/>
    <mergeCell ref="B70:J70"/>
    <mergeCell ref="AC71:AD71"/>
    <mergeCell ref="W70:Y70"/>
    <mergeCell ref="Z70:AB70"/>
    <mergeCell ref="K73:L73"/>
    <mergeCell ref="M73:N73"/>
    <mergeCell ref="O73:P73"/>
    <mergeCell ref="Q73:S73"/>
    <mergeCell ref="W73:Y73"/>
    <mergeCell ref="O69:P69"/>
    <mergeCell ref="Q69:S69"/>
    <mergeCell ref="AM69:AT69"/>
    <mergeCell ref="AU69:BD69"/>
    <mergeCell ref="DY75:EF75"/>
    <mergeCell ref="B76:J76"/>
    <mergeCell ref="K76:L76"/>
    <mergeCell ref="M76:N76"/>
    <mergeCell ref="O76:P76"/>
    <mergeCell ref="Q76:S76"/>
    <mergeCell ref="T76:V76"/>
    <mergeCell ref="W76:Y76"/>
    <mergeCell ref="Z76:AB76"/>
    <mergeCell ref="AC76:AD76"/>
    <mergeCell ref="AE76:AL76"/>
    <mergeCell ref="AM76:AT76"/>
    <mergeCell ref="AU76:BD76"/>
    <mergeCell ref="BE76:BR76"/>
    <mergeCell ref="BS76:CB76"/>
    <mergeCell ref="CC76:CS76"/>
    <mergeCell ref="CT76:DC76"/>
    <mergeCell ref="DD76:DM76"/>
    <mergeCell ref="DN76:DX76"/>
    <mergeCell ref="DY76:EF76"/>
    <mergeCell ref="AE75:AL75"/>
    <mergeCell ref="AM75:AT75"/>
    <mergeCell ref="AU75:BD75"/>
    <mergeCell ref="BE75:BR75"/>
    <mergeCell ref="BS75:CB75"/>
    <mergeCell ref="CC75:CS75"/>
    <mergeCell ref="DD75:DM75"/>
    <mergeCell ref="DN75:DX75"/>
    <mergeCell ref="B75:J75"/>
    <mergeCell ref="K75:L75"/>
    <mergeCell ref="M75:N75"/>
    <mergeCell ref="O75:P75"/>
    <mergeCell ref="DY78:EF78"/>
    <mergeCell ref="AE77:AL77"/>
    <mergeCell ref="AM77:AT77"/>
    <mergeCell ref="AU77:BD77"/>
    <mergeCell ref="BE77:BR77"/>
    <mergeCell ref="BS77:CB77"/>
    <mergeCell ref="CC77:CS77"/>
    <mergeCell ref="DD77:DM77"/>
    <mergeCell ref="DN77:DX77"/>
    <mergeCell ref="B77:J77"/>
    <mergeCell ref="K77:L77"/>
    <mergeCell ref="M77:N77"/>
    <mergeCell ref="O77:P77"/>
    <mergeCell ref="Q77:S77"/>
    <mergeCell ref="T77:V77"/>
    <mergeCell ref="W77:Y77"/>
    <mergeCell ref="Z77:AB77"/>
    <mergeCell ref="AC77:AD77"/>
    <mergeCell ref="CT77:DC77"/>
    <mergeCell ref="CC79:CS79"/>
    <mergeCell ref="CT79:DC79"/>
    <mergeCell ref="DD79:DM79"/>
    <mergeCell ref="DN79:DX79"/>
    <mergeCell ref="B79:J79"/>
    <mergeCell ref="K79:L79"/>
    <mergeCell ref="M79:N79"/>
    <mergeCell ref="O79:P79"/>
    <mergeCell ref="Q79:S79"/>
    <mergeCell ref="T79:V79"/>
    <mergeCell ref="W79:Y79"/>
    <mergeCell ref="Z79:AB79"/>
    <mergeCell ref="AC79:AD79"/>
    <mergeCell ref="DY77:EF77"/>
    <mergeCell ref="B78:J78"/>
    <mergeCell ref="K78:L78"/>
    <mergeCell ref="M78:N78"/>
    <mergeCell ref="O78:P78"/>
    <mergeCell ref="Q78:S78"/>
    <mergeCell ref="T78:V78"/>
    <mergeCell ref="W78:Y78"/>
    <mergeCell ref="Z78:AB78"/>
    <mergeCell ref="AC78:AD78"/>
    <mergeCell ref="AE78:AL78"/>
    <mergeCell ref="AM78:AT78"/>
    <mergeCell ref="AU78:BD78"/>
    <mergeCell ref="BE78:BR78"/>
    <mergeCell ref="BS78:CB78"/>
    <mergeCell ref="CC78:CS78"/>
    <mergeCell ref="CT78:DC78"/>
    <mergeCell ref="DD78:DM78"/>
    <mergeCell ref="DN78:DX78"/>
    <mergeCell ref="BE82:BR82"/>
    <mergeCell ref="BS82:CB82"/>
    <mergeCell ref="CC82:CS82"/>
    <mergeCell ref="CT82:DC82"/>
    <mergeCell ref="DD82:DM82"/>
    <mergeCell ref="DN82:DX82"/>
    <mergeCell ref="DY82:EF82"/>
    <mergeCell ref="DY79:EF79"/>
    <mergeCell ref="B80:J80"/>
    <mergeCell ref="K80:L80"/>
    <mergeCell ref="M80:N80"/>
    <mergeCell ref="O80:P80"/>
    <mergeCell ref="Q80:S80"/>
    <mergeCell ref="T80:V80"/>
    <mergeCell ref="W80:Y80"/>
    <mergeCell ref="Z80:AB80"/>
    <mergeCell ref="AC80:AD80"/>
    <mergeCell ref="AE80:AL80"/>
    <mergeCell ref="AM80:AT80"/>
    <mergeCell ref="AU80:BD80"/>
    <mergeCell ref="BE80:BR80"/>
    <mergeCell ref="BS80:CB80"/>
    <mergeCell ref="CC80:CS80"/>
    <mergeCell ref="CT80:DC80"/>
    <mergeCell ref="DD80:DM80"/>
    <mergeCell ref="DN80:DX80"/>
    <mergeCell ref="DY80:EF80"/>
    <mergeCell ref="AE79:AL79"/>
    <mergeCell ref="AM79:AT79"/>
    <mergeCell ref="AU79:BD79"/>
    <mergeCell ref="BE79:BR79"/>
    <mergeCell ref="BS79:CB79"/>
    <mergeCell ref="A82:J82"/>
    <mergeCell ref="K82:L82"/>
    <mergeCell ref="M82:N82"/>
    <mergeCell ref="O82:P82"/>
    <mergeCell ref="Q82:S82"/>
    <mergeCell ref="T82:V82"/>
    <mergeCell ref="AU82:BD82"/>
    <mergeCell ref="O83:P83"/>
    <mergeCell ref="Q83:S83"/>
    <mergeCell ref="T83:V83"/>
    <mergeCell ref="W83:Y83"/>
    <mergeCell ref="Z83:AB83"/>
    <mergeCell ref="AC83:AD83"/>
    <mergeCell ref="W82:Y82"/>
    <mergeCell ref="Z82:AB82"/>
    <mergeCell ref="AC82:AD82"/>
    <mergeCell ref="AE82:AL82"/>
    <mergeCell ref="AM82:AT82"/>
    <mergeCell ref="CT83:DC83"/>
    <mergeCell ref="DD83:DM83"/>
    <mergeCell ref="DN83:DX83"/>
    <mergeCell ref="B83:J83"/>
    <mergeCell ref="K83:L83"/>
    <mergeCell ref="M83:N83"/>
    <mergeCell ref="DY84:EF84"/>
    <mergeCell ref="AE84:AL84"/>
    <mergeCell ref="AM84:AT84"/>
    <mergeCell ref="AU84:BD84"/>
    <mergeCell ref="BE84:BR84"/>
    <mergeCell ref="BS84:CB84"/>
    <mergeCell ref="CC84:CS84"/>
    <mergeCell ref="CT84:DC84"/>
    <mergeCell ref="DD84:DM84"/>
    <mergeCell ref="DN84:DX84"/>
    <mergeCell ref="B84:J84"/>
    <mergeCell ref="K84:L84"/>
    <mergeCell ref="M84:N84"/>
    <mergeCell ref="O84:P84"/>
    <mergeCell ref="Q84:S84"/>
    <mergeCell ref="T84:V84"/>
    <mergeCell ref="W84:Y84"/>
    <mergeCell ref="Z84:AB84"/>
    <mergeCell ref="AC84:AD84"/>
    <mergeCell ref="DY83:EF83"/>
    <mergeCell ref="AE83:AL83"/>
    <mergeCell ref="AM83:AT83"/>
    <mergeCell ref="AU83:BD83"/>
    <mergeCell ref="BE83:BR83"/>
    <mergeCell ref="BS83:CB83"/>
    <mergeCell ref="CC83:CS83"/>
  </mergeCells>
  <phoneticPr fontId="9"/>
  <pageMargins left="0.19685039370078741" right="0.23622047244094491" top="0.39370078740157483" bottom="0.39370078740157483" header="0" footer="0.19685039370078741"/>
  <pageSetup paperSize="9" scale="51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リスト!$A$3:$A$11</xm:f>
          </x14:formula1>
          <xm:sqref>Q7:S84</xm:sqref>
        </x14:dataValidation>
        <x14:dataValidation type="list" allowBlank="1" showInputMessage="1" showErrorMessage="1">
          <x14:formula1>
            <xm:f>リスト!$A$3:$A$9</xm:f>
          </x14:formula1>
          <xm:sqref>T7:V84</xm:sqref>
        </x14:dataValidation>
        <x14:dataValidation type="list" allowBlank="1" showInputMessage="1" showErrorMessage="1">
          <x14:formula1>
            <xm:f>リスト!$B$3:$B$4</xm:f>
          </x14:formula1>
          <xm:sqref>M7:N84</xm:sqref>
        </x14:dataValidation>
        <x14:dataValidation type="list" allowBlank="1" showInputMessage="1" showErrorMessage="1">
          <x14:formula1>
            <xm:f>リスト!$C$3:$C$4</xm:f>
          </x14:formula1>
          <xm:sqref>O7:P84</xm:sqref>
        </x14:dataValidation>
        <x14:dataValidation type="list" allowBlank="1" showInputMessage="1" showErrorMessage="1">
          <x14:formula1>
            <xm:f>リスト!$D$3:$D$8</xm:f>
          </x14:formula1>
          <xm:sqref>K7:L84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CJ27"/>
  <sheetViews>
    <sheetView showGridLines="0" view="pageBreakPreview" zoomScaleNormal="100" zoomScaleSheetLayoutView="100" workbookViewId="0">
      <pane ySplit="6" topLeftCell="A7" activePane="bottomLeft" state="frozen"/>
      <selection sqref="A1:G2"/>
      <selection pane="bottomLeft" activeCell="AG37" sqref="AG37"/>
    </sheetView>
  </sheetViews>
  <sheetFormatPr defaultColWidth="2.125" defaultRowHeight="12.6" customHeight="1"/>
  <cols>
    <col min="1" max="1" width="3.625" style="5" customWidth="1"/>
    <col min="2" max="16384" width="2.125" style="5"/>
  </cols>
  <sheetData>
    <row r="1" spans="1:88" ht="12.6" customHeight="1">
      <c r="BY1" s="35" t="s">
        <v>58</v>
      </c>
      <c r="BZ1" s="35"/>
      <c r="CA1" s="35"/>
      <c r="CB1" s="35"/>
      <c r="CC1" s="36"/>
      <c r="CD1" s="35"/>
      <c r="CE1" s="35"/>
      <c r="CF1" s="35"/>
      <c r="CG1" s="35"/>
      <c r="CH1" s="35"/>
      <c r="CI1" s="35"/>
      <c r="CJ1" s="35"/>
    </row>
    <row r="2" spans="1:88" ht="12.6" customHeight="1"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</row>
    <row r="3" spans="1:88" ht="12.6" customHeight="1"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</row>
    <row r="5" spans="1:88" ht="12.6" customHeight="1">
      <c r="A5" s="460" t="s">
        <v>59</v>
      </c>
      <c r="B5" s="342" t="s">
        <v>79</v>
      </c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3"/>
      <c r="N5" s="342" t="s">
        <v>80</v>
      </c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3"/>
      <c r="AO5" s="342" t="s">
        <v>81</v>
      </c>
      <c r="AP5" s="352"/>
      <c r="AQ5" s="352"/>
      <c r="AR5" s="352"/>
      <c r="AS5" s="352"/>
      <c r="AT5" s="352"/>
      <c r="AU5" s="352"/>
      <c r="AV5" s="352"/>
      <c r="AW5" s="352"/>
      <c r="AX5" s="352"/>
      <c r="AY5" s="352"/>
      <c r="AZ5" s="353"/>
      <c r="BA5" s="342" t="s">
        <v>67</v>
      </c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3"/>
      <c r="BY5" s="454" t="s">
        <v>82</v>
      </c>
      <c r="BZ5" s="455"/>
      <c r="CA5" s="455"/>
      <c r="CB5" s="455"/>
      <c r="CC5" s="455"/>
      <c r="CD5" s="455"/>
      <c r="CE5" s="455"/>
      <c r="CF5" s="455"/>
      <c r="CG5" s="455"/>
      <c r="CH5" s="455"/>
      <c r="CI5" s="455"/>
      <c r="CJ5" s="456"/>
    </row>
    <row r="6" spans="1:88" ht="12.6" customHeight="1">
      <c r="A6" s="461"/>
      <c r="B6" s="354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6"/>
      <c r="N6" s="354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  <c r="AM6" s="355"/>
      <c r="AN6" s="356"/>
      <c r="AO6" s="354"/>
      <c r="AP6" s="355"/>
      <c r="AQ6" s="355"/>
      <c r="AR6" s="355"/>
      <c r="AS6" s="355"/>
      <c r="AT6" s="355"/>
      <c r="AU6" s="355"/>
      <c r="AV6" s="355"/>
      <c r="AW6" s="355"/>
      <c r="AX6" s="355"/>
      <c r="AY6" s="355"/>
      <c r="AZ6" s="356"/>
      <c r="BA6" s="354"/>
      <c r="BB6" s="355"/>
      <c r="BC6" s="355"/>
      <c r="BD6" s="355"/>
      <c r="BE6" s="355"/>
      <c r="BF6" s="355"/>
      <c r="BG6" s="355"/>
      <c r="BH6" s="355"/>
      <c r="BI6" s="355"/>
      <c r="BJ6" s="355"/>
      <c r="BK6" s="355"/>
      <c r="BL6" s="355"/>
      <c r="BM6" s="355"/>
      <c r="BN6" s="355"/>
      <c r="BO6" s="355"/>
      <c r="BP6" s="356"/>
      <c r="BY6" s="457"/>
      <c r="BZ6" s="458"/>
      <c r="CA6" s="458"/>
      <c r="CB6" s="458"/>
      <c r="CC6" s="458"/>
      <c r="CD6" s="458"/>
      <c r="CE6" s="458"/>
      <c r="CF6" s="458"/>
      <c r="CG6" s="458"/>
      <c r="CH6" s="458"/>
      <c r="CI6" s="458"/>
      <c r="CJ6" s="459"/>
    </row>
    <row r="7" spans="1:88" ht="24.95" customHeight="1">
      <c r="A7" s="34">
        <f>IF(B7="","",MAX(B7)+1)</f>
        <v>1</v>
      </c>
      <c r="B7" s="421" t="s">
        <v>227</v>
      </c>
      <c r="C7" s="422"/>
      <c r="D7" s="422"/>
      <c r="E7" s="422"/>
      <c r="F7" s="422"/>
      <c r="G7" s="422"/>
      <c r="H7" s="422"/>
      <c r="I7" s="422"/>
      <c r="J7" s="422"/>
      <c r="K7" s="422"/>
      <c r="L7" s="422"/>
      <c r="M7" s="422"/>
      <c r="N7" s="448" t="s">
        <v>467</v>
      </c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  <c r="Z7" s="449"/>
      <c r="AA7" s="449"/>
      <c r="AB7" s="449"/>
      <c r="AC7" s="449"/>
      <c r="AD7" s="449"/>
      <c r="AE7" s="449"/>
      <c r="AF7" s="449"/>
      <c r="AG7" s="449"/>
      <c r="AH7" s="449"/>
      <c r="AI7" s="449"/>
      <c r="AJ7" s="449"/>
      <c r="AK7" s="449"/>
      <c r="AL7" s="449"/>
      <c r="AM7" s="449"/>
      <c r="AN7" s="450"/>
      <c r="AO7" s="422" t="s">
        <v>230</v>
      </c>
      <c r="AP7" s="422"/>
      <c r="AQ7" s="422"/>
      <c r="AR7" s="422"/>
      <c r="AS7" s="422"/>
      <c r="AT7" s="422"/>
      <c r="AU7" s="422"/>
      <c r="AV7" s="422"/>
      <c r="AW7" s="422"/>
      <c r="AX7" s="422"/>
      <c r="AY7" s="422"/>
      <c r="AZ7" s="426"/>
      <c r="BA7" s="427"/>
      <c r="BB7" s="428"/>
      <c r="BC7" s="428"/>
      <c r="BD7" s="428"/>
      <c r="BE7" s="428"/>
      <c r="BF7" s="428"/>
      <c r="BG7" s="428"/>
      <c r="BH7" s="428"/>
      <c r="BI7" s="428"/>
      <c r="BJ7" s="428"/>
      <c r="BK7" s="428"/>
      <c r="BL7" s="428"/>
      <c r="BM7" s="428"/>
      <c r="BN7" s="428"/>
      <c r="BO7" s="428"/>
      <c r="BP7" s="429"/>
      <c r="BY7" s="451"/>
      <c r="BZ7" s="431"/>
      <c r="CA7" s="431"/>
      <c r="CB7" s="431"/>
      <c r="CC7" s="431"/>
      <c r="CD7" s="431"/>
      <c r="CE7" s="431"/>
      <c r="CF7" s="431"/>
      <c r="CG7" s="431"/>
      <c r="CH7" s="431"/>
      <c r="CI7" s="431"/>
      <c r="CJ7" s="432"/>
    </row>
    <row r="8" spans="1:88" ht="24.95" customHeight="1">
      <c r="A8" s="34">
        <f>IF(B8="","",MAX($A$7:$A7)+1)</f>
        <v>2</v>
      </c>
      <c r="B8" s="421" t="s">
        <v>228</v>
      </c>
      <c r="C8" s="422"/>
      <c r="D8" s="422"/>
      <c r="E8" s="422"/>
      <c r="F8" s="422"/>
      <c r="G8" s="422"/>
      <c r="H8" s="422"/>
      <c r="I8" s="422"/>
      <c r="J8" s="422"/>
      <c r="K8" s="422"/>
      <c r="L8" s="422"/>
      <c r="M8" s="422"/>
      <c r="N8" s="442" t="s">
        <v>468</v>
      </c>
      <c r="O8" s="443"/>
      <c r="P8" s="443"/>
      <c r="Q8" s="443"/>
      <c r="R8" s="443"/>
      <c r="S8" s="443"/>
      <c r="T8" s="443"/>
      <c r="U8" s="443"/>
      <c r="V8" s="443"/>
      <c r="W8" s="443"/>
      <c r="X8" s="443"/>
      <c r="Y8" s="443"/>
      <c r="Z8" s="443"/>
      <c r="AA8" s="443"/>
      <c r="AB8" s="443"/>
      <c r="AC8" s="443"/>
      <c r="AD8" s="443"/>
      <c r="AE8" s="443"/>
      <c r="AF8" s="443"/>
      <c r="AG8" s="443"/>
      <c r="AH8" s="443"/>
      <c r="AI8" s="443"/>
      <c r="AJ8" s="443"/>
      <c r="AK8" s="443"/>
      <c r="AL8" s="443"/>
      <c r="AM8" s="443"/>
      <c r="AN8" s="444"/>
      <c r="AO8" s="452" t="s">
        <v>230</v>
      </c>
      <c r="AP8" s="452"/>
      <c r="AQ8" s="452"/>
      <c r="AR8" s="452"/>
      <c r="AS8" s="452"/>
      <c r="AT8" s="452"/>
      <c r="AU8" s="452"/>
      <c r="AV8" s="452"/>
      <c r="AW8" s="452"/>
      <c r="AX8" s="452"/>
      <c r="AY8" s="452"/>
      <c r="AZ8" s="453"/>
      <c r="BA8" s="427"/>
      <c r="BB8" s="428"/>
      <c r="BC8" s="428"/>
      <c r="BD8" s="428"/>
      <c r="BE8" s="428"/>
      <c r="BF8" s="428"/>
      <c r="BG8" s="428"/>
      <c r="BH8" s="428"/>
      <c r="BI8" s="428"/>
      <c r="BJ8" s="428"/>
      <c r="BK8" s="428"/>
      <c r="BL8" s="428"/>
      <c r="BM8" s="428"/>
      <c r="BN8" s="428"/>
      <c r="BO8" s="428"/>
      <c r="BP8" s="429"/>
      <c r="BY8" s="430"/>
      <c r="BZ8" s="431"/>
      <c r="CA8" s="431"/>
      <c r="CB8" s="431"/>
      <c r="CC8" s="431"/>
      <c r="CD8" s="431"/>
      <c r="CE8" s="431"/>
      <c r="CF8" s="431"/>
      <c r="CG8" s="431"/>
      <c r="CH8" s="431"/>
      <c r="CI8" s="431"/>
      <c r="CJ8" s="432"/>
    </row>
    <row r="9" spans="1:88" ht="24.95" customHeight="1">
      <c r="A9" s="34">
        <f>IF(B9="","",MAX($A$7:$A8)+1)</f>
        <v>3</v>
      </c>
      <c r="B9" s="421" t="s">
        <v>299</v>
      </c>
      <c r="C9" s="422"/>
      <c r="D9" s="422"/>
      <c r="E9" s="422"/>
      <c r="F9" s="422"/>
      <c r="G9" s="422"/>
      <c r="H9" s="422"/>
      <c r="I9" s="422"/>
      <c r="J9" s="422"/>
      <c r="K9" s="422"/>
      <c r="L9" s="422"/>
      <c r="M9" s="422"/>
      <c r="N9" s="442" t="s">
        <v>301</v>
      </c>
      <c r="O9" s="443"/>
      <c r="P9" s="443"/>
      <c r="Q9" s="443"/>
      <c r="R9" s="443"/>
      <c r="S9" s="443"/>
      <c r="T9" s="443"/>
      <c r="U9" s="443"/>
      <c r="V9" s="443"/>
      <c r="W9" s="443"/>
      <c r="X9" s="443"/>
      <c r="Y9" s="443"/>
      <c r="Z9" s="443"/>
      <c r="AA9" s="443"/>
      <c r="AB9" s="443"/>
      <c r="AC9" s="443"/>
      <c r="AD9" s="443"/>
      <c r="AE9" s="443"/>
      <c r="AF9" s="443"/>
      <c r="AG9" s="443"/>
      <c r="AH9" s="443"/>
      <c r="AI9" s="443"/>
      <c r="AJ9" s="443"/>
      <c r="AK9" s="443"/>
      <c r="AL9" s="443"/>
      <c r="AM9" s="443"/>
      <c r="AN9" s="444"/>
      <c r="AO9" s="452" t="s">
        <v>253</v>
      </c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3"/>
      <c r="BA9" s="427" t="s">
        <v>300</v>
      </c>
      <c r="BB9" s="428"/>
      <c r="BC9" s="428"/>
      <c r="BD9" s="428"/>
      <c r="BE9" s="428"/>
      <c r="BF9" s="428"/>
      <c r="BG9" s="428"/>
      <c r="BH9" s="428"/>
      <c r="BI9" s="428"/>
      <c r="BJ9" s="428"/>
      <c r="BK9" s="428"/>
      <c r="BL9" s="428"/>
      <c r="BM9" s="428"/>
      <c r="BN9" s="428"/>
      <c r="BO9" s="428"/>
      <c r="BP9" s="429"/>
      <c r="BY9" s="430"/>
      <c r="BZ9" s="431"/>
      <c r="CA9" s="431"/>
      <c r="CB9" s="431"/>
      <c r="CC9" s="431"/>
      <c r="CD9" s="431"/>
      <c r="CE9" s="431"/>
      <c r="CF9" s="431"/>
      <c r="CG9" s="431"/>
      <c r="CH9" s="431"/>
      <c r="CI9" s="431"/>
      <c r="CJ9" s="432"/>
    </row>
    <row r="10" spans="1:88" ht="24.95" customHeight="1">
      <c r="A10" s="34">
        <f>IF(B10="","",MAX($A$7:$A9)+1)</f>
        <v>4</v>
      </c>
      <c r="B10" s="421" t="s">
        <v>229</v>
      </c>
      <c r="C10" s="422"/>
      <c r="D10" s="422"/>
      <c r="E10" s="422"/>
      <c r="F10" s="422"/>
      <c r="G10" s="422"/>
      <c r="H10" s="422"/>
      <c r="I10" s="422"/>
      <c r="J10" s="422"/>
      <c r="K10" s="422"/>
      <c r="L10" s="422"/>
      <c r="M10" s="422"/>
      <c r="N10" s="442" t="s">
        <v>469</v>
      </c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4"/>
      <c r="AO10" s="422" t="s">
        <v>254</v>
      </c>
      <c r="AP10" s="422"/>
      <c r="AQ10" s="422"/>
      <c r="AR10" s="422"/>
      <c r="AS10" s="422"/>
      <c r="AT10" s="422"/>
      <c r="AU10" s="422"/>
      <c r="AV10" s="422"/>
      <c r="AW10" s="422"/>
      <c r="AX10" s="422"/>
      <c r="AY10" s="422"/>
      <c r="AZ10" s="426"/>
      <c r="BA10" s="427" t="s">
        <v>300</v>
      </c>
      <c r="BB10" s="428"/>
      <c r="BC10" s="428"/>
      <c r="BD10" s="428"/>
      <c r="BE10" s="428"/>
      <c r="BF10" s="428"/>
      <c r="BG10" s="428"/>
      <c r="BH10" s="428"/>
      <c r="BI10" s="428"/>
      <c r="BJ10" s="428"/>
      <c r="BK10" s="428"/>
      <c r="BL10" s="428"/>
      <c r="BM10" s="428"/>
      <c r="BN10" s="428"/>
      <c r="BO10" s="428"/>
      <c r="BP10" s="429"/>
      <c r="BY10" s="430"/>
      <c r="BZ10" s="431"/>
      <c r="CA10" s="431"/>
      <c r="CB10" s="431"/>
      <c r="CC10" s="431"/>
      <c r="CD10" s="431"/>
      <c r="CE10" s="431"/>
      <c r="CF10" s="431"/>
      <c r="CG10" s="431"/>
      <c r="CH10" s="431"/>
      <c r="CI10" s="431"/>
      <c r="CJ10" s="432"/>
    </row>
    <row r="11" spans="1:88" ht="24.95" customHeight="1">
      <c r="A11" s="34" t="str">
        <f>IF(B11="","",MAX($A$7:$A9)+1)</f>
        <v/>
      </c>
      <c r="B11" s="421"/>
      <c r="C11" s="422"/>
      <c r="D11" s="422"/>
      <c r="E11" s="422"/>
      <c r="F11" s="422"/>
      <c r="G11" s="422"/>
      <c r="H11" s="422"/>
      <c r="I11" s="422"/>
      <c r="J11" s="422"/>
      <c r="K11" s="422"/>
      <c r="L11" s="422"/>
      <c r="M11" s="422"/>
      <c r="N11" s="423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5"/>
      <c r="AO11" s="422"/>
      <c r="AP11" s="422"/>
      <c r="AQ11" s="422"/>
      <c r="AR11" s="422"/>
      <c r="AS11" s="422"/>
      <c r="AT11" s="422"/>
      <c r="AU11" s="422"/>
      <c r="AV11" s="422"/>
      <c r="AW11" s="422"/>
      <c r="AX11" s="422"/>
      <c r="AY11" s="422"/>
      <c r="AZ11" s="426"/>
      <c r="BA11" s="427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9"/>
      <c r="BY11" s="430"/>
      <c r="BZ11" s="431"/>
      <c r="CA11" s="431"/>
      <c r="CB11" s="431"/>
      <c r="CC11" s="431"/>
      <c r="CD11" s="431"/>
      <c r="CE11" s="431"/>
      <c r="CF11" s="431"/>
      <c r="CG11" s="431"/>
      <c r="CH11" s="431"/>
      <c r="CI11" s="431"/>
      <c r="CJ11" s="432"/>
    </row>
    <row r="12" spans="1:88" ht="24.95" customHeight="1">
      <c r="A12" s="34" t="str">
        <f>IF(B12="","",MAX($A$7:$A10)+1)</f>
        <v/>
      </c>
      <c r="B12" s="421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423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5"/>
      <c r="AO12" s="422"/>
      <c r="AP12" s="422"/>
      <c r="AQ12" s="422"/>
      <c r="AR12" s="422"/>
      <c r="AS12" s="422"/>
      <c r="AT12" s="422"/>
      <c r="AU12" s="422"/>
      <c r="AV12" s="422"/>
      <c r="AW12" s="422"/>
      <c r="AX12" s="422"/>
      <c r="AY12" s="422"/>
      <c r="AZ12" s="426"/>
      <c r="BA12" s="427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9"/>
      <c r="BY12" s="430"/>
      <c r="BZ12" s="431"/>
      <c r="CA12" s="431"/>
      <c r="CB12" s="431"/>
      <c r="CC12" s="431"/>
      <c r="CD12" s="431"/>
      <c r="CE12" s="431"/>
      <c r="CF12" s="431"/>
      <c r="CG12" s="431"/>
      <c r="CH12" s="431"/>
      <c r="CI12" s="431"/>
      <c r="CJ12" s="432"/>
    </row>
    <row r="13" spans="1:88" ht="24.95" customHeight="1">
      <c r="A13" s="34" t="str">
        <f>IF(B13="","",MAX($A$7:$A12)+1)</f>
        <v/>
      </c>
      <c r="B13" s="421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423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5"/>
      <c r="AO13" s="422"/>
      <c r="AP13" s="422"/>
      <c r="AQ13" s="422"/>
      <c r="AR13" s="422"/>
      <c r="AS13" s="422"/>
      <c r="AT13" s="422"/>
      <c r="AU13" s="422"/>
      <c r="AV13" s="422"/>
      <c r="AW13" s="422"/>
      <c r="AX13" s="422"/>
      <c r="AY13" s="422"/>
      <c r="AZ13" s="426"/>
      <c r="BA13" s="427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9"/>
      <c r="BY13" s="430"/>
      <c r="BZ13" s="431"/>
      <c r="CA13" s="431"/>
      <c r="CB13" s="431"/>
      <c r="CC13" s="431"/>
      <c r="CD13" s="431"/>
      <c r="CE13" s="431"/>
      <c r="CF13" s="431"/>
      <c r="CG13" s="431"/>
      <c r="CH13" s="431"/>
      <c r="CI13" s="431"/>
      <c r="CJ13" s="432"/>
    </row>
    <row r="14" spans="1:88" ht="24.95" customHeight="1">
      <c r="A14" s="34" t="str">
        <f>IF(B14="","",MAX($A$7:$A13)+1)</f>
        <v/>
      </c>
      <c r="B14" s="421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423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24"/>
      <c r="AH14" s="424"/>
      <c r="AI14" s="424"/>
      <c r="AJ14" s="424"/>
      <c r="AK14" s="424"/>
      <c r="AL14" s="424"/>
      <c r="AM14" s="424"/>
      <c r="AN14" s="425"/>
      <c r="AO14" s="422"/>
      <c r="AP14" s="422"/>
      <c r="AQ14" s="422"/>
      <c r="AR14" s="422"/>
      <c r="AS14" s="422"/>
      <c r="AT14" s="422"/>
      <c r="AU14" s="422"/>
      <c r="AV14" s="422"/>
      <c r="AW14" s="422"/>
      <c r="AX14" s="422"/>
      <c r="AY14" s="422"/>
      <c r="AZ14" s="426"/>
      <c r="BA14" s="427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9"/>
      <c r="BY14" s="430"/>
      <c r="BZ14" s="431"/>
      <c r="CA14" s="431"/>
      <c r="CB14" s="431"/>
      <c r="CC14" s="431"/>
      <c r="CD14" s="431"/>
      <c r="CE14" s="431"/>
      <c r="CF14" s="431"/>
      <c r="CG14" s="431"/>
      <c r="CH14" s="431"/>
      <c r="CI14" s="431"/>
      <c r="CJ14" s="432"/>
    </row>
    <row r="15" spans="1:88" ht="24.95" customHeight="1">
      <c r="A15" s="34" t="str">
        <f>IF(B15="","",MAX($A$7:$A14)+1)</f>
        <v/>
      </c>
      <c r="B15" s="421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5"/>
      <c r="AO15" s="422"/>
      <c r="AP15" s="422"/>
      <c r="AQ15" s="422"/>
      <c r="AR15" s="422"/>
      <c r="AS15" s="422"/>
      <c r="AT15" s="422"/>
      <c r="AU15" s="422"/>
      <c r="AV15" s="422"/>
      <c r="AW15" s="422"/>
      <c r="AX15" s="422"/>
      <c r="AY15" s="422"/>
      <c r="AZ15" s="426"/>
      <c r="BA15" s="427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9"/>
      <c r="BY15" s="430"/>
      <c r="BZ15" s="431"/>
      <c r="CA15" s="431"/>
      <c r="CB15" s="431"/>
      <c r="CC15" s="431"/>
      <c r="CD15" s="431"/>
      <c r="CE15" s="431"/>
      <c r="CF15" s="431"/>
      <c r="CG15" s="431"/>
      <c r="CH15" s="431"/>
      <c r="CI15" s="431"/>
      <c r="CJ15" s="432"/>
    </row>
    <row r="16" spans="1:88" ht="24.95" customHeight="1">
      <c r="A16" s="34" t="str">
        <f>IF(B16="","",MAX($A$7:$A15)+1)</f>
        <v/>
      </c>
      <c r="B16" s="421"/>
      <c r="C16" s="422"/>
      <c r="D16" s="422"/>
      <c r="E16" s="422"/>
      <c r="F16" s="422"/>
      <c r="G16" s="422"/>
      <c r="H16" s="422"/>
      <c r="I16" s="422"/>
      <c r="J16" s="422"/>
      <c r="K16" s="422"/>
      <c r="L16" s="422"/>
      <c r="M16" s="422"/>
      <c r="N16" s="423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5"/>
      <c r="AO16" s="422"/>
      <c r="AP16" s="422"/>
      <c r="AQ16" s="422"/>
      <c r="AR16" s="422"/>
      <c r="AS16" s="422"/>
      <c r="AT16" s="422"/>
      <c r="AU16" s="422"/>
      <c r="AV16" s="422"/>
      <c r="AW16" s="422"/>
      <c r="AX16" s="422"/>
      <c r="AY16" s="422"/>
      <c r="AZ16" s="426"/>
      <c r="BA16" s="427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9"/>
      <c r="BY16" s="430"/>
      <c r="BZ16" s="431"/>
      <c r="CA16" s="431"/>
      <c r="CB16" s="431"/>
      <c r="CC16" s="431"/>
      <c r="CD16" s="431"/>
      <c r="CE16" s="431"/>
      <c r="CF16" s="431"/>
      <c r="CG16" s="431"/>
      <c r="CH16" s="431"/>
      <c r="CI16" s="431"/>
      <c r="CJ16" s="432"/>
    </row>
    <row r="17" spans="1:88" ht="24.95" customHeight="1">
      <c r="A17" s="34" t="str">
        <f>IF(B17="","",MAX($A$7:$A16)+1)</f>
        <v/>
      </c>
      <c r="B17" s="421"/>
      <c r="C17" s="422"/>
      <c r="D17" s="422"/>
      <c r="E17" s="422"/>
      <c r="F17" s="422"/>
      <c r="G17" s="422"/>
      <c r="H17" s="422"/>
      <c r="I17" s="422"/>
      <c r="J17" s="422"/>
      <c r="K17" s="422"/>
      <c r="L17" s="422"/>
      <c r="M17" s="422"/>
      <c r="N17" s="423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5"/>
      <c r="AO17" s="421"/>
      <c r="AP17" s="422"/>
      <c r="AQ17" s="422"/>
      <c r="AR17" s="422"/>
      <c r="AS17" s="422"/>
      <c r="AT17" s="422"/>
      <c r="AU17" s="422"/>
      <c r="AV17" s="422"/>
      <c r="AW17" s="422"/>
      <c r="AX17" s="422"/>
      <c r="AY17" s="422"/>
      <c r="AZ17" s="422"/>
      <c r="BA17" s="427"/>
      <c r="BB17" s="428"/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  <c r="BM17" s="428"/>
      <c r="BN17" s="428"/>
      <c r="BO17" s="428"/>
      <c r="BP17" s="429"/>
      <c r="BY17" s="430"/>
      <c r="BZ17" s="431"/>
      <c r="CA17" s="431"/>
      <c r="CB17" s="431"/>
      <c r="CC17" s="431"/>
      <c r="CD17" s="431"/>
      <c r="CE17" s="431"/>
      <c r="CF17" s="431"/>
      <c r="CG17" s="431"/>
      <c r="CH17" s="431"/>
      <c r="CI17" s="431"/>
      <c r="CJ17" s="432"/>
    </row>
    <row r="18" spans="1:88" ht="24.95" customHeight="1">
      <c r="A18" s="34" t="str">
        <f>IF(B18="","",MAX($A$7:$A17)+1)</f>
        <v/>
      </c>
      <c r="B18" s="421"/>
      <c r="C18" s="422"/>
      <c r="D18" s="422"/>
      <c r="E18" s="422"/>
      <c r="F18" s="422"/>
      <c r="G18" s="422"/>
      <c r="H18" s="422"/>
      <c r="I18" s="422"/>
      <c r="J18" s="422"/>
      <c r="K18" s="422"/>
      <c r="L18" s="422"/>
      <c r="M18" s="422"/>
      <c r="N18" s="423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5"/>
      <c r="AO18" s="421"/>
      <c r="AP18" s="422"/>
      <c r="AQ18" s="422"/>
      <c r="AR18" s="422"/>
      <c r="AS18" s="422"/>
      <c r="AT18" s="422"/>
      <c r="AU18" s="422"/>
      <c r="AV18" s="422"/>
      <c r="AW18" s="422"/>
      <c r="AX18" s="422"/>
      <c r="AY18" s="422"/>
      <c r="AZ18" s="422"/>
      <c r="BA18" s="427"/>
      <c r="BB18" s="428"/>
      <c r="BC18" s="428"/>
      <c r="BD18" s="428"/>
      <c r="BE18" s="428"/>
      <c r="BF18" s="428"/>
      <c r="BG18" s="428"/>
      <c r="BH18" s="428"/>
      <c r="BI18" s="428"/>
      <c r="BJ18" s="428"/>
      <c r="BK18" s="428"/>
      <c r="BL18" s="428"/>
      <c r="BM18" s="428"/>
      <c r="BN18" s="428"/>
      <c r="BO18" s="428"/>
      <c r="BP18" s="429"/>
      <c r="BY18" s="430"/>
      <c r="BZ18" s="431"/>
      <c r="CA18" s="431"/>
      <c r="CB18" s="431"/>
      <c r="CC18" s="431"/>
      <c r="CD18" s="431"/>
      <c r="CE18" s="431"/>
      <c r="CF18" s="431"/>
      <c r="CG18" s="431"/>
      <c r="CH18" s="431"/>
      <c r="CI18" s="431"/>
      <c r="CJ18" s="432"/>
    </row>
    <row r="19" spans="1:88" ht="24.95" customHeight="1">
      <c r="A19" s="34" t="str">
        <f>IF(B19="","",MAX($A$7:$A18)+1)</f>
        <v/>
      </c>
      <c r="B19" s="421"/>
      <c r="C19" s="422"/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3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24"/>
      <c r="AN19" s="425"/>
      <c r="AO19" s="421"/>
      <c r="AP19" s="422"/>
      <c r="AQ19" s="422"/>
      <c r="AR19" s="422"/>
      <c r="AS19" s="422"/>
      <c r="AT19" s="422"/>
      <c r="AU19" s="422"/>
      <c r="AV19" s="422"/>
      <c r="AW19" s="422"/>
      <c r="AX19" s="422"/>
      <c r="AY19" s="422"/>
      <c r="AZ19" s="422"/>
      <c r="BA19" s="427"/>
      <c r="BB19" s="428"/>
      <c r="BC19" s="428"/>
      <c r="BD19" s="428"/>
      <c r="BE19" s="428"/>
      <c r="BF19" s="428"/>
      <c r="BG19" s="428"/>
      <c r="BH19" s="428"/>
      <c r="BI19" s="428"/>
      <c r="BJ19" s="428"/>
      <c r="BK19" s="428"/>
      <c r="BL19" s="428"/>
      <c r="BM19" s="428"/>
      <c r="BN19" s="428"/>
      <c r="BO19" s="428"/>
      <c r="BP19" s="429"/>
      <c r="BY19" s="430"/>
      <c r="BZ19" s="431"/>
      <c r="CA19" s="431"/>
      <c r="CB19" s="431"/>
      <c r="CC19" s="431"/>
      <c r="CD19" s="431"/>
      <c r="CE19" s="431"/>
      <c r="CF19" s="431"/>
      <c r="CG19" s="431"/>
      <c r="CH19" s="431"/>
      <c r="CI19" s="431"/>
      <c r="CJ19" s="432"/>
    </row>
    <row r="20" spans="1:88" ht="24.95" customHeight="1">
      <c r="A20" s="34" t="str">
        <f>IF(B20="","",MAX($A$7:$A19)+1)</f>
        <v/>
      </c>
      <c r="B20" s="421"/>
      <c r="C20" s="422"/>
      <c r="D20" s="422"/>
      <c r="E20" s="422"/>
      <c r="F20" s="422"/>
      <c r="G20" s="422"/>
      <c r="H20" s="422"/>
      <c r="I20" s="422"/>
      <c r="J20" s="422"/>
      <c r="K20" s="422"/>
      <c r="L20" s="422"/>
      <c r="M20" s="422"/>
      <c r="N20" s="423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5"/>
      <c r="AO20" s="421"/>
      <c r="AP20" s="422"/>
      <c r="AQ20" s="422"/>
      <c r="AR20" s="422"/>
      <c r="AS20" s="422"/>
      <c r="AT20" s="422"/>
      <c r="AU20" s="422"/>
      <c r="AV20" s="422"/>
      <c r="AW20" s="422"/>
      <c r="AX20" s="422"/>
      <c r="AY20" s="422"/>
      <c r="AZ20" s="422"/>
      <c r="BA20" s="427"/>
      <c r="BB20" s="428"/>
      <c r="BC20" s="428"/>
      <c r="BD20" s="428"/>
      <c r="BE20" s="428"/>
      <c r="BF20" s="428"/>
      <c r="BG20" s="428"/>
      <c r="BH20" s="428"/>
      <c r="BI20" s="428"/>
      <c r="BJ20" s="428"/>
      <c r="BK20" s="428"/>
      <c r="BL20" s="428"/>
      <c r="BM20" s="428"/>
      <c r="BN20" s="428"/>
      <c r="BO20" s="428"/>
      <c r="BP20" s="429"/>
      <c r="BY20" s="430"/>
      <c r="BZ20" s="431"/>
      <c r="CA20" s="431"/>
      <c r="CB20" s="431"/>
      <c r="CC20" s="431"/>
      <c r="CD20" s="431"/>
      <c r="CE20" s="431"/>
      <c r="CF20" s="431"/>
      <c r="CG20" s="431"/>
      <c r="CH20" s="431"/>
      <c r="CI20" s="431"/>
      <c r="CJ20" s="432"/>
    </row>
    <row r="21" spans="1:88" ht="24.95" customHeight="1">
      <c r="A21" s="34" t="str">
        <f>IF(B21="","",MAX($A$7:$A20)+1)</f>
        <v/>
      </c>
      <c r="B21" s="433"/>
      <c r="C21" s="434"/>
      <c r="D21" s="434"/>
      <c r="E21" s="434"/>
      <c r="F21" s="434"/>
      <c r="G21" s="434"/>
      <c r="H21" s="434"/>
      <c r="I21" s="434"/>
      <c r="J21" s="434"/>
      <c r="K21" s="434"/>
      <c r="L21" s="434"/>
      <c r="M21" s="435"/>
      <c r="N21" s="436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7"/>
      <c r="AA21" s="437"/>
      <c r="AB21" s="437"/>
      <c r="AC21" s="437"/>
      <c r="AD21" s="437"/>
      <c r="AE21" s="437"/>
      <c r="AF21" s="437"/>
      <c r="AG21" s="437"/>
      <c r="AH21" s="437"/>
      <c r="AI21" s="437"/>
      <c r="AJ21" s="437"/>
      <c r="AK21" s="437"/>
      <c r="AL21" s="437"/>
      <c r="AM21" s="437"/>
      <c r="AN21" s="438"/>
      <c r="AO21" s="433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5"/>
      <c r="BA21" s="445"/>
      <c r="BB21" s="446"/>
      <c r="BC21" s="446"/>
      <c r="BD21" s="446"/>
      <c r="BE21" s="446"/>
      <c r="BF21" s="446"/>
      <c r="BG21" s="446"/>
      <c r="BH21" s="446"/>
      <c r="BI21" s="446"/>
      <c r="BJ21" s="446"/>
      <c r="BK21" s="446"/>
      <c r="BL21" s="446"/>
      <c r="BM21" s="446"/>
      <c r="BN21" s="446"/>
      <c r="BO21" s="446"/>
      <c r="BP21" s="447"/>
      <c r="BY21" s="439"/>
      <c r="BZ21" s="440"/>
      <c r="CA21" s="440"/>
      <c r="CB21" s="440"/>
      <c r="CC21" s="440"/>
      <c r="CD21" s="440"/>
      <c r="CE21" s="440"/>
      <c r="CF21" s="440"/>
      <c r="CG21" s="440"/>
      <c r="CH21" s="440"/>
      <c r="CI21" s="440"/>
      <c r="CJ21" s="441"/>
    </row>
    <row r="27" spans="1:88" ht="12.6" customHeight="1">
      <c r="C27" s="10"/>
      <c r="D27" s="10"/>
      <c r="E27" s="10"/>
      <c r="F27" s="10"/>
      <c r="G27" s="10"/>
      <c r="H27" s="10"/>
      <c r="I27" s="10"/>
      <c r="J27" s="10"/>
      <c r="K27" s="10"/>
      <c r="N27" s="10"/>
      <c r="O27" s="10"/>
    </row>
  </sheetData>
  <mergeCells count="81">
    <mergeCell ref="BY8:CJ8"/>
    <mergeCell ref="BY5:CJ6"/>
    <mergeCell ref="A5:A6"/>
    <mergeCell ref="B5:M6"/>
    <mergeCell ref="BA5:BP6"/>
    <mergeCell ref="BY9:CJ9"/>
    <mergeCell ref="B7:M7"/>
    <mergeCell ref="N7:AN7"/>
    <mergeCell ref="BY7:CJ7"/>
    <mergeCell ref="AO5:AZ6"/>
    <mergeCell ref="AO7:AZ7"/>
    <mergeCell ref="BA7:BP7"/>
    <mergeCell ref="B8:M8"/>
    <mergeCell ref="N8:AN8"/>
    <mergeCell ref="AO8:AZ8"/>
    <mergeCell ref="BA8:BP8"/>
    <mergeCell ref="B9:M9"/>
    <mergeCell ref="BA9:BP9"/>
    <mergeCell ref="AO9:AZ9"/>
    <mergeCell ref="N9:AN9"/>
    <mergeCell ref="N5:AN6"/>
    <mergeCell ref="BA13:BP13"/>
    <mergeCell ref="B16:M16"/>
    <mergeCell ref="BA16:BP16"/>
    <mergeCell ref="B14:M14"/>
    <mergeCell ref="BA14:BP14"/>
    <mergeCell ref="AO16:AZ16"/>
    <mergeCell ref="N16:AN16"/>
    <mergeCell ref="AO14:AZ14"/>
    <mergeCell ref="AO15:AZ15"/>
    <mergeCell ref="N14:AN14"/>
    <mergeCell ref="N15:AN15"/>
    <mergeCell ref="B15:M15"/>
    <mergeCell ref="BA15:BP15"/>
    <mergeCell ref="BY21:CJ21"/>
    <mergeCell ref="B10:M10"/>
    <mergeCell ref="N10:AN10"/>
    <mergeCell ref="AO10:AZ10"/>
    <mergeCell ref="BA10:BP10"/>
    <mergeCell ref="BY10:CJ10"/>
    <mergeCell ref="B12:M12"/>
    <mergeCell ref="N12:AN12"/>
    <mergeCell ref="AO12:AZ12"/>
    <mergeCell ref="BA12:BP12"/>
    <mergeCell ref="BY12:CJ12"/>
    <mergeCell ref="BY17:CJ17"/>
    <mergeCell ref="BY18:CJ18"/>
    <mergeCell ref="BY19:CJ19"/>
    <mergeCell ref="B21:M21"/>
    <mergeCell ref="BA21:BP21"/>
    <mergeCell ref="AO21:AZ21"/>
    <mergeCell ref="N21:AN21"/>
    <mergeCell ref="B20:M20"/>
    <mergeCell ref="N20:AN20"/>
    <mergeCell ref="AO20:AZ20"/>
    <mergeCell ref="BA20:BP20"/>
    <mergeCell ref="BY20:CJ20"/>
    <mergeCell ref="BY14:CJ14"/>
    <mergeCell ref="BY15:CJ15"/>
    <mergeCell ref="BY16:CJ16"/>
    <mergeCell ref="BY13:CJ13"/>
    <mergeCell ref="B18:M18"/>
    <mergeCell ref="BA18:BP18"/>
    <mergeCell ref="B19:M19"/>
    <mergeCell ref="BA19:BP19"/>
    <mergeCell ref="B17:M17"/>
    <mergeCell ref="BA17:BP17"/>
    <mergeCell ref="AO17:AZ17"/>
    <mergeCell ref="AO18:AZ18"/>
    <mergeCell ref="AO19:AZ19"/>
    <mergeCell ref="N17:AN17"/>
    <mergeCell ref="N18:AN18"/>
    <mergeCell ref="N19:AN19"/>
    <mergeCell ref="B13:M13"/>
    <mergeCell ref="N13:AN13"/>
    <mergeCell ref="AO13:AZ13"/>
    <mergeCell ref="B11:M11"/>
    <mergeCell ref="N11:AN11"/>
    <mergeCell ref="AO11:AZ11"/>
    <mergeCell ref="BA11:BP11"/>
    <mergeCell ref="BY11:CJ11"/>
  </mergeCells>
  <phoneticPr fontId="6"/>
  <pageMargins left="0.19685039370078741" right="0.23622047244094491" top="0.39370078740157483" bottom="0.39370078740157483" header="0" footer="0.19685039370078741"/>
  <pageSetup paperSize="9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K31"/>
  <sheetViews>
    <sheetView showGridLines="0" view="pageBreakPreview" zoomScale="115" zoomScaleNormal="100" zoomScaleSheetLayoutView="115" workbookViewId="0">
      <pane xSplit="80" ySplit="6" topLeftCell="DM7" activePane="bottomRight" state="frozen"/>
      <selection pane="topRight" sqref="A1:G2"/>
      <selection pane="bottomLeft" sqref="A1:G2"/>
      <selection pane="bottomRight" activeCell="W10" sqref="W10:AX10"/>
    </sheetView>
  </sheetViews>
  <sheetFormatPr defaultColWidth="2.25" defaultRowHeight="12.6" customHeight="1" outlineLevelCol="1"/>
  <cols>
    <col min="1" max="1" width="3.875" style="32" customWidth="1"/>
    <col min="2" max="7" width="2.25" style="32" customWidth="1"/>
    <col min="8" max="54" width="2.25" style="32"/>
    <col min="55" max="80" width="2.25" style="32" customWidth="1" outlineLevel="1"/>
    <col min="81" max="177" width="2.25" style="32"/>
    <col min="178" max="178" width="17.25" style="32" customWidth="1"/>
    <col min="179" max="200" width="2.25" style="32"/>
    <col min="201" max="210" width="0" style="32" hidden="1" customWidth="1"/>
    <col min="211" max="16384" width="2.25" style="32"/>
  </cols>
  <sheetData>
    <row r="1" spans="1:243" s="5" customFormat="1" ht="12.6" customHeight="1">
      <c r="FV1" s="35" t="s">
        <v>58</v>
      </c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</row>
    <row r="2" spans="1:243" s="5" customFormat="1" ht="12.6" customHeight="1"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</row>
    <row r="3" spans="1:243" s="5" customFormat="1" ht="12.6" customHeight="1"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</row>
    <row r="4" spans="1:243" s="5" customFormat="1" ht="12.6" customHeight="1" thickBot="1"/>
    <row r="5" spans="1:243" ht="12.6" customHeight="1">
      <c r="A5" s="484" t="s">
        <v>59</v>
      </c>
      <c r="B5" s="486" t="s">
        <v>124</v>
      </c>
      <c r="C5" s="492"/>
      <c r="D5" s="492"/>
      <c r="E5" s="492"/>
      <c r="F5" s="492"/>
      <c r="G5" s="493"/>
      <c r="H5" s="486" t="s">
        <v>83</v>
      </c>
      <c r="I5" s="492"/>
      <c r="J5" s="492"/>
      <c r="K5" s="492"/>
      <c r="L5" s="492"/>
      <c r="M5" s="492"/>
      <c r="N5" s="492"/>
      <c r="O5" s="492"/>
      <c r="P5" s="492"/>
      <c r="Q5" s="492"/>
      <c r="R5" s="493"/>
      <c r="S5" s="486" t="s">
        <v>84</v>
      </c>
      <c r="T5" s="487"/>
      <c r="U5" s="487"/>
      <c r="V5" s="488"/>
      <c r="W5" s="486" t="s">
        <v>85</v>
      </c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3"/>
      <c r="AY5" s="497" t="s">
        <v>86</v>
      </c>
      <c r="AZ5" s="498"/>
      <c r="BA5" s="498"/>
      <c r="BB5" s="498"/>
      <c r="BC5" s="498"/>
      <c r="BD5" s="498"/>
      <c r="BE5" s="498"/>
      <c r="BF5" s="498"/>
      <c r="BG5" s="498"/>
      <c r="BH5" s="498"/>
      <c r="BI5" s="498"/>
      <c r="BJ5" s="498"/>
      <c r="BK5" s="498"/>
      <c r="BL5" s="498"/>
      <c r="BM5" s="498"/>
      <c r="BN5" s="498"/>
      <c r="BO5" s="498"/>
      <c r="BP5" s="498"/>
      <c r="BQ5" s="498"/>
      <c r="BR5" s="498"/>
      <c r="BS5" s="498"/>
      <c r="BT5" s="498"/>
      <c r="BU5" s="498"/>
      <c r="BV5" s="498"/>
      <c r="BW5" s="498"/>
      <c r="BX5" s="498"/>
      <c r="BY5" s="498"/>
      <c r="BZ5" s="498"/>
      <c r="CA5" s="498"/>
      <c r="CB5" s="499"/>
      <c r="CC5" s="486" t="s">
        <v>87</v>
      </c>
      <c r="CD5" s="492"/>
      <c r="CE5" s="492"/>
      <c r="CF5" s="492"/>
      <c r="CG5" s="493"/>
      <c r="CH5" s="486" t="s">
        <v>88</v>
      </c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3"/>
      <c r="DH5" s="512" t="s">
        <v>89</v>
      </c>
      <c r="DI5" s="512"/>
      <c r="DJ5" s="512"/>
      <c r="DK5" s="512"/>
      <c r="DL5" s="512"/>
      <c r="DM5" s="512"/>
      <c r="DN5" s="512"/>
      <c r="DO5" s="512"/>
      <c r="DP5" s="512"/>
      <c r="DQ5" s="512"/>
      <c r="DR5" s="512"/>
      <c r="DS5" s="512"/>
      <c r="DT5" s="512"/>
      <c r="DU5" s="512"/>
      <c r="DV5" s="512"/>
      <c r="DW5" s="512"/>
      <c r="DX5" s="512"/>
      <c r="DY5" s="512"/>
      <c r="DZ5" s="512"/>
      <c r="EA5" s="512"/>
      <c r="EB5" s="512"/>
      <c r="EC5" s="512"/>
      <c r="ED5" s="512"/>
      <c r="EE5" s="512"/>
      <c r="EF5" s="512"/>
      <c r="EG5" s="512"/>
      <c r="EH5" s="512"/>
      <c r="EI5" s="512"/>
      <c r="EJ5" s="512"/>
      <c r="EK5" s="512"/>
      <c r="EL5" s="486" t="s">
        <v>90</v>
      </c>
      <c r="EM5" s="492"/>
      <c r="EN5" s="492"/>
      <c r="EO5" s="492"/>
      <c r="EP5" s="492"/>
      <c r="EQ5" s="492"/>
      <c r="ER5" s="492"/>
      <c r="ES5" s="492"/>
      <c r="ET5" s="492"/>
      <c r="EU5" s="492"/>
      <c r="EV5" s="492"/>
      <c r="EW5" s="492"/>
      <c r="EX5" s="492"/>
      <c r="EY5" s="492"/>
      <c r="EZ5" s="492"/>
      <c r="FA5" s="492"/>
      <c r="FB5" s="492"/>
      <c r="FC5" s="492"/>
      <c r="FD5" s="492"/>
      <c r="FE5" s="492"/>
      <c r="FF5" s="492"/>
      <c r="FG5" s="492"/>
      <c r="FH5" s="492"/>
      <c r="FI5" s="492"/>
      <c r="FJ5" s="492"/>
      <c r="FK5" s="492"/>
      <c r="FL5" s="492"/>
      <c r="FM5" s="492"/>
      <c r="FN5" s="492"/>
      <c r="FO5" s="492"/>
      <c r="FP5" s="492"/>
      <c r="FQ5" s="492"/>
      <c r="FR5" s="492"/>
      <c r="FS5" s="492"/>
      <c r="FT5" s="492"/>
      <c r="FU5" s="513"/>
      <c r="FV5" s="515" t="s">
        <v>91</v>
      </c>
      <c r="FW5" s="454" t="s">
        <v>82</v>
      </c>
      <c r="FX5" s="455"/>
      <c r="FY5" s="455"/>
      <c r="FZ5" s="455"/>
      <c r="GA5" s="455"/>
      <c r="GB5" s="455"/>
      <c r="GC5" s="455"/>
      <c r="GD5" s="455"/>
      <c r="GE5" s="455"/>
      <c r="GF5" s="455"/>
      <c r="GG5" s="455"/>
      <c r="GH5" s="455"/>
      <c r="GI5" s="455"/>
      <c r="GJ5" s="455"/>
      <c r="GK5" s="455"/>
      <c r="GL5" s="455"/>
      <c r="GM5" s="455"/>
      <c r="GN5" s="455"/>
      <c r="GO5" s="455"/>
      <c r="GP5" s="455"/>
      <c r="GQ5" s="455"/>
      <c r="GR5" s="456"/>
      <c r="GS5" s="517" t="s">
        <v>92</v>
      </c>
      <c r="GT5" s="518"/>
      <c r="GU5" s="518"/>
      <c r="GV5" s="518"/>
      <c r="GW5" s="519"/>
      <c r="GX5" s="517" t="s">
        <v>93</v>
      </c>
      <c r="GY5" s="518"/>
      <c r="GZ5" s="518"/>
      <c r="HA5" s="518"/>
      <c r="HB5" s="519"/>
      <c r="HC5" s="506" t="s">
        <v>94</v>
      </c>
      <c r="HD5" s="507"/>
      <c r="HE5" s="507"/>
      <c r="HF5" s="507"/>
      <c r="HG5" s="507"/>
      <c r="HH5" s="507"/>
      <c r="HI5" s="507"/>
      <c r="HJ5" s="507"/>
      <c r="HK5" s="507"/>
      <c r="HL5" s="507"/>
      <c r="HM5" s="507"/>
      <c r="HN5" s="507"/>
      <c r="HO5" s="507"/>
      <c r="HP5" s="507"/>
      <c r="HQ5" s="507"/>
      <c r="HR5" s="507"/>
      <c r="HS5" s="507"/>
      <c r="HT5" s="507"/>
      <c r="HU5" s="507"/>
      <c r="HV5" s="507"/>
      <c r="HW5" s="507"/>
      <c r="HX5" s="507"/>
      <c r="HY5" s="507"/>
      <c r="HZ5" s="507"/>
      <c r="IA5" s="507"/>
      <c r="IB5" s="507"/>
      <c r="IC5" s="507"/>
      <c r="ID5" s="507"/>
      <c r="IE5" s="507"/>
      <c r="IF5" s="507"/>
      <c r="IG5" s="507"/>
      <c r="IH5" s="507"/>
      <c r="II5" s="508"/>
    </row>
    <row r="6" spans="1:243" ht="12.6" customHeight="1">
      <c r="A6" s="485"/>
      <c r="B6" s="494"/>
      <c r="C6" s="495"/>
      <c r="D6" s="495"/>
      <c r="E6" s="495"/>
      <c r="F6" s="495"/>
      <c r="G6" s="496"/>
      <c r="H6" s="494"/>
      <c r="I6" s="495"/>
      <c r="J6" s="495"/>
      <c r="K6" s="495"/>
      <c r="L6" s="495"/>
      <c r="M6" s="495"/>
      <c r="N6" s="495"/>
      <c r="O6" s="495"/>
      <c r="P6" s="495"/>
      <c r="Q6" s="495"/>
      <c r="R6" s="496"/>
      <c r="S6" s="489"/>
      <c r="T6" s="490"/>
      <c r="U6" s="490"/>
      <c r="V6" s="491"/>
      <c r="W6" s="494"/>
      <c r="X6" s="495"/>
      <c r="Y6" s="495"/>
      <c r="Z6" s="495"/>
      <c r="AA6" s="495"/>
      <c r="AB6" s="495"/>
      <c r="AC6" s="495"/>
      <c r="AD6" s="495"/>
      <c r="AE6" s="495"/>
      <c r="AF6" s="495"/>
      <c r="AG6" s="495"/>
      <c r="AH6" s="495"/>
      <c r="AI6" s="495"/>
      <c r="AJ6" s="495"/>
      <c r="AK6" s="495"/>
      <c r="AL6" s="495"/>
      <c r="AM6" s="495"/>
      <c r="AN6" s="495"/>
      <c r="AO6" s="495"/>
      <c r="AP6" s="495"/>
      <c r="AQ6" s="495"/>
      <c r="AR6" s="495"/>
      <c r="AS6" s="495"/>
      <c r="AT6" s="495"/>
      <c r="AU6" s="495"/>
      <c r="AV6" s="495"/>
      <c r="AW6" s="495"/>
      <c r="AX6" s="496"/>
      <c r="AY6" s="504" t="s">
        <v>389</v>
      </c>
      <c r="AZ6" s="505"/>
      <c r="BA6" s="504"/>
      <c r="BB6" s="505"/>
      <c r="BC6" s="502"/>
      <c r="BD6" s="503"/>
      <c r="BE6" s="502"/>
      <c r="BF6" s="503"/>
      <c r="BG6" s="502"/>
      <c r="BH6" s="503"/>
      <c r="BI6" s="502"/>
      <c r="BJ6" s="503"/>
      <c r="BK6" s="502"/>
      <c r="BL6" s="503"/>
      <c r="BM6" s="502"/>
      <c r="BN6" s="503"/>
      <c r="BO6" s="502"/>
      <c r="BP6" s="503"/>
      <c r="BQ6" s="502"/>
      <c r="BR6" s="503"/>
      <c r="BS6" s="502"/>
      <c r="BT6" s="503"/>
      <c r="BU6" s="502"/>
      <c r="BV6" s="503"/>
      <c r="BW6" s="502"/>
      <c r="BX6" s="503"/>
      <c r="BY6" s="502"/>
      <c r="BZ6" s="503"/>
      <c r="CA6" s="502"/>
      <c r="CB6" s="503"/>
      <c r="CC6" s="494"/>
      <c r="CD6" s="495"/>
      <c r="CE6" s="495"/>
      <c r="CF6" s="495"/>
      <c r="CG6" s="496"/>
      <c r="CH6" s="494"/>
      <c r="CI6" s="495"/>
      <c r="CJ6" s="495"/>
      <c r="CK6" s="495"/>
      <c r="CL6" s="495"/>
      <c r="CM6" s="495"/>
      <c r="CN6" s="495"/>
      <c r="CO6" s="495"/>
      <c r="CP6" s="495"/>
      <c r="CQ6" s="495"/>
      <c r="CR6" s="495"/>
      <c r="CS6" s="495"/>
      <c r="CT6" s="495"/>
      <c r="CU6" s="495"/>
      <c r="CV6" s="495"/>
      <c r="CW6" s="495"/>
      <c r="CX6" s="495"/>
      <c r="CY6" s="495"/>
      <c r="CZ6" s="495"/>
      <c r="DA6" s="495"/>
      <c r="DB6" s="495"/>
      <c r="DC6" s="495"/>
      <c r="DD6" s="495"/>
      <c r="DE6" s="495"/>
      <c r="DF6" s="495"/>
      <c r="DG6" s="496"/>
      <c r="DH6" s="523" t="s">
        <v>95</v>
      </c>
      <c r="DI6" s="523"/>
      <c r="DJ6" s="523"/>
      <c r="DK6" s="523"/>
      <c r="DL6" s="523"/>
      <c r="DM6" s="523"/>
      <c r="DN6" s="523" t="s">
        <v>96</v>
      </c>
      <c r="DO6" s="523"/>
      <c r="DP6" s="523"/>
      <c r="DQ6" s="523"/>
      <c r="DR6" s="523"/>
      <c r="DS6" s="523"/>
      <c r="DT6" s="523" t="s">
        <v>97</v>
      </c>
      <c r="DU6" s="523"/>
      <c r="DV6" s="523"/>
      <c r="DW6" s="523"/>
      <c r="DX6" s="523"/>
      <c r="DY6" s="523"/>
      <c r="DZ6" s="523" t="s">
        <v>98</v>
      </c>
      <c r="EA6" s="523"/>
      <c r="EB6" s="523"/>
      <c r="EC6" s="523"/>
      <c r="ED6" s="523"/>
      <c r="EE6" s="523"/>
      <c r="EF6" s="523" t="s">
        <v>99</v>
      </c>
      <c r="EG6" s="523"/>
      <c r="EH6" s="523"/>
      <c r="EI6" s="523"/>
      <c r="EJ6" s="523"/>
      <c r="EK6" s="523"/>
      <c r="EL6" s="494"/>
      <c r="EM6" s="495"/>
      <c r="EN6" s="495"/>
      <c r="EO6" s="495"/>
      <c r="EP6" s="495"/>
      <c r="EQ6" s="495"/>
      <c r="ER6" s="495"/>
      <c r="ES6" s="495"/>
      <c r="ET6" s="495"/>
      <c r="EU6" s="495"/>
      <c r="EV6" s="495"/>
      <c r="EW6" s="495"/>
      <c r="EX6" s="495"/>
      <c r="EY6" s="495"/>
      <c r="EZ6" s="495"/>
      <c r="FA6" s="495"/>
      <c r="FB6" s="495"/>
      <c r="FC6" s="495"/>
      <c r="FD6" s="495"/>
      <c r="FE6" s="495"/>
      <c r="FF6" s="495"/>
      <c r="FG6" s="495"/>
      <c r="FH6" s="495"/>
      <c r="FI6" s="495"/>
      <c r="FJ6" s="495"/>
      <c r="FK6" s="495"/>
      <c r="FL6" s="495"/>
      <c r="FM6" s="495"/>
      <c r="FN6" s="495"/>
      <c r="FO6" s="495"/>
      <c r="FP6" s="495"/>
      <c r="FQ6" s="495"/>
      <c r="FR6" s="495"/>
      <c r="FS6" s="495"/>
      <c r="FT6" s="495"/>
      <c r="FU6" s="514"/>
      <c r="FV6" s="516"/>
      <c r="FW6" s="457"/>
      <c r="FX6" s="458"/>
      <c r="FY6" s="458"/>
      <c r="FZ6" s="458"/>
      <c r="GA6" s="458"/>
      <c r="GB6" s="458"/>
      <c r="GC6" s="458"/>
      <c r="GD6" s="458"/>
      <c r="GE6" s="458"/>
      <c r="GF6" s="458"/>
      <c r="GG6" s="458"/>
      <c r="GH6" s="458"/>
      <c r="GI6" s="458"/>
      <c r="GJ6" s="458"/>
      <c r="GK6" s="458"/>
      <c r="GL6" s="458"/>
      <c r="GM6" s="458"/>
      <c r="GN6" s="458"/>
      <c r="GO6" s="458"/>
      <c r="GP6" s="458"/>
      <c r="GQ6" s="458"/>
      <c r="GR6" s="459"/>
      <c r="GS6" s="520"/>
      <c r="GT6" s="521"/>
      <c r="GU6" s="521"/>
      <c r="GV6" s="521"/>
      <c r="GW6" s="522"/>
      <c r="GX6" s="520"/>
      <c r="GY6" s="521"/>
      <c r="GZ6" s="521"/>
      <c r="HA6" s="521"/>
      <c r="HB6" s="522"/>
      <c r="HC6" s="509"/>
      <c r="HD6" s="510"/>
      <c r="HE6" s="510"/>
      <c r="HF6" s="510"/>
      <c r="HG6" s="510"/>
      <c r="HH6" s="510"/>
      <c r="HI6" s="510"/>
      <c r="HJ6" s="510"/>
      <c r="HK6" s="510"/>
      <c r="HL6" s="510"/>
      <c r="HM6" s="510"/>
      <c r="HN6" s="510"/>
      <c r="HO6" s="510"/>
      <c r="HP6" s="510"/>
      <c r="HQ6" s="510"/>
      <c r="HR6" s="510"/>
      <c r="HS6" s="510"/>
      <c r="HT6" s="510"/>
      <c r="HU6" s="510"/>
      <c r="HV6" s="510"/>
      <c r="HW6" s="510"/>
      <c r="HX6" s="510"/>
      <c r="HY6" s="510"/>
      <c r="HZ6" s="510"/>
      <c r="IA6" s="510"/>
      <c r="IB6" s="510"/>
      <c r="IC6" s="510"/>
      <c r="ID6" s="510"/>
      <c r="IE6" s="510"/>
      <c r="IF6" s="510"/>
      <c r="IG6" s="510"/>
      <c r="IH6" s="510"/>
      <c r="II6" s="511"/>
    </row>
    <row r="7" spans="1:243" s="137" customFormat="1" ht="80.099999999999994" customHeight="1">
      <c r="A7" s="135">
        <f>IF(H8="","",MAX(H7)+1)</f>
        <v>1</v>
      </c>
      <c r="B7" s="319" t="s">
        <v>391</v>
      </c>
      <c r="C7" s="320"/>
      <c r="D7" s="320"/>
      <c r="E7" s="320"/>
      <c r="F7" s="320"/>
      <c r="G7" s="475"/>
      <c r="H7" s="536" t="s">
        <v>392</v>
      </c>
      <c r="I7" s="537"/>
      <c r="J7" s="537"/>
      <c r="K7" s="537"/>
      <c r="L7" s="537"/>
      <c r="M7" s="537"/>
      <c r="N7" s="537"/>
      <c r="O7" s="537"/>
      <c r="P7" s="537"/>
      <c r="Q7" s="537"/>
      <c r="R7" s="538"/>
      <c r="S7" s="319" t="s">
        <v>232</v>
      </c>
      <c r="T7" s="500"/>
      <c r="U7" s="500"/>
      <c r="V7" s="501"/>
      <c r="W7" s="319" t="s">
        <v>393</v>
      </c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475"/>
      <c r="AY7" s="476" t="s">
        <v>233</v>
      </c>
      <c r="AZ7" s="477"/>
      <c r="BA7" s="476"/>
      <c r="BB7" s="477"/>
      <c r="BC7" s="476"/>
      <c r="BD7" s="477"/>
      <c r="BE7" s="476"/>
      <c r="BF7" s="477"/>
      <c r="BG7" s="481"/>
      <c r="BH7" s="477"/>
      <c r="BI7" s="481"/>
      <c r="BJ7" s="477"/>
      <c r="BK7" s="481"/>
      <c r="BL7" s="477"/>
      <c r="BM7" s="481"/>
      <c r="BN7" s="477"/>
      <c r="BO7" s="481"/>
      <c r="BP7" s="477"/>
      <c r="BQ7" s="481"/>
      <c r="BR7" s="477"/>
      <c r="BS7" s="481"/>
      <c r="BT7" s="477"/>
      <c r="BU7" s="481"/>
      <c r="BV7" s="477"/>
      <c r="BW7" s="481"/>
      <c r="BX7" s="477"/>
      <c r="BY7" s="481"/>
      <c r="BZ7" s="477"/>
      <c r="CA7" s="481"/>
      <c r="CB7" s="477"/>
      <c r="CC7" s="478" t="s">
        <v>394</v>
      </c>
      <c r="CD7" s="479"/>
      <c r="CE7" s="479"/>
      <c r="CF7" s="479"/>
      <c r="CG7" s="480"/>
      <c r="CH7" s="462" t="s">
        <v>395</v>
      </c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63"/>
      <c r="CY7" s="463"/>
      <c r="CZ7" s="463"/>
      <c r="DA7" s="463"/>
      <c r="DB7" s="463"/>
      <c r="DC7" s="463"/>
      <c r="DD7" s="463"/>
      <c r="DE7" s="463"/>
      <c r="DF7" s="463"/>
      <c r="DG7" s="464"/>
      <c r="DH7" s="472" t="s">
        <v>391</v>
      </c>
      <c r="DI7" s="473"/>
      <c r="DJ7" s="473"/>
      <c r="DK7" s="473"/>
      <c r="DL7" s="473"/>
      <c r="DM7" s="474"/>
      <c r="DN7" s="472"/>
      <c r="DO7" s="473"/>
      <c r="DP7" s="473"/>
      <c r="DQ7" s="473"/>
      <c r="DR7" s="473"/>
      <c r="DS7" s="474"/>
      <c r="DT7" s="462"/>
      <c r="DU7" s="463"/>
      <c r="DV7" s="463"/>
      <c r="DW7" s="463"/>
      <c r="DX7" s="463"/>
      <c r="DY7" s="464"/>
      <c r="DZ7" s="462"/>
      <c r="EA7" s="463"/>
      <c r="EB7" s="463"/>
      <c r="EC7" s="463"/>
      <c r="ED7" s="463"/>
      <c r="EE7" s="464"/>
      <c r="EF7" s="462"/>
      <c r="EG7" s="463"/>
      <c r="EH7" s="463"/>
      <c r="EI7" s="463"/>
      <c r="EJ7" s="463"/>
      <c r="EK7" s="464"/>
      <c r="EL7" s="462"/>
      <c r="EM7" s="463"/>
      <c r="EN7" s="463"/>
      <c r="EO7" s="463"/>
      <c r="EP7" s="463"/>
      <c r="EQ7" s="463"/>
      <c r="ER7" s="463"/>
      <c r="ES7" s="463"/>
      <c r="ET7" s="463"/>
      <c r="EU7" s="463"/>
      <c r="EV7" s="463"/>
      <c r="EW7" s="463"/>
      <c r="EX7" s="463"/>
      <c r="EY7" s="463"/>
      <c r="EZ7" s="463"/>
      <c r="FA7" s="463"/>
      <c r="FB7" s="463"/>
      <c r="FC7" s="463"/>
      <c r="FD7" s="463"/>
      <c r="FE7" s="463"/>
      <c r="FF7" s="463"/>
      <c r="FG7" s="463"/>
      <c r="FH7" s="463"/>
      <c r="FI7" s="463"/>
      <c r="FJ7" s="463"/>
      <c r="FK7" s="463"/>
      <c r="FL7" s="463"/>
      <c r="FM7" s="463"/>
      <c r="FN7" s="463"/>
      <c r="FO7" s="463"/>
      <c r="FP7" s="463"/>
      <c r="FQ7" s="463"/>
      <c r="FR7" s="463"/>
      <c r="FS7" s="463"/>
      <c r="FT7" s="463"/>
      <c r="FU7" s="465"/>
      <c r="FV7" s="136"/>
      <c r="FW7" s="466"/>
      <c r="FX7" s="467"/>
      <c r="FY7" s="467"/>
      <c r="FZ7" s="467"/>
      <c r="GA7" s="467"/>
      <c r="GB7" s="467"/>
      <c r="GC7" s="467"/>
      <c r="GD7" s="467"/>
      <c r="GE7" s="467"/>
      <c r="GF7" s="467"/>
      <c r="GG7" s="467"/>
      <c r="GH7" s="467"/>
      <c r="GI7" s="467"/>
      <c r="GJ7" s="467"/>
      <c r="GK7" s="467"/>
      <c r="GL7" s="467"/>
      <c r="GM7" s="467"/>
      <c r="GN7" s="467"/>
      <c r="GO7" s="467"/>
      <c r="GP7" s="467"/>
      <c r="GQ7" s="467"/>
      <c r="GR7" s="468"/>
      <c r="GS7" s="469" t="s">
        <v>100</v>
      </c>
      <c r="GT7" s="470"/>
      <c r="GU7" s="470"/>
      <c r="GV7" s="470"/>
      <c r="GW7" s="471"/>
      <c r="GX7" s="469" t="s">
        <v>100</v>
      </c>
      <c r="GY7" s="470"/>
      <c r="GZ7" s="470"/>
      <c r="HA7" s="470"/>
      <c r="HB7" s="471"/>
      <c r="HC7" s="466"/>
      <c r="HD7" s="467"/>
      <c r="HE7" s="467"/>
      <c r="HF7" s="467"/>
      <c r="HG7" s="467"/>
      <c r="HH7" s="467"/>
      <c r="HI7" s="467"/>
      <c r="HJ7" s="467"/>
      <c r="HK7" s="467"/>
      <c r="HL7" s="467"/>
      <c r="HM7" s="467"/>
      <c r="HN7" s="467"/>
      <c r="HO7" s="467"/>
      <c r="HP7" s="467"/>
      <c r="HQ7" s="467"/>
      <c r="HR7" s="467"/>
      <c r="HS7" s="467"/>
      <c r="HT7" s="467"/>
      <c r="HU7" s="467"/>
      <c r="HV7" s="467"/>
      <c r="HW7" s="467"/>
      <c r="HX7" s="467"/>
      <c r="HY7" s="467"/>
      <c r="HZ7" s="467"/>
      <c r="IA7" s="467"/>
      <c r="IB7" s="467"/>
      <c r="IC7" s="467"/>
      <c r="ID7" s="467"/>
      <c r="IE7" s="467"/>
      <c r="IF7" s="467"/>
      <c r="IG7" s="467"/>
      <c r="IH7" s="467"/>
      <c r="II7" s="468"/>
    </row>
    <row r="8" spans="1:243" s="137" customFormat="1" ht="30" customHeight="1">
      <c r="A8" s="135">
        <f>IF(H8="","",MAX($A$7:$A7)+1)</f>
        <v>2</v>
      </c>
      <c r="B8" s="319" t="s">
        <v>255</v>
      </c>
      <c r="C8" s="320"/>
      <c r="D8" s="320"/>
      <c r="E8" s="320"/>
      <c r="F8" s="320"/>
      <c r="G8" s="475"/>
      <c r="H8" s="536" t="s">
        <v>286</v>
      </c>
      <c r="I8" s="537"/>
      <c r="J8" s="537"/>
      <c r="K8" s="537"/>
      <c r="L8" s="537"/>
      <c r="M8" s="537"/>
      <c r="N8" s="537"/>
      <c r="O8" s="537"/>
      <c r="P8" s="537"/>
      <c r="Q8" s="537"/>
      <c r="R8" s="538"/>
      <c r="S8" s="319" t="s">
        <v>232</v>
      </c>
      <c r="T8" s="500"/>
      <c r="U8" s="500"/>
      <c r="V8" s="501"/>
      <c r="W8" s="319" t="s">
        <v>258</v>
      </c>
      <c r="X8" s="320"/>
      <c r="Y8" s="320"/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  <c r="AU8" s="320"/>
      <c r="AV8" s="320"/>
      <c r="AW8" s="320"/>
      <c r="AX8" s="475"/>
      <c r="AY8" s="476" t="s">
        <v>234</v>
      </c>
      <c r="AZ8" s="477"/>
      <c r="BA8" s="476"/>
      <c r="BB8" s="477"/>
      <c r="BC8" s="524"/>
      <c r="BD8" s="483"/>
      <c r="BE8" s="524"/>
      <c r="BF8" s="483"/>
      <c r="BG8" s="482"/>
      <c r="BH8" s="483"/>
      <c r="BI8" s="482"/>
      <c r="BJ8" s="483"/>
      <c r="BK8" s="482"/>
      <c r="BL8" s="483"/>
      <c r="BM8" s="482"/>
      <c r="BN8" s="483"/>
      <c r="BO8" s="482"/>
      <c r="BP8" s="483"/>
      <c r="BQ8" s="482"/>
      <c r="BR8" s="483"/>
      <c r="BS8" s="482"/>
      <c r="BT8" s="483"/>
      <c r="BU8" s="482"/>
      <c r="BV8" s="483"/>
      <c r="BW8" s="482"/>
      <c r="BX8" s="483"/>
      <c r="BY8" s="482"/>
      <c r="BZ8" s="483"/>
      <c r="CA8" s="482"/>
      <c r="CB8" s="483"/>
      <c r="CC8" s="478" t="s">
        <v>374</v>
      </c>
      <c r="CD8" s="479"/>
      <c r="CE8" s="479"/>
      <c r="CF8" s="479"/>
      <c r="CG8" s="480"/>
      <c r="CH8" s="462" t="s">
        <v>260</v>
      </c>
      <c r="CI8" s="463"/>
      <c r="CJ8" s="463"/>
      <c r="CK8" s="463"/>
      <c r="CL8" s="463"/>
      <c r="CM8" s="463"/>
      <c r="CN8" s="463"/>
      <c r="CO8" s="463"/>
      <c r="CP8" s="463"/>
      <c r="CQ8" s="463"/>
      <c r="CR8" s="463"/>
      <c r="CS8" s="463"/>
      <c r="CT8" s="463"/>
      <c r="CU8" s="463"/>
      <c r="CV8" s="463"/>
      <c r="CW8" s="463"/>
      <c r="CX8" s="463"/>
      <c r="CY8" s="463"/>
      <c r="CZ8" s="463"/>
      <c r="DA8" s="463"/>
      <c r="DB8" s="463"/>
      <c r="DC8" s="463"/>
      <c r="DD8" s="463"/>
      <c r="DE8" s="463"/>
      <c r="DF8" s="463"/>
      <c r="DG8" s="464"/>
      <c r="DH8" s="472" t="s">
        <v>255</v>
      </c>
      <c r="DI8" s="473"/>
      <c r="DJ8" s="473"/>
      <c r="DK8" s="473"/>
      <c r="DL8" s="473"/>
      <c r="DM8" s="474"/>
      <c r="DN8" s="472"/>
      <c r="DO8" s="473"/>
      <c r="DP8" s="473"/>
      <c r="DQ8" s="473"/>
      <c r="DR8" s="473"/>
      <c r="DS8" s="474"/>
      <c r="DT8" s="462"/>
      <c r="DU8" s="463"/>
      <c r="DV8" s="463"/>
      <c r="DW8" s="463"/>
      <c r="DX8" s="463"/>
      <c r="DY8" s="464"/>
      <c r="DZ8" s="462"/>
      <c r="EA8" s="463"/>
      <c r="EB8" s="463"/>
      <c r="EC8" s="463"/>
      <c r="ED8" s="463"/>
      <c r="EE8" s="464"/>
      <c r="EF8" s="462"/>
      <c r="EG8" s="463"/>
      <c r="EH8" s="463"/>
      <c r="EI8" s="463"/>
      <c r="EJ8" s="463"/>
      <c r="EK8" s="464"/>
      <c r="EL8" s="462"/>
      <c r="EM8" s="463"/>
      <c r="EN8" s="463"/>
      <c r="EO8" s="463"/>
      <c r="EP8" s="463"/>
      <c r="EQ8" s="463"/>
      <c r="ER8" s="463"/>
      <c r="ES8" s="463"/>
      <c r="ET8" s="463"/>
      <c r="EU8" s="463"/>
      <c r="EV8" s="463"/>
      <c r="EW8" s="463"/>
      <c r="EX8" s="463"/>
      <c r="EY8" s="463"/>
      <c r="EZ8" s="463"/>
      <c r="FA8" s="463"/>
      <c r="FB8" s="463"/>
      <c r="FC8" s="463"/>
      <c r="FD8" s="463"/>
      <c r="FE8" s="463"/>
      <c r="FF8" s="463"/>
      <c r="FG8" s="463"/>
      <c r="FH8" s="463"/>
      <c r="FI8" s="463"/>
      <c r="FJ8" s="463"/>
      <c r="FK8" s="463"/>
      <c r="FL8" s="463"/>
      <c r="FM8" s="463"/>
      <c r="FN8" s="463"/>
      <c r="FO8" s="463"/>
      <c r="FP8" s="463"/>
      <c r="FQ8" s="463"/>
      <c r="FR8" s="463"/>
      <c r="FS8" s="463"/>
      <c r="FT8" s="463"/>
      <c r="FU8" s="465"/>
      <c r="FV8" s="138"/>
      <c r="FW8" s="466"/>
      <c r="FX8" s="467"/>
      <c r="FY8" s="467"/>
      <c r="FZ8" s="467"/>
      <c r="GA8" s="467"/>
      <c r="GB8" s="467"/>
      <c r="GC8" s="467"/>
      <c r="GD8" s="467"/>
      <c r="GE8" s="467"/>
      <c r="GF8" s="467"/>
      <c r="GG8" s="467"/>
      <c r="GH8" s="467"/>
      <c r="GI8" s="467"/>
      <c r="GJ8" s="467"/>
      <c r="GK8" s="467"/>
      <c r="GL8" s="467"/>
      <c r="GM8" s="467"/>
      <c r="GN8" s="467"/>
      <c r="GO8" s="467"/>
      <c r="GP8" s="467"/>
      <c r="GQ8" s="467"/>
      <c r="GR8" s="468"/>
      <c r="GS8" s="469" t="s">
        <v>100</v>
      </c>
      <c r="GT8" s="470"/>
      <c r="GU8" s="470"/>
      <c r="GV8" s="470"/>
      <c r="GW8" s="471"/>
      <c r="GX8" s="469" t="s">
        <v>101</v>
      </c>
      <c r="GY8" s="470"/>
      <c r="GZ8" s="470"/>
      <c r="HA8" s="470"/>
      <c r="HB8" s="471"/>
      <c r="HC8" s="466"/>
      <c r="HD8" s="467"/>
      <c r="HE8" s="467"/>
      <c r="HF8" s="467"/>
      <c r="HG8" s="467"/>
      <c r="HH8" s="467"/>
      <c r="HI8" s="467"/>
      <c r="HJ8" s="467"/>
      <c r="HK8" s="467"/>
      <c r="HL8" s="467"/>
      <c r="HM8" s="467"/>
      <c r="HN8" s="467"/>
      <c r="HO8" s="467"/>
      <c r="HP8" s="467"/>
      <c r="HQ8" s="467"/>
      <c r="HR8" s="467"/>
      <c r="HS8" s="467"/>
      <c r="HT8" s="467"/>
      <c r="HU8" s="467"/>
      <c r="HV8" s="467"/>
      <c r="HW8" s="467"/>
      <c r="HX8" s="467"/>
      <c r="HY8" s="467"/>
      <c r="HZ8" s="467"/>
      <c r="IA8" s="467"/>
      <c r="IB8" s="467"/>
      <c r="IC8" s="467"/>
      <c r="ID8" s="467"/>
      <c r="IE8" s="467"/>
      <c r="IF8" s="467"/>
      <c r="IG8" s="467"/>
      <c r="IH8" s="467"/>
      <c r="II8" s="468"/>
    </row>
    <row r="9" spans="1:243" s="137" customFormat="1" ht="30" customHeight="1">
      <c r="A9" s="135">
        <f>IF(H9="","",MAX($A$7:$A8)+1)</f>
        <v>3</v>
      </c>
      <c r="B9" s="319" t="s">
        <v>255</v>
      </c>
      <c r="C9" s="320"/>
      <c r="D9" s="320"/>
      <c r="E9" s="320"/>
      <c r="F9" s="320"/>
      <c r="G9" s="475"/>
      <c r="H9" s="536" t="s">
        <v>287</v>
      </c>
      <c r="I9" s="537"/>
      <c r="J9" s="537"/>
      <c r="K9" s="537"/>
      <c r="L9" s="537"/>
      <c r="M9" s="537"/>
      <c r="N9" s="537"/>
      <c r="O9" s="537"/>
      <c r="P9" s="537"/>
      <c r="Q9" s="537"/>
      <c r="R9" s="538"/>
      <c r="S9" s="319" t="s">
        <v>232</v>
      </c>
      <c r="T9" s="500"/>
      <c r="U9" s="500"/>
      <c r="V9" s="501"/>
      <c r="W9" s="319" t="s">
        <v>361</v>
      </c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475"/>
      <c r="AY9" s="476" t="s">
        <v>233</v>
      </c>
      <c r="AZ9" s="477"/>
      <c r="BA9" s="476"/>
      <c r="BB9" s="477"/>
      <c r="BC9" s="524"/>
      <c r="BD9" s="483"/>
      <c r="BE9" s="524"/>
      <c r="BF9" s="483"/>
      <c r="BG9" s="482"/>
      <c r="BH9" s="483"/>
      <c r="BI9" s="482"/>
      <c r="BJ9" s="483"/>
      <c r="BK9" s="482"/>
      <c r="BL9" s="483"/>
      <c r="BM9" s="482"/>
      <c r="BN9" s="483"/>
      <c r="BO9" s="482"/>
      <c r="BP9" s="483"/>
      <c r="BQ9" s="482"/>
      <c r="BR9" s="483"/>
      <c r="BS9" s="482"/>
      <c r="BT9" s="483"/>
      <c r="BU9" s="482"/>
      <c r="BV9" s="483"/>
      <c r="BW9" s="482"/>
      <c r="BX9" s="483"/>
      <c r="BY9" s="482"/>
      <c r="BZ9" s="483"/>
      <c r="CA9" s="482"/>
      <c r="CB9" s="483"/>
      <c r="CC9" s="478" t="s">
        <v>378</v>
      </c>
      <c r="CD9" s="479"/>
      <c r="CE9" s="479"/>
      <c r="CF9" s="479"/>
      <c r="CG9" s="480"/>
      <c r="CH9" s="462" t="s">
        <v>376</v>
      </c>
      <c r="CI9" s="463"/>
      <c r="CJ9" s="463"/>
      <c r="CK9" s="463"/>
      <c r="CL9" s="463"/>
      <c r="CM9" s="463"/>
      <c r="CN9" s="463"/>
      <c r="CO9" s="463"/>
      <c r="CP9" s="463"/>
      <c r="CQ9" s="463"/>
      <c r="CR9" s="463"/>
      <c r="CS9" s="463"/>
      <c r="CT9" s="463"/>
      <c r="CU9" s="463"/>
      <c r="CV9" s="463"/>
      <c r="CW9" s="463"/>
      <c r="CX9" s="463"/>
      <c r="CY9" s="463"/>
      <c r="CZ9" s="463"/>
      <c r="DA9" s="463"/>
      <c r="DB9" s="463"/>
      <c r="DC9" s="463"/>
      <c r="DD9" s="463"/>
      <c r="DE9" s="463"/>
      <c r="DF9" s="463"/>
      <c r="DG9" s="464"/>
      <c r="DH9" s="472" t="s">
        <v>183</v>
      </c>
      <c r="DI9" s="473"/>
      <c r="DJ9" s="473"/>
      <c r="DK9" s="473"/>
      <c r="DL9" s="473"/>
      <c r="DM9" s="474"/>
      <c r="DN9" s="472" t="s">
        <v>359</v>
      </c>
      <c r="DO9" s="473"/>
      <c r="DP9" s="473"/>
      <c r="DQ9" s="473"/>
      <c r="DR9" s="473"/>
      <c r="DS9" s="474"/>
      <c r="DT9" s="462"/>
      <c r="DU9" s="463"/>
      <c r="DV9" s="463"/>
      <c r="DW9" s="463"/>
      <c r="DX9" s="463"/>
      <c r="DY9" s="464"/>
      <c r="DZ9" s="462"/>
      <c r="EA9" s="463"/>
      <c r="EB9" s="463"/>
      <c r="EC9" s="463"/>
      <c r="ED9" s="463"/>
      <c r="EE9" s="464"/>
      <c r="EF9" s="462"/>
      <c r="EG9" s="463"/>
      <c r="EH9" s="463"/>
      <c r="EI9" s="463"/>
      <c r="EJ9" s="463"/>
      <c r="EK9" s="464"/>
      <c r="EL9" s="462"/>
      <c r="EM9" s="463"/>
      <c r="EN9" s="463"/>
      <c r="EO9" s="463"/>
      <c r="EP9" s="463"/>
      <c r="EQ9" s="463"/>
      <c r="ER9" s="463"/>
      <c r="ES9" s="463"/>
      <c r="ET9" s="463"/>
      <c r="EU9" s="463"/>
      <c r="EV9" s="463"/>
      <c r="EW9" s="463"/>
      <c r="EX9" s="463"/>
      <c r="EY9" s="463"/>
      <c r="EZ9" s="463"/>
      <c r="FA9" s="463"/>
      <c r="FB9" s="463"/>
      <c r="FC9" s="463"/>
      <c r="FD9" s="463"/>
      <c r="FE9" s="463"/>
      <c r="FF9" s="463"/>
      <c r="FG9" s="463"/>
      <c r="FH9" s="463"/>
      <c r="FI9" s="463"/>
      <c r="FJ9" s="463"/>
      <c r="FK9" s="463"/>
      <c r="FL9" s="463"/>
      <c r="FM9" s="463"/>
      <c r="FN9" s="463"/>
      <c r="FO9" s="463"/>
      <c r="FP9" s="463"/>
      <c r="FQ9" s="463"/>
      <c r="FR9" s="463"/>
      <c r="FS9" s="463"/>
      <c r="FT9" s="463"/>
      <c r="FU9" s="465"/>
      <c r="FV9" s="136"/>
      <c r="FW9" s="466"/>
      <c r="FX9" s="467"/>
      <c r="FY9" s="467"/>
      <c r="FZ9" s="467"/>
      <c r="GA9" s="467"/>
      <c r="GB9" s="467"/>
      <c r="GC9" s="467"/>
      <c r="GD9" s="467"/>
      <c r="GE9" s="467"/>
      <c r="GF9" s="467"/>
      <c r="GG9" s="467"/>
      <c r="GH9" s="467"/>
      <c r="GI9" s="467"/>
      <c r="GJ9" s="467"/>
      <c r="GK9" s="467"/>
      <c r="GL9" s="467"/>
      <c r="GM9" s="467"/>
      <c r="GN9" s="467"/>
      <c r="GO9" s="467"/>
      <c r="GP9" s="467"/>
      <c r="GQ9" s="467"/>
      <c r="GR9" s="468"/>
      <c r="GS9" s="469" t="s">
        <v>100</v>
      </c>
      <c r="GT9" s="470"/>
      <c r="GU9" s="470"/>
      <c r="GV9" s="470"/>
      <c r="GW9" s="471"/>
      <c r="GX9" s="469" t="s">
        <v>101</v>
      </c>
      <c r="GY9" s="470"/>
      <c r="GZ9" s="470"/>
      <c r="HA9" s="470"/>
      <c r="HB9" s="471"/>
      <c r="HC9" s="466"/>
      <c r="HD9" s="467"/>
      <c r="HE9" s="467"/>
      <c r="HF9" s="467"/>
      <c r="HG9" s="467"/>
      <c r="HH9" s="467"/>
      <c r="HI9" s="467"/>
      <c r="HJ9" s="467"/>
      <c r="HK9" s="467"/>
      <c r="HL9" s="467"/>
      <c r="HM9" s="467"/>
      <c r="HN9" s="467"/>
      <c r="HO9" s="467"/>
      <c r="HP9" s="467"/>
      <c r="HQ9" s="467"/>
      <c r="HR9" s="467"/>
      <c r="HS9" s="467"/>
      <c r="HT9" s="467"/>
      <c r="HU9" s="467"/>
      <c r="HV9" s="467"/>
      <c r="HW9" s="467"/>
      <c r="HX9" s="467"/>
      <c r="HY9" s="467"/>
      <c r="HZ9" s="467"/>
      <c r="IA9" s="467"/>
      <c r="IB9" s="467"/>
      <c r="IC9" s="467"/>
      <c r="ID9" s="467"/>
      <c r="IE9" s="467"/>
      <c r="IF9" s="467"/>
      <c r="IG9" s="467"/>
      <c r="IH9" s="467"/>
      <c r="II9" s="468"/>
    </row>
    <row r="10" spans="1:243" s="137" customFormat="1" ht="90" customHeight="1">
      <c r="A10" s="135">
        <f>IF(H10="","",MAX($A$9:$A9)+1)</f>
        <v>4</v>
      </c>
      <c r="B10" s="319" t="s">
        <v>255</v>
      </c>
      <c r="C10" s="320"/>
      <c r="D10" s="320"/>
      <c r="E10" s="320"/>
      <c r="F10" s="320"/>
      <c r="G10" s="475"/>
      <c r="H10" s="536" t="s">
        <v>367</v>
      </c>
      <c r="I10" s="537"/>
      <c r="J10" s="537"/>
      <c r="K10" s="537"/>
      <c r="L10" s="537"/>
      <c r="M10" s="537"/>
      <c r="N10" s="537"/>
      <c r="O10" s="537"/>
      <c r="P10" s="537"/>
      <c r="Q10" s="537"/>
      <c r="R10" s="538"/>
      <c r="S10" s="319" t="s">
        <v>232</v>
      </c>
      <c r="T10" s="500"/>
      <c r="U10" s="500"/>
      <c r="V10" s="501"/>
      <c r="W10" s="319" t="s">
        <v>575</v>
      </c>
      <c r="X10" s="320"/>
      <c r="Y10" s="320"/>
      <c r="Z10" s="320"/>
      <c r="AA10" s="320"/>
      <c r="AB10" s="320"/>
      <c r="AC10" s="320"/>
      <c r="AD10" s="320"/>
      <c r="AE10" s="320"/>
      <c r="AF10" s="320"/>
      <c r="AG10" s="320"/>
      <c r="AH10" s="320"/>
      <c r="AI10" s="320"/>
      <c r="AJ10" s="320"/>
      <c r="AK10" s="320"/>
      <c r="AL10" s="320"/>
      <c r="AM10" s="320"/>
      <c r="AN10" s="320"/>
      <c r="AO10" s="320"/>
      <c r="AP10" s="320"/>
      <c r="AQ10" s="320"/>
      <c r="AR10" s="320"/>
      <c r="AS10" s="320"/>
      <c r="AT10" s="320"/>
      <c r="AU10" s="320"/>
      <c r="AV10" s="320"/>
      <c r="AW10" s="320"/>
      <c r="AX10" s="475"/>
      <c r="AY10" s="476" t="s">
        <v>233</v>
      </c>
      <c r="AZ10" s="477"/>
      <c r="BA10" s="476"/>
      <c r="BB10" s="477"/>
      <c r="BC10" s="319"/>
      <c r="BD10" s="475"/>
      <c r="BE10" s="319"/>
      <c r="BF10" s="475"/>
      <c r="BG10" s="320"/>
      <c r="BH10" s="475"/>
      <c r="BI10" s="320"/>
      <c r="BJ10" s="475"/>
      <c r="BK10" s="320"/>
      <c r="BL10" s="475"/>
      <c r="BM10" s="320"/>
      <c r="BN10" s="475"/>
      <c r="BO10" s="320"/>
      <c r="BP10" s="475"/>
      <c r="BQ10" s="320"/>
      <c r="BR10" s="475"/>
      <c r="BS10" s="320"/>
      <c r="BT10" s="475"/>
      <c r="BU10" s="320"/>
      <c r="BV10" s="475"/>
      <c r="BW10" s="320"/>
      <c r="BX10" s="475"/>
      <c r="BY10" s="320"/>
      <c r="BZ10" s="475"/>
      <c r="CA10" s="320"/>
      <c r="CB10" s="475"/>
      <c r="CC10" s="478" t="s">
        <v>375</v>
      </c>
      <c r="CD10" s="479"/>
      <c r="CE10" s="479"/>
      <c r="CF10" s="479"/>
      <c r="CG10" s="480"/>
      <c r="CH10" s="462" t="s">
        <v>235</v>
      </c>
      <c r="CI10" s="463"/>
      <c r="CJ10" s="463"/>
      <c r="CK10" s="463"/>
      <c r="CL10" s="463"/>
      <c r="CM10" s="463"/>
      <c r="CN10" s="463"/>
      <c r="CO10" s="463"/>
      <c r="CP10" s="463"/>
      <c r="CQ10" s="463"/>
      <c r="CR10" s="463"/>
      <c r="CS10" s="463"/>
      <c r="CT10" s="463"/>
      <c r="CU10" s="463"/>
      <c r="CV10" s="463"/>
      <c r="CW10" s="463"/>
      <c r="CX10" s="463"/>
      <c r="CY10" s="463"/>
      <c r="CZ10" s="463"/>
      <c r="DA10" s="463"/>
      <c r="DB10" s="463"/>
      <c r="DC10" s="463"/>
      <c r="DD10" s="463"/>
      <c r="DE10" s="463"/>
      <c r="DF10" s="463"/>
      <c r="DG10" s="464"/>
      <c r="DH10" s="472" t="s">
        <v>183</v>
      </c>
      <c r="DI10" s="473"/>
      <c r="DJ10" s="473"/>
      <c r="DK10" s="473"/>
      <c r="DL10" s="473"/>
      <c r="DM10" s="474"/>
      <c r="DN10" s="472" t="s">
        <v>360</v>
      </c>
      <c r="DO10" s="473"/>
      <c r="DP10" s="473"/>
      <c r="DQ10" s="473"/>
      <c r="DR10" s="473"/>
      <c r="DS10" s="474"/>
      <c r="DT10" s="462"/>
      <c r="DU10" s="463"/>
      <c r="DV10" s="463"/>
      <c r="DW10" s="463"/>
      <c r="DX10" s="463"/>
      <c r="DY10" s="464"/>
      <c r="DZ10" s="462"/>
      <c r="EA10" s="463"/>
      <c r="EB10" s="463"/>
      <c r="EC10" s="463"/>
      <c r="ED10" s="463"/>
      <c r="EE10" s="464"/>
      <c r="EF10" s="462"/>
      <c r="EG10" s="463"/>
      <c r="EH10" s="463"/>
      <c r="EI10" s="463"/>
      <c r="EJ10" s="463"/>
      <c r="EK10" s="464"/>
      <c r="EL10" s="462"/>
      <c r="EM10" s="463"/>
      <c r="EN10" s="463"/>
      <c r="EO10" s="463"/>
      <c r="EP10" s="463"/>
      <c r="EQ10" s="463"/>
      <c r="ER10" s="463"/>
      <c r="ES10" s="463"/>
      <c r="ET10" s="463"/>
      <c r="EU10" s="463"/>
      <c r="EV10" s="463"/>
      <c r="EW10" s="463"/>
      <c r="EX10" s="463"/>
      <c r="EY10" s="463"/>
      <c r="EZ10" s="463"/>
      <c r="FA10" s="463"/>
      <c r="FB10" s="463"/>
      <c r="FC10" s="463"/>
      <c r="FD10" s="463"/>
      <c r="FE10" s="463"/>
      <c r="FF10" s="463"/>
      <c r="FG10" s="463"/>
      <c r="FH10" s="463"/>
      <c r="FI10" s="463"/>
      <c r="FJ10" s="463"/>
      <c r="FK10" s="463"/>
      <c r="FL10" s="463"/>
      <c r="FM10" s="463"/>
      <c r="FN10" s="463"/>
      <c r="FO10" s="463"/>
      <c r="FP10" s="463"/>
      <c r="FQ10" s="463"/>
      <c r="FR10" s="463"/>
      <c r="FS10" s="463"/>
      <c r="FT10" s="463"/>
      <c r="FU10" s="465"/>
      <c r="FV10" s="136"/>
      <c r="FW10" s="466"/>
      <c r="FX10" s="467"/>
      <c r="FY10" s="467"/>
      <c r="FZ10" s="467"/>
      <c r="GA10" s="467"/>
      <c r="GB10" s="467"/>
      <c r="GC10" s="467"/>
      <c r="GD10" s="467"/>
      <c r="GE10" s="467"/>
      <c r="GF10" s="467"/>
      <c r="GG10" s="467"/>
      <c r="GH10" s="467"/>
      <c r="GI10" s="467"/>
      <c r="GJ10" s="467"/>
      <c r="GK10" s="467"/>
      <c r="GL10" s="467"/>
      <c r="GM10" s="467"/>
      <c r="GN10" s="467"/>
      <c r="GO10" s="467"/>
      <c r="GP10" s="467"/>
      <c r="GQ10" s="467"/>
      <c r="GR10" s="468"/>
      <c r="GS10" s="469" t="s">
        <v>100</v>
      </c>
      <c r="GT10" s="470"/>
      <c r="GU10" s="470"/>
      <c r="GV10" s="470"/>
      <c r="GW10" s="471"/>
      <c r="GX10" s="469" t="s">
        <v>100</v>
      </c>
      <c r="GY10" s="470"/>
      <c r="GZ10" s="470"/>
      <c r="HA10" s="470"/>
      <c r="HB10" s="471"/>
      <c r="HC10" s="466"/>
      <c r="HD10" s="467"/>
      <c r="HE10" s="467"/>
      <c r="HF10" s="467"/>
      <c r="HG10" s="467"/>
      <c r="HH10" s="467"/>
      <c r="HI10" s="467"/>
      <c r="HJ10" s="467"/>
      <c r="HK10" s="467"/>
      <c r="HL10" s="467"/>
      <c r="HM10" s="467"/>
      <c r="HN10" s="467"/>
      <c r="HO10" s="467"/>
      <c r="HP10" s="467"/>
      <c r="HQ10" s="467"/>
      <c r="HR10" s="467"/>
      <c r="HS10" s="467"/>
      <c r="HT10" s="467"/>
      <c r="HU10" s="467"/>
      <c r="HV10" s="467"/>
      <c r="HW10" s="467"/>
      <c r="HX10" s="467"/>
      <c r="HY10" s="467"/>
      <c r="HZ10" s="467"/>
      <c r="IA10" s="467"/>
      <c r="IB10" s="467"/>
      <c r="IC10" s="467"/>
      <c r="ID10" s="467"/>
      <c r="IE10" s="467"/>
      <c r="IF10" s="467"/>
      <c r="IG10" s="467"/>
      <c r="IH10" s="467"/>
      <c r="II10" s="468"/>
    </row>
    <row r="11" spans="1:243" s="137" customFormat="1" ht="30" customHeight="1">
      <c r="A11" s="135">
        <f>IF(H11="","",MAX($A$9:$A10)+1)</f>
        <v>5</v>
      </c>
      <c r="B11" s="319" t="s">
        <v>255</v>
      </c>
      <c r="C11" s="320"/>
      <c r="D11" s="320"/>
      <c r="E11" s="320"/>
      <c r="F11" s="320"/>
      <c r="G11" s="475"/>
      <c r="H11" s="536" t="s">
        <v>288</v>
      </c>
      <c r="I11" s="537"/>
      <c r="J11" s="537"/>
      <c r="K11" s="537"/>
      <c r="L11" s="537"/>
      <c r="M11" s="537"/>
      <c r="N11" s="537"/>
      <c r="O11" s="537"/>
      <c r="P11" s="537"/>
      <c r="Q11" s="537"/>
      <c r="R11" s="538"/>
      <c r="S11" s="319" t="s">
        <v>232</v>
      </c>
      <c r="T11" s="500"/>
      <c r="U11" s="500"/>
      <c r="V11" s="501"/>
      <c r="W11" s="319" t="s">
        <v>362</v>
      </c>
      <c r="X11" s="320"/>
      <c r="Y11" s="320"/>
      <c r="Z11" s="320"/>
      <c r="AA11" s="320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0"/>
      <c r="AU11" s="320"/>
      <c r="AV11" s="320"/>
      <c r="AW11" s="320"/>
      <c r="AX11" s="475"/>
      <c r="AY11" s="476" t="s">
        <v>233</v>
      </c>
      <c r="AZ11" s="477"/>
      <c r="BA11" s="476"/>
      <c r="BB11" s="477"/>
      <c r="BC11" s="319"/>
      <c r="BD11" s="475"/>
      <c r="BE11" s="319"/>
      <c r="BF11" s="475"/>
      <c r="BG11" s="320"/>
      <c r="BH11" s="475"/>
      <c r="BI11" s="320"/>
      <c r="BJ11" s="475"/>
      <c r="BK11" s="320"/>
      <c r="BL11" s="475"/>
      <c r="BM11" s="320"/>
      <c r="BN11" s="475"/>
      <c r="BO11" s="320"/>
      <c r="BP11" s="475"/>
      <c r="BQ11" s="320"/>
      <c r="BR11" s="475"/>
      <c r="BS11" s="320"/>
      <c r="BT11" s="475"/>
      <c r="BU11" s="320"/>
      <c r="BV11" s="475"/>
      <c r="BW11" s="320"/>
      <c r="BX11" s="475"/>
      <c r="BY11" s="320"/>
      <c r="BZ11" s="475"/>
      <c r="CA11" s="320"/>
      <c r="CB11" s="475"/>
      <c r="CC11" s="478" t="s">
        <v>383</v>
      </c>
      <c r="CD11" s="479"/>
      <c r="CE11" s="479"/>
      <c r="CF11" s="479"/>
      <c r="CG11" s="480"/>
      <c r="CH11" s="462" t="s">
        <v>382</v>
      </c>
      <c r="CI11" s="463"/>
      <c r="CJ11" s="463"/>
      <c r="CK11" s="463"/>
      <c r="CL11" s="463"/>
      <c r="CM11" s="463"/>
      <c r="CN11" s="463"/>
      <c r="CO11" s="463"/>
      <c r="CP11" s="463"/>
      <c r="CQ11" s="463"/>
      <c r="CR11" s="463"/>
      <c r="CS11" s="463"/>
      <c r="CT11" s="463"/>
      <c r="CU11" s="463"/>
      <c r="CV11" s="463"/>
      <c r="CW11" s="463"/>
      <c r="CX11" s="463"/>
      <c r="CY11" s="463"/>
      <c r="CZ11" s="463"/>
      <c r="DA11" s="463"/>
      <c r="DB11" s="463"/>
      <c r="DC11" s="463"/>
      <c r="DD11" s="463"/>
      <c r="DE11" s="463"/>
      <c r="DF11" s="463"/>
      <c r="DG11" s="464"/>
      <c r="DH11" s="472" t="s">
        <v>183</v>
      </c>
      <c r="DI11" s="473"/>
      <c r="DJ11" s="473"/>
      <c r="DK11" s="473"/>
      <c r="DL11" s="473"/>
      <c r="DM11" s="474"/>
      <c r="DN11" s="472" t="s">
        <v>387</v>
      </c>
      <c r="DO11" s="473"/>
      <c r="DP11" s="473"/>
      <c r="DQ11" s="473"/>
      <c r="DR11" s="473"/>
      <c r="DS11" s="474"/>
      <c r="DT11" s="462"/>
      <c r="DU11" s="463"/>
      <c r="DV11" s="463"/>
      <c r="DW11" s="463"/>
      <c r="DX11" s="463"/>
      <c r="DY11" s="464"/>
      <c r="DZ11" s="462"/>
      <c r="EA11" s="463"/>
      <c r="EB11" s="463"/>
      <c r="EC11" s="463"/>
      <c r="ED11" s="463"/>
      <c r="EE11" s="464"/>
      <c r="EF11" s="462"/>
      <c r="EG11" s="463"/>
      <c r="EH11" s="463"/>
      <c r="EI11" s="463"/>
      <c r="EJ11" s="463"/>
      <c r="EK11" s="464"/>
      <c r="EL11" s="462"/>
      <c r="EM11" s="463"/>
      <c r="EN11" s="463"/>
      <c r="EO11" s="463"/>
      <c r="EP11" s="463"/>
      <c r="EQ11" s="463"/>
      <c r="ER11" s="463"/>
      <c r="ES11" s="463"/>
      <c r="ET11" s="463"/>
      <c r="EU11" s="463"/>
      <c r="EV11" s="463"/>
      <c r="EW11" s="463"/>
      <c r="EX11" s="463"/>
      <c r="EY11" s="463"/>
      <c r="EZ11" s="463"/>
      <c r="FA11" s="463"/>
      <c r="FB11" s="463"/>
      <c r="FC11" s="463"/>
      <c r="FD11" s="463"/>
      <c r="FE11" s="463"/>
      <c r="FF11" s="463"/>
      <c r="FG11" s="463"/>
      <c r="FH11" s="463"/>
      <c r="FI11" s="463"/>
      <c r="FJ11" s="463"/>
      <c r="FK11" s="463"/>
      <c r="FL11" s="463"/>
      <c r="FM11" s="463"/>
      <c r="FN11" s="463"/>
      <c r="FO11" s="463"/>
      <c r="FP11" s="463"/>
      <c r="FQ11" s="463"/>
      <c r="FR11" s="463"/>
      <c r="FS11" s="463"/>
      <c r="FT11" s="463"/>
      <c r="FU11" s="465"/>
      <c r="FV11" s="136"/>
      <c r="FW11" s="466"/>
      <c r="FX11" s="467"/>
      <c r="FY11" s="467"/>
      <c r="FZ11" s="467"/>
      <c r="GA11" s="467"/>
      <c r="GB11" s="467"/>
      <c r="GC11" s="467"/>
      <c r="GD11" s="467"/>
      <c r="GE11" s="467"/>
      <c r="GF11" s="467"/>
      <c r="GG11" s="467"/>
      <c r="GH11" s="467"/>
      <c r="GI11" s="467"/>
      <c r="GJ11" s="467"/>
      <c r="GK11" s="467"/>
      <c r="GL11" s="467"/>
      <c r="GM11" s="467"/>
      <c r="GN11" s="467"/>
      <c r="GO11" s="467"/>
      <c r="GP11" s="467"/>
      <c r="GQ11" s="467"/>
      <c r="GR11" s="468"/>
      <c r="GS11" s="469" t="s">
        <v>100</v>
      </c>
      <c r="GT11" s="470"/>
      <c r="GU11" s="470"/>
      <c r="GV11" s="470"/>
      <c r="GW11" s="471"/>
      <c r="GX11" s="469" t="s">
        <v>100</v>
      </c>
      <c r="GY11" s="470"/>
      <c r="GZ11" s="470"/>
      <c r="HA11" s="470"/>
      <c r="HB11" s="471"/>
      <c r="HC11" s="466"/>
      <c r="HD11" s="467"/>
      <c r="HE11" s="467"/>
      <c r="HF11" s="467"/>
      <c r="HG11" s="467"/>
      <c r="HH11" s="467"/>
      <c r="HI11" s="467"/>
      <c r="HJ11" s="467"/>
      <c r="HK11" s="467"/>
      <c r="HL11" s="467"/>
      <c r="HM11" s="467"/>
      <c r="HN11" s="467"/>
      <c r="HO11" s="467"/>
      <c r="HP11" s="467"/>
      <c r="HQ11" s="467"/>
      <c r="HR11" s="467"/>
      <c r="HS11" s="467"/>
      <c r="HT11" s="467"/>
      <c r="HU11" s="467"/>
      <c r="HV11" s="467"/>
      <c r="HW11" s="467"/>
      <c r="HX11" s="467"/>
      <c r="HY11" s="467"/>
      <c r="HZ11" s="467"/>
      <c r="IA11" s="467"/>
      <c r="IB11" s="467"/>
      <c r="IC11" s="467"/>
      <c r="ID11" s="467"/>
      <c r="IE11" s="467"/>
      <c r="IF11" s="467"/>
      <c r="IG11" s="467"/>
      <c r="IH11" s="467"/>
      <c r="II11" s="468"/>
    </row>
    <row r="12" spans="1:243" s="137" customFormat="1" ht="30" customHeight="1">
      <c r="A12" s="135">
        <f>IF(H12="","",MAX($A$11:$A11)+1)</f>
        <v>6</v>
      </c>
      <c r="B12" s="319" t="s">
        <v>255</v>
      </c>
      <c r="C12" s="320"/>
      <c r="D12" s="320"/>
      <c r="E12" s="320"/>
      <c r="F12" s="320"/>
      <c r="G12" s="475"/>
      <c r="H12" s="536" t="s">
        <v>289</v>
      </c>
      <c r="I12" s="537"/>
      <c r="J12" s="537"/>
      <c r="K12" s="537"/>
      <c r="L12" s="537"/>
      <c r="M12" s="537"/>
      <c r="N12" s="537"/>
      <c r="O12" s="537"/>
      <c r="P12" s="537"/>
      <c r="Q12" s="537"/>
      <c r="R12" s="538"/>
      <c r="S12" s="319" t="s">
        <v>232</v>
      </c>
      <c r="T12" s="500"/>
      <c r="U12" s="500"/>
      <c r="V12" s="501"/>
      <c r="W12" s="319" t="s">
        <v>363</v>
      </c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475"/>
      <c r="AY12" s="476" t="s">
        <v>233</v>
      </c>
      <c r="AZ12" s="477"/>
      <c r="BA12" s="476"/>
      <c r="BB12" s="477"/>
      <c r="BC12" s="476"/>
      <c r="BD12" s="477"/>
      <c r="BE12" s="476"/>
      <c r="BF12" s="477"/>
      <c r="BG12" s="481"/>
      <c r="BH12" s="477"/>
      <c r="BI12" s="481"/>
      <c r="BJ12" s="477"/>
      <c r="BK12" s="481"/>
      <c r="BL12" s="477"/>
      <c r="BM12" s="481"/>
      <c r="BN12" s="477"/>
      <c r="BO12" s="481"/>
      <c r="BP12" s="477"/>
      <c r="BQ12" s="481"/>
      <c r="BR12" s="477"/>
      <c r="BS12" s="481"/>
      <c r="BT12" s="477"/>
      <c r="BU12" s="481"/>
      <c r="BV12" s="477"/>
      <c r="BW12" s="481"/>
      <c r="BX12" s="477"/>
      <c r="BY12" s="481"/>
      <c r="BZ12" s="477"/>
      <c r="CA12" s="481"/>
      <c r="CB12" s="477"/>
      <c r="CC12" s="478" t="s">
        <v>381</v>
      </c>
      <c r="CD12" s="479"/>
      <c r="CE12" s="479"/>
      <c r="CF12" s="479"/>
      <c r="CG12" s="480"/>
      <c r="CH12" s="462" t="s">
        <v>379</v>
      </c>
      <c r="CI12" s="463"/>
      <c r="CJ12" s="463"/>
      <c r="CK12" s="463"/>
      <c r="CL12" s="463"/>
      <c r="CM12" s="463"/>
      <c r="CN12" s="463"/>
      <c r="CO12" s="463"/>
      <c r="CP12" s="463"/>
      <c r="CQ12" s="463"/>
      <c r="CR12" s="463"/>
      <c r="CS12" s="463"/>
      <c r="CT12" s="463"/>
      <c r="CU12" s="463"/>
      <c r="CV12" s="463"/>
      <c r="CW12" s="463"/>
      <c r="CX12" s="463"/>
      <c r="CY12" s="463"/>
      <c r="CZ12" s="463"/>
      <c r="DA12" s="463"/>
      <c r="DB12" s="463"/>
      <c r="DC12" s="463"/>
      <c r="DD12" s="463"/>
      <c r="DE12" s="463"/>
      <c r="DF12" s="463"/>
      <c r="DG12" s="464"/>
      <c r="DH12" s="472" t="s">
        <v>183</v>
      </c>
      <c r="DI12" s="473"/>
      <c r="DJ12" s="473"/>
      <c r="DK12" s="473"/>
      <c r="DL12" s="473"/>
      <c r="DM12" s="474"/>
      <c r="DN12" s="472" t="s">
        <v>380</v>
      </c>
      <c r="DO12" s="473"/>
      <c r="DP12" s="473"/>
      <c r="DQ12" s="473"/>
      <c r="DR12" s="473"/>
      <c r="DS12" s="474"/>
      <c r="DT12" s="462"/>
      <c r="DU12" s="463"/>
      <c r="DV12" s="463"/>
      <c r="DW12" s="463"/>
      <c r="DX12" s="463"/>
      <c r="DY12" s="464"/>
      <c r="DZ12" s="462"/>
      <c r="EA12" s="463"/>
      <c r="EB12" s="463"/>
      <c r="EC12" s="463"/>
      <c r="ED12" s="463"/>
      <c r="EE12" s="464"/>
      <c r="EF12" s="462"/>
      <c r="EG12" s="463"/>
      <c r="EH12" s="463"/>
      <c r="EI12" s="463"/>
      <c r="EJ12" s="463"/>
      <c r="EK12" s="464"/>
      <c r="EL12" s="462"/>
      <c r="EM12" s="463"/>
      <c r="EN12" s="463"/>
      <c r="EO12" s="463"/>
      <c r="EP12" s="463"/>
      <c r="EQ12" s="463"/>
      <c r="ER12" s="463"/>
      <c r="ES12" s="463"/>
      <c r="ET12" s="463"/>
      <c r="EU12" s="463"/>
      <c r="EV12" s="463"/>
      <c r="EW12" s="463"/>
      <c r="EX12" s="463"/>
      <c r="EY12" s="463"/>
      <c r="EZ12" s="463"/>
      <c r="FA12" s="463"/>
      <c r="FB12" s="463"/>
      <c r="FC12" s="463"/>
      <c r="FD12" s="463"/>
      <c r="FE12" s="463"/>
      <c r="FF12" s="463"/>
      <c r="FG12" s="463"/>
      <c r="FH12" s="463"/>
      <c r="FI12" s="463"/>
      <c r="FJ12" s="463"/>
      <c r="FK12" s="463"/>
      <c r="FL12" s="463"/>
      <c r="FM12" s="463"/>
      <c r="FN12" s="463"/>
      <c r="FO12" s="463"/>
      <c r="FP12" s="463"/>
      <c r="FQ12" s="463"/>
      <c r="FR12" s="463"/>
      <c r="FS12" s="463"/>
      <c r="FT12" s="463"/>
      <c r="FU12" s="465"/>
      <c r="FV12" s="136"/>
      <c r="FW12" s="466"/>
      <c r="FX12" s="467"/>
      <c r="FY12" s="467"/>
      <c r="FZ12" s="467"/>
      <c r="GA12" s="467"/>
      <c r="GB12" s="467"/>
      <c r="GC12" s="467"/>
      <c r="GD12" s="467"/>
      <c r="GE12" s="467"/>
      <c r="GF12" s="467"/>
      <c r="GG12" s="467"/>
      <c r="GH12" s="467"/>
      <c r="GI12" s="467"/>
      <c r="GJ12" s="467"/>
      <c r="GK12" s="467"/>
      <c r="GL12" s="467"/>
      <c r="GM12" s="467"/>
      <c r="GN12" s="467"/>
      <c r="GO12" s="467"/>
      <c r="GP12" s="467"/>
      <c r="GQ12" s="467"/>
      <c r="GR12" s="468"/>
      <c r="GS12" s="469" t="s">
        <v>100</v>
      </c>
      <c r="GT12" s="470"/>
      <c r="GU12" s="470"/>
      <c r="GV12" s="470"/>
      <c r="GW12" s="471"/>
      <c r="GX12" s="469" t="s">
        <v>100</v>
      </c>
      <c r="GY12" s="470"/>
      <c r="GZ12" s="470"/>
      <c r="HA12" s="470"/>
      <c r="HB12" s="471"/>
      <c r="HC12" s="466"/>
      <c r="HD12" s="467"/>
      <c r="HE12" s="467"/>
      <c r="HF12" s="467"/>
      <c r="HG12" s="467"/>
      <c r="HH12" s="467"/>
      <c r="HI12" s="467"/>
      <c r="HJ12" s="467"/>
      <c r="HK12" s="467"/>
      <c r="HL12" s="467"/>
      <c r="HM12" s="467"/>
      <c r="HN12" s="467"/>
      <c r="HO12" s="467"/>
      <c r="HP12" s="467"/>
      <c r="HQ12" s="467"/>
      <c r="HR12" s="467"/>
      <c r="HS12" s="467"/>
      <c r="HT12" s="467"/>
      <c r="HU12" s="467"/>
      <c r="HV12" s="467"/>
      <c r="HW12" s="467"/>
      <c r="HX12" s="467"/>
      <c r="HY12" s="467"/>
      <c r="HZ12" s="467"/>
      <c r="IA12" s="467"/>
      <c r="IB12" s="467"/>
      <c r="IC12" s="467"/>
      <c r="ID12" s="467"/>
      <c r="IE12" s="467"/>
      <c r="IF12" s="467"/>
      <c r="IG12" s="467"/>
      <c r="IH12" s="467"/>
      <c r="II12" s="468"/>
    </row>
    <row r="13" spans="1:243" s="137" customFormat="1" ht="30" customHeight="1">
      <c r="A13" s="135">
        <f>IF(H13="","",MAX($A$12:$A12)+1)</f>
        <v>7</v>
      </c>
      <c r="B13" s="319" t="s">
        <v>255</v>
      </c>
      <c r="C13" s="320"/>
      <c r="D13" s="320"/>
      <c r="E13" s="320"/>
      <c r="F13" s="320"/>
      <c r="G13" s="475"/>
      <c r="H13" s="536" t="s">
        <v>290</v>
      </c>
      <c r="I13" s="537"/>
      <c r="J13" s="537"/>
      <c r="K13" s="537"/>
      <c r="L13" s="537"/>
      <c r="M13" s="537"/>
      <c r="N13" s="537"/>
      <c r="O13" s="537"/>
      <c r="P13" s="537"/>
      <c r="Q13" s="537"/>
      <c r="R13" s="538"/>
      <c r="S13" s="319" t="s">
        <v>232</v>
      </c>
      <c r="T13" s="500"/>
      <c r="U13" s="500"/>
      <c r="V13" s="501"/>
      <c r="W13" s="319" t="s">
        <v>364</v>
      </c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475"/>
      <c r="AY13" s="476" t="s">
        <v>233</v>
      </c>
      <c r="AZ13" s="477"/>
      <c r="BA13" s="476"/>
      <c r="BB13" s="477"/>
      <c r="BC13" s="476"/>
      <c r="BD13" s="477"/>
      <c r="BE13" s="476"/>
      <c r="BF13" s="477"/>
      <c r="BG13" s="481"/>
      <c r="BH13" s="477"/>
      <c r="BI13" s="481"/>
      <c r="BJ13" s="477"/>
      <c r="BK13" s="481"/>
      <c r="BL13" s="477"/>
      <c r="BM13" s="481"/>
      <c r="BN13" s="477"/>
      <c r="BO13" s="481"/>
      <c r="BP13" s="477"/>
      <c r="BQ13" s="481"/>
      <c r="BR13" s="477"/>
      <c r="BS13" s="481"/>
      <c r="BT13" s="477"/>
      <c r="BU13" s="481"/>
      <c r="BV13" s="477"/>
      <c r="BW13" s="481"/>
      <c r="BX13" s="477"/>
      <c r="BY13" s="481"/>
      <c r="BZ13" s="477"/>
      <c r="CA13" s="481"/>
      <c r="CB13" s="477"/>
      <c r="CC13" s="478" t="s">
        <v>584</v>
      </c>
      <c r="CD13" s="479"/>
      <c r="CE13" s="479"/>
      <c r="CF13" s="479"/>
      <c r="CG13" s="480"/>
      <c r="CH13" s="462" t="s">
        <v>384</v>
      </c>
      <c r="CI13" s="463"/>
      <c r="CJ13" s="463"/>
      <c r="CK13" s="463"/>
      <c r="CL13" s="463"/>
      <c r="CM13" s="463"/>
      <c r="CN13" s="463"/>
      <c r="CO13" s="463"/>
      <c r="CP13" s="463"/>
      <c r="CQ13" s="463"/>
      <c r="CR13" s="463"/>
      <c r="CS13" s="463"/>
      <c r="CT13" s="463"/>
      <c r="CU13" s="463"/>
      <c r="CV13" s="463"/>
      <c r="CW13" s="463"/>
      <c r="CX13" s="463"/>
      <c r="CY13" s="463"/>
      <c r="CZ13" s="463"/>
      <c r="DA13" s="463"/>
      <c r="DB13" s="463"/>
      <c r="DC13" s="463"/>
      <c r="DD13" s="463"/>
      <c r="DE13" s="463"/>
      <c r="DF13" s="463"/>
      <c r="DG13" s="464"/>
      <c r="DH13" s="472" t="s">
        <v>183</v>
      </c>
      <c r="DI13" s="473"/>
      <c r="DJ13" s="473"/>
      <c r="DK13" s="473"/>
      <c r="DL13" s="473"/>
      <c r="DM13" s="474"/>
      <c r="DN13" s="472"/>
      <c r="DO13" s="473"/>
      <c r="DP13" s="473"/>
      <c r="DQ13" s="473"/>
      <c r="DR13" s="473"/>
      <c r="DS13" s="474"/>
      <c r="DT13" s="462"/>
      <c r="DU13" s="463"/>
      <c r="DV13" s="463"/>
      <c r="DW13" s="463"/>
      <c r="DX13" s="463"/>
      <c r="DY13" s="464"/>
      <c r="DZ13" s="462"/>
      <c r="EA13" s="463"/>
      <c r="EB13" s="463"/>
      <c r="EC13" s="463"/>
      <c r="ED13" s="463"/>
      <c r="EE13" s="464"/>
      <c r="EF13" s="462"/>
      <c r="EG13" s="463"/>
      <c r="EH13" s="463"/>
      <c r="EI13" s="463"/>
      <c r="EJ13" s="463"/>
      <c r="EK13" s="464"/>
      <c r="EL13" s="462"/>
      <c r="EM13" s="463"/>
      <c r="EN13" s="463"/>
      <c r="EO13" s="463"/>
      <c r="EP13" s="463"/>
      <c r="EQ13" s="463"/>
      <c r="ER13" s="463"/>
      <c r="ES13" s="463"/>
      <c r="ET13" s="463"/>
      <c r="EU13" s="463"/>
      <c r="EV13" s="463"/>
      <c r="EW13" s="463"/>
      <c r="EX13" s="463"/>
      <c r="EY13" s="463"/>
      <c r="EZ13" s="463"/>
      <c r="FA13" s="463"/>
      <c r="FB13" s="463"/>
      <c r="FC13" s="463"/>
      <c r="FD13" s="463"/>
      <c r="FE13" s="463"/>
      <c r="FF13" s="463"/>
      <c r="FG13" s="463"/>
      <c r="FH13" s="463"/>
      <c r="FI13" s="463"/>
      <c r="FJ13" s="463"/>
      <c r="FK13" s="463"/>
      <c r="FL13" s="463"/>
      <c r="FM13" s="463"/>
      <c r="FN13" s="463"/>
      <c r="FO13" s="463"/>
      <c r="FP13" s="463"/>
      <c r="FQ13" s="463"/>
      <c r="FR13" s="463"/>
      <c r="FS13" s="463"/>
      <c r="FT13" s="463"/>
      <c r="FU13" s="465"/>
      <c r="FV13" s="136"/>
      <c r="FW13" s="466"/>
      <c r="FX13" s="467"/>
      <c r="FY13" s="467"/>
      <c r="FZ13" s="467"/>
      <c r="GA13" s="467"/>
      <c r="GB13" s="467"/>
      <c r="GC13" s="467"/>
      <c r="GD13" s="467"/>
      <c r="GE13" s="467"/>
      <c r="GF13" s="467"/>
      <c r="GG13" s="467"/>
      <c r="GH13" s="467"/>
      <c r="GI13" s="467"/>
      <c r="GJ13" s="467"/>
      <c r="GK13" s="467"/>
      <c r="GL13" s="467"/>
      <c r="GM13" s="467"/>
      <c r="GN13" s="467"/>
      <c r="GO13" s="467"/>
      <c r="GP13" s="467"/>
      <c r="GQ13" s="467"/>
      <c r="GR13" s="468"/>
      <c r="GS13" s="469" t="s">
        <v>100</v>
      </c>
      <c r="GT13" s="470"/>
      <c r="GU13" s="470"/>
      <c r="GV13" s="470"/>
      <c r="GW13" s="471"/>
      <c r="GX13" s="469" t="s">
        <v>100</v>
      </c>
      <c r="GY13" s="470"/>
      <c r="GZ13" s="470"/>
      <c r="HA13" s="470"/>
      <c r="HB13" s="471"/>
      <c r="HC13" s="466"/>
      <c r="HD13" s="467"/>
      <c r="HE13" s="467"/>
      <c r="HF13" s="467"/>
      <c r="HG13" s="467"/>
      <c r="HH13" s="467"/>
      <c r="HI13" s="467"/>
      <c r="HJ13" s="467"/>
      <c r="HK13" s="467"/>
      <c r="HL13" s="467"/>
      <c r="HM13" s="467"/>
      <c r="HN13" s="467"/>
      <c r="HO13" s="467"/>
      <c r="HP13" s="467"/>
      <c r="HQ13" s="467"/>
      <c r="HR13" s="467"/>
      <c r="HS13" s="467"/>
      <c r="HT13" s="467"/>
      <c r="HU13" s="467"/>
      <c r="HV13" s="467"/>
      <c r="HW13" s="467"/>
      <c r="HX13" s="467"/>
      <c r="HY13" s="467"/>
      <c r="HZ13" s="467"/>
      <c r="IA13" s="467"/>
      <c r="IB13" s="467"/>
      <c r="IC13" s="467"/>
      <c r="ID13" s="467"/>
      <c r="IE13" s="467"/>
      <c r="IF13" s="467"/>
      <c r="IG13" s="467"/>
      <c r="IH13" s="467"/>
      <c r="II13" s="468"/>
    </row>
    <row r="14" spans="1:243" s="137" customFormat="1" ht="30" customHeight="1">
      <c r="A14" s="135">
        <f>IF(H14="","",MAX($A$12:$A13)+1)</f>
        <v>8</v>
      </c>
      <c r="B14" s="319" t="s">
        <v>256</v>
      </c>
      <c r="C14" s="320"/>
      <c r="D14" s="320"/>
      <c r="E14" s="320"/>
      <c r="F14" s="320"/>
      <c r="G14" s="475"/>
      <c r="H14" s="536" t="s">
        <v>291</v>
      </c>
      <c r="I14" s="537"/>
      <c r="J14" s="537"/>
      <c r="K14" s="537"/>
      <c r="L14" s="537"/>
      <c r="M14" s="537"/>
      <c r="N14" s="537"/>
      <c r="O14" s="537"/>
      <c r="P14" s="537"/>
      <c r="Q14" s="537"/>
      <c r="R14" s="538"/>
      <c r="S14" s="319" t="s">
        <v>232</v>
      </c>
      <c r="T14" s="500"/>
      <c r="U14" s="500"/>
      <c r="V14" s="501"/>
      <c r="W14" s="319" t="s">
        <v>261</v>
      </c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475"/>
      <c r="AY14" s="476" t="s">
        <v>233</v>
      </c>
      <c r="AZ14" s="477"/>
      <c r="BA14" s="476"/>
      <c r="BB14" s="477"/>
      <c r="BC14" s="319"/>
      <c r="BD14" s="475"/>
      <c r="BE14" s="319"/>
      <c r="BF14" s="475"/>
      <c r="BG14" s="320"/>
      <c r="BH14" s="475"/>
      <c r="BI14" s="320"/>
      <c r="BJ14" s="475"/>
      <c r="BK14" s="320"/>
      <c r="BL14" s="475"/>
      <c r="BM14" s="320"/>
      <c r="BN14" s="475"/>
      <c r="BO14" s="320"/>
      <c r="BP14" s="475"/>
      <c r="BQ14" s="320"/>
      <c r="BR14" s="475"/>
      <c r="BS14" s="320"/>
      <c r="BT14" s="475"/>
      <c r="BU14" s="320"/>
      <c r="BV14" s="475"/>
      <c r="BW14" s="320"/>
      <c r="BX14" s="475"/>
      <c r="BY14" s="320"/>
      <c r="BZ14" s="475"/>
      <c r="CA14" s="320"/>
      <c r="CB14" s="475"/>
      <c r="CC14" s="478" t="s">
        <v>374</v>
      </c>
      <c r="CD14" s="479"/>
      <c r="CE14" s="479"/>
      <c r="CF14" s="479"/>
      <c r="CG14" s="480"/>
      <c r="CH14" s="462" t="s">
        <v>260</v>
      </c>
      <c r="CI14" s="463"/>
      <c r="CJ14" s="463"/>
      <c r="CK14" s="463"/>
      <c r="CL14" s="463"/>
      <c r="CM14" s="463"/>
      <c r="CN14" s="463"/>
      <c r="CO14" s="463"/>
      <c r="CP14" s="463"/>
      <c r="CQ14" s="463"/>
      <c r="CR14" s="463"/>
      <c r="CS14" s="463"/>
      <c r="CT14" s="463"/>
      <c r="CU14" s="463"/>
      <c r="CV14" s="463"/>
      <c r="CW14" s="463"/>
      <c r="CX14" s="463"/>
      <c r="CY14" s="463"/>
      <c r="CZ14" s="463"/>
      <c r="DA14" s="463"/>
      <c r="DB14" s="463"/>
      <c r="DC14" s="463"/>
      <c r="DD14" s="463"/>
      <c r="DE14" s="463"/>
      <c r="DF14" s="463"/>
      <c r="DG14" s="464"/>
      <c r="DH14" s="472" t="s">
        <v>184</v>
      </c>
      <c r="DI14" s="473"/>
      <c r="DJ14" s="473"/>
      <c r="DK14" s="473"/>
      <c r="DL14" s="473"/>
      <c r="DM14" s="474"/>
      <c r="DN14" s="472"/>
      <c r="DO14" s="473"/>
      <c r="DP14" s="473"/>
      <c r="DQ14" s="473"/>
      <c r="DR14" s="473"/>
      <c r="DS14" s="474"/>
      <c r="DT14" s="462"/>
      <c r="DU14" s="463"/>
      <c r="DV14" s="463"/>
      <c r="DW14" s="463"/>
      <c r="DX14" s="463"/>
      <c r="DY14" s="464"/>
      <c r="DZ14" s="462"/>
      <c r="EA14" s="463"/>
      <c r="EB14" s="463"/>
      <c r="EC14" s="463"/>
      <c r="ED14" s="463"/>
      <c r="EE14" s="464"/>
      <c r="EF14" s="462"/>
      <c r="EG14" s="463"/>
      <c r="EH14" s="463"/>
      <c r="EI14" s="463"/>
      <c r="EJ14" s="463"/>
      <c r="EK14" s="464"/>
      <c r="EL14" s="462"/>
      <c r="EM14" s="463"/>
      <c r="EN14" s="463"/>
      <c r="EO14" s="463"/>
      <c r="EP14" s="463"/>
      <c r="EQ14" s="463"/>
      <c r="ER14" s="463"/>
      <c r="ES14" s="463"/>
      <c r="ET14" s="463"/>
      <c r="EU14" s="463"/>
      <c r="EV14" s="463"/>
      <c r="EW14" s="463"/>
      <c r="EX14" s="463"/>
      <c r="EY14" s="463"/>
      <c r="EZ14" s="463"/>
      <c r="FA14" s="463"/>
      <c r="FB14" s="463"/>
      <c r="FC14" s="463"/>
      <c r="FD14" s="463"/>
      <c r="FE14" s="463"/>
      <c r="FF14" s="463"/>
      <c r="FG14" s="463"/>
      <c r="FH14" s="463"/>
      <c r="FI14" s="463"/>
      <c r="FJ14" s="463"/>
      <c r="FK14" s="463"/>
      <c r="FL14" s="463"/>
      <c r="FM14" s="463"/>
      <c r="FN14" s="463"/>
      <c r="FO14" s="463"/>
      <c r="FP14" s="463"/>
      <c r="FQ14" s="463"/>
      <c r="FR14" s="463"/>
      <c r="FS14" s="463"/>
      <c r="FT14" s="463"/>
      <c r="FU14" s="465"/>
      <c r="FV14" s="136"/>
      <c r="FW14" s="466"/>
      <c r="FX14" s="467"/>
      <c r="FY14" s="467"/>
      <c r="FZ14" s="467"/>
      <c r="GA14" s="467"/>
      <c r="GB14" s="467"/>
      <c r="GC14" s="467"/>
      <c r="GD14" s="467"/>
      <c r="GE14" s="467"/>
      <c r="GF14" s="467"/>
      <c r="GG14" s="467"/>
      <c r="GH14" s="467"/>
      <c r="GI14" s="467"/>
      <c r="GJ14" s="467"/>
      <c r="GK14" s="467"/>
      <c r="GL14" s="467"/>
      <c r="GM14" s="467"/>
      <c r="GN14" s="467"/>
      <c r="GO14" s="467"/>
      <c r="GP14" s="467"/>
      <c r="GQ14" s="467"/>
      <c r="GR14" s="468"/>
      <c r="GS14" s="469" t="s">
        <v>100</v>
      </c>
      <c r="GT14" s="470"/>
      <c r="GU14" s="470"/>
      <c r="GV14" s="470"/>
      <c r="GW14" s="471"/>
      <c r="GX14" s="469" t="s">
        <v>100</v>
      </c>
      <c r="GY14" s="470"/>
      <c r="GZ14" s="470"/>
      <c r="HA14" s="470"/>
      <c r="HB14" s="471"/>
      <c r="HC14" s="466"/>
      <c r="HD14" s="467"/>
      <c r="HE14" s="467"/>
      <c r="HF14" s="467"/>
      <c r="HG14" s="467"/>
      <c r="HH14" s="467"/>
      <c r="HI14" s="467"/>
      <c r="HJ14" s="467"/>
      <c r="HK14" s="467"/>
      <c r="HL14" s="467"/>
      <c r="HM14" s="467"/>
      <c r="HN14" s="467"/>
      <c r="HO14" s="467"/>
      <c r="HP14" s="467"/>
      <c r="HQ14" s="467"/>
      <c r="HR14" s="467"/>
      <c r="HS14" s="467"/>
      <c r="HT14" s="467"/>
      <c r="HU14" s="467"/>
      <c r="HV14" s="467"/>
      <c r="HW14" s="467"/>
      <c r="HX14" s="467"/>
      <c r="HY14" s="467"/>
      <c r="HZ14" s="467"/>
      <c r="IA14" s="467"/>
      <c r="IB14" s="467"/>
      <c r="IC14" s="467"/>
      <c r="ID14" s="467"/>
      <c r="IE14" s="467"/>
      <c r="IF14" s="467"/>
      <c r="IG14" s="467"/>
      <c r="IH14" s="467"/>
      <c r="II14" s="468"/>
    </row>
    <row r="15" spans="1:243" s="137" customFormat="1" ht="30" customHeight="1">
      <c r="A15" s="135">
        <f>IF(H15="","",MAX($A$14:$A14)+1)</f>
        <v>9</v>
      </c>
      <c r="B15" s="319" t="s">
        <v>256</v>
      </c>
      <c r="C15" s="320"/>
      <c r="D15" s="320"/>
      <c r="E15" s="320"/>
      <c r="F15" s="320"/>
      <c r="G15" s="475"/>
      <c r="H15" s="536" t="s">
        <v>292</v>
      </c>
      <c r="I15" s="537"/>
      <c r="J15" s="537"/>
      <c r="K15" s="537"/>
      <c r="L15" s="537"/>
      <c r="M15" s="537"/>
      <c r="N15" s="537"/>
      <c r="O15" s="537"/>
      <c r="P15" s="537"/>
      <c r="Q15" s="537"/>
      <c r="R15" s="538"/>
      <c r="S15" s="319" t="s">
        <v>232</v>
      </c>
      <c r="T15" s="500"/>
      <c r="U15" s="500"/>
      <c r="V15" s="501"/>
      <c r="W15" s="319" t="s">
        <v>365</v>
      </c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20"/>
      <c r="AT15" s="320"/>
      <c r="AU15" s="320"/>
      <c r="AV15" s="320"/>
      <c r="AW15" s="320"/>
      <c r="AX15" s="475"/>
      <c r="AY15" s="476" t="s">
        <v>233</v>
      </c>
      <c r="AZ15" s="477"/>
      <c r="BA15" s="476"/>
      <c r="BB15" s="477"/>
      <c r="BC15" s="319"/>
      <c r="BD15" s="475"/>
      <c r="BE15" s="319"/>
      <c r="BF15" s="475"/>
      <c r="BG15" s="320"/>
      <c r="BH15" s="475"/>
      <c r="BI15" s="320"/>
      <c r="BJ15" s="475"/>
      <c r="BK15" s="320"/>
      <c r="BL15" s="475"/>
      <c r="BM15" s="320"/>
      <c r="BN15" s="475"/>
      <c r="BO15" s="320"/>
      <c r="BP15" s="475"/>
      <c r="BQ15" s="320"/>
      <c r="BR15" s="475"/>
      <c r="BS15" s="320"/>
      <c r="BT15" s="475"/>
      <c r="BU15" s="320"/>
      <c r="BV15" s="475"/>
      <c r="BW15" s="320"/>
      <c r="BX15" s="475"/>
      <c r="BY15" s="320"/>
      <c r="BZ15" s="475"/>
      <c r="CA15" s="320"/>
      <c r="CB15" s="475"/>
      <c r="CC15" s="478" t="s">
        <v>378</v>
      </c>
      <c r="CD15" s="479"/>
      <c r="CE15" s="479"/>
      <c r="CF15" s="479"/>
      <c r="CG15" s="480"/>
      <c r="CH15" s="462" t="s">
        <v>376</v>
      </c>
      <c r="CI15" s="463"/>
      <c r="CJ15" s="463"/>
      <c r="CK15" s="463"/>
      <c r="CL15" s="463"/>
      <c r="CM15" s="463"/>
      <c r="CN15" s="463"/>
      <c r="CO15" s="463"/>
      <c r="CP15" s="463"/>
      <c r="CQ15" s="463"/>
      <c r="CR15" s="463"/>
      <c r="CS15" s="463"/>
      <c r="CT15" s="463"/>
      <c r="CU15" s="463"/>
      <c r="CV15" s="463"/>
      <c r="CW15" s="463"/>
      <c r="CX15" s="463"/>
      <c r="CY15" s="463"/>
      <c r="CZ15" s="463"/>
      <c r="DA15" s="463"/>
      <c r="DB15" s="463"/>
      <c r="DC15" s="463"/>
      <c r="DD15" s="463"/>
      <c r="DE15" s="463"/>
      <c r="DF15" s="463"/>
      <c r="DG15" s="464"/>
      <c r="DH15" s="472" t="s">
        <v>184</v>
      </c>
      <c r="DI15" s="473"/>
      <c r="DJ15" s="473"/>
      <c r="DK15" s="473"/>
      <c r="DL15" s="473"/>
      <c r="DM15" s="474"/>
      <c r="DN15" s="472" t="s">
        <v>377</v>
      </c>
      <c r="DO15" s="473"/>
      <c r="DP15" s="473"/>
      <c r="DQ15" s="473"/>
      <c r="DR15" s="473"/>
      <c r="DS15" s="474"/>
      <c r="DT15" s="462"/>
      <c r="DU15" s="463"/>
      <c r="DV15" s="463"/>
      <c r="DW15" s="463"/>
      <c r="DX15" s="463"/>
      <c r="DY15" s="464"/>
      <c r="DZ15" s="462"/>
      <c r="EA15" s="463"/>
      <c r="EB15" s="463"/>
      <c r="EC15" s="463"/>
      <c r="ED15" s="463"/>
      <c r="EE15" s="464"/>
      <c r="EF15" s="462"/>
      <c r="EG15" s="463"/>
      <c r="EH15" s="463"/>
      <c r="EI15" s="463"/>
      <c r="EJ15" s="463"/>
      <c r="EK15" s="464"/>
      <c r="EL15" s="462"/>
      <c r="EM15" s="463"/>
      <c r="EN15" s="463"/>
      <c r="EO15" s="463"/>
      <c r="EP15" s="463"/>
      <c r="EQ15" s="463"/>
      <c r="ER15" s="463"/>
      <c r="ES15" s="463"/>
      <c r="ET15" s="463"/>
      <c r="EU15" s="463"/>
      <c r="EV15" s="463"/>
      <c r="EW15" s="463"/>
      <c r="EX15" s="463"/>
      <c r="EY15" s="463"/>
      <c r="EZ15" s="463"/>
      <c r="FA15" s="463"/>
      <c r="FB15" s="463"/>
      <c r="FC15" s="463"/>
      <c r="FD15" s="463"/>
      <c r="FE15" s="463"/>
      <c r="FF15" s="463"/>
      <c r="FG15" s="463"/>
      <c r="FH15" s="463"/>
      <c r="FI15" s="463"/>
      <c r="FJ15" s="463"/>
      <c r="FK15" s="463"/>
      <c r="FL15" s="463"/>
      <c r="FM15" s="463"/>
      <c r="FN15" s="463"/>
      <c r="FO15" s="463"/>
      <c r="FP15" s="463"/>
      <c r="FQ15" s="463"/>
      <c r="FR15" s="463"/>
      <c r="FS15" s="463"/>
      <c r="FT15" s="463"/>
      <c r="FU15" s="465"/>
      <c r="FV15" s="136"/>
      <c r="FW15" s="466"/>
      <c r="FX15" s="467"/>
      <c r="FY15" s="467"/>
      <c r="FZ15" s="467"/>
      <c r="GA15" s="467"/>
      <c r="GB15" s="467"/>
      <c r="GC15" s="467"/>
      <c r="GD15" s="467"/>
      <c r="GE15" s="467"/>
      <c r="GF15" s="467"/>
      <c r="GG15" s="467"/>
      <c r="GH15" s="467"/>
      <c r="GI15" s="467"/>
      <c r="GJ15" s="467"/>
      <c r="GK15" s="467"/>
      <c r="GL15" s="467"/>
      <c r="GM15" s="467"/>
      <c r="GN15" s="467"/>
      <c r="GO15" s="467"/>
      <c r="GP15" s="467"/>
      <c r="GQ15" s="467"/>
      <c r="GR15" s="468"/>
      <c r="GS15" s="469" t="s">
        <v>100</v>
      </c>
      <c r="GT15" s="470"/>
      <c r="GU15" s="470"/>
      <c r="GV15" s="470"/>
      <c r="GW15" s="471"/>
      <c r="GX15" s="469" t="s">
        <v>100</v>
      </c>
      <c r="GY15" s="470"/>
      <c r="GZ15" s="470"/>
      <c r="HA15" s="470"/>
      <c r="HB15" s="471"/>
      <c r="HC15" s="466"/>
      <c r="HD15" s="467"/>
      <c r="HE15" s="467"/>
      <c r="HF15" s="467"/>
      <c r="HG15" s="467"/>
      <c r="HH15" s="467"/>
      <c r="HI15" s="467"/>
      <c r="HJ15" s="467"/>
      <c r="HK15" s="467"/>
      <c r="HL15" s="467"/>
      <c r="HM15" s="467"/>
      <c r="HN15" s="467"/>
      <c r="HO15" s="467"/>
      <c r="HP15" s="467"/>
      <c r="HQ15" s="467"/>
      <c r="HR15" s="467"/>
      <c r="HS15" s="467"/>
      <c r="HT15" s="467"/>
      <c r="HU15" s="467"/>
      <c r="HV15" s="467"/>
      <c r="HW15" s="467"/>
      <c r="HX15" s="467"/>
      <c r="HY15" s="467"/>
      <c r="HZ15" s="467"/>
      <c r="IA15" s="467"/>
      <c r="IB15" s="467"/>
      <c r="IC15" s="467"/>
      <c r="ID15" s="467"/>
      <c r="IE15" s="467"/>
      <c r="IF15" s="467"/>
      <c r="IG15" s="467"/>
      <c r="IH15" s="467"/>
      <c r="II15" s="468"/>
    </row>
    <row r="16" spans="1:243" s="137" customFormat="1" ht="90" customHeight="1">
      <c r="A16" s="135">
        <f>IF(H16="","",MAX($A$15:$A15)+1)</f>
        <v>10</v>
      </c>
      <c r="B16" s="319" t="s">
        <v>256</v>
      </c>
      <c r="C16" s="320"/>
      <c r="D16" s="320"/>
      <c r="E16" s="320"/>
      <c r="F16" s="320"/>
      <c r="G16" s="475"/>
      <c r="H16" s="536" t="s">
        <v>366</v>
      </c>
      <c r="I16" s="537"/>
      <c r="J16" s="537"/>
      <c r="K16" s="537"/>
      <c r="L16" s="537"/>
      <c r="M16" s="537"/>
      <c r="N16" s="537"/>
      <c r="O16" s="537"/>
      <c r="P16" s="537"/>
      <c r="Q16" s="537"/>
      <c r="R16" s="538"/>
      <c r="S16" s="319" t="s">
        <v>232</v>
      </c>
      <c r="T16" s="500"/>
      <c r="U16" s="500"/>
      <c r="V16" s="501"/>
      <c r="W16" s="319" t="s">
        <v>579</v>
      </c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475"/>
      <c r="AY16" s="476" t="s">
        <v>233</v>
      </c>
      <c r="AZ16" s="477"/>
      <c r="BA16" s="476"/>
      <c r="BB16" s="477"/>
      <c r="BC16" s="319"/>
      <c r="BD16" s="475"/>
      <c r="BE16" s="319"/>
      <c r="BF16" s="475"/>
      <c r="BG16" s="320"/>
      <c r="BH16" s="475"/>
      <c r="BI16" s="320"/>
      <c r="BJ16" s="475"/>
      <c r="BK16" s="320"/>
      <c r="BL16" s="475"/>
      <c r="BM16" s="320"/>
      <c r="BN16" s="475"/>
      <c r="BO16" s="320"/>
      <c r="BP16" s="475"/>
      <c r="BQ16" s="320"/>
      <c r="BR16" s="475"/>
      <c r="BS16" s="320"/>
      <c r="BT16" s="475"/>
      <c r="BU16" s="320"/>
      <c r="BV16" s="475"/>
      <c r="BW16" s="320"/>
      <c r="BX16" s="475"/>
      <c r="BY16" s="320"/>
      <c r="BZ16" s="475"/>
      <c r="CA16" s="320"/>
      <c r="CB16" s="475"/>
      <c r="CC16" s="478" t="s">
        <v>375</v>
      </c>
      <c r="CD16" s="479"/>
      <c r="CE16" s="479"/>
      <c r="CF16" s="479"/>
      <c r="CG16" s="480"/>
      <c r="CH16" s="462" t="s">
        <v>235</v>
      </c>
      <c r="CI16" s="463"/>
      <c r="CJ16" s="463"/>
      <c r="CK16" s="463"/>
      <c r="CL16" s="463"/>
      <c r="CM16" s="463"/>
      <c r="CN16" s="463"/>
      <c r="CO16" s="463"/>
      <c r="CP16" s="463"/>
      <c r="CQ16" s="463"/>
      <c r="CR16" s="463"/>
      <c r="CS16" s="463"/>
      <c r="CT16" s="463"/>
      <c r="CU16" s="463"/>
      <c r="CV16" s="463"/>
      <c r="CW16" s="463"/>
      <c r="CX16" s="463"/>
      <c r="CY16" s="463"/>
      <c r="CZ16" s="463"/>
      <c r="DA16" s="463"/>
      <c r="DB16" s="463"/>
      <c r="DC16" s="463"/>
      <c r="DD16" s="463"/>
      <c r="DE16" s="463"/>
      <c r="DF16" s="463"/>
      <c r="DG16" s="464"/>
      <c r="DH16" s="472" t="s">
        <v>184</v>
      </c>
      <c r="DI16" s="473"/>
      <c r="DJ16" s="473"/>
      <c r="DK16" s="473"/>
      <c r="DL16" s="473"/>
      <c r="DM16" s="474"/>
      <c r="DN16" s="472" t="s">
        <v>371</v>
      </c>
      <c r="DO16" s="473"/>
      <c r="DP16" s="473"/>
      <c r="DQ16" s="473"/>
      <c r="DR16" s="473"/>
      <c r="DS16" s="474"/>
      <c r="DT16" s="462"/>
      <c r="DU16" s="463"/>
      <c r="DV16" s="463"/>
      <c r="DW16" s="463"/>
      <c r="DX16" s="463"/>
      <c r="DY16" s="464"/>
      <c r="DZ16" s="462"/>
      <c r="EA16" s="463"/>
      <c r="EB16" s="463"/>
      <c r="EC16" s="463"/>
      <c r="ED16" s="463"/>
      <c r="EE16" s="464"/>
      <c r="EF16" s="462"/>
      <c r="EG16" s="463"/>
      <c r="EH16" s="463"/>
      <c r="EI16" s="463"/>
      <c r="EJ16" s="463"/>
      <c r="EK16" s="464"/>
      <c r="EL16" s="462"/>
      <c r="EM16" s="463"/>
      <c r="EN16" s="463"/>
      <c r="EO16" s="463"/>
      <c r="EP16" s="463"/>
      <c r="EQ16" s="463"/>
      <c r="ER16" s="463"/>
      <c r="ES16" s="463"/>
      <c r="ET16" s="463"/>
      <c r="EU16" s="463"/>
      <c r="EV16" s="463"/>
      <c r="EW16" s="463"/>
      <c r="EX16" s="463"/>
      <c r="EY16" s="463"/>
      <c r="EZ16" s="463"/>
      <c r="FA16" s="463"/>
      <c r="FB16" s="463"/>
      <c r="FC16" s="463"/>
      <c r="FD16" s="463"/>
      <c r="FE16" s="463"/>
      <c r="FF16" s="463"/>
      <c r="FG16" s="463"/>
      <c r="FH16" s="463"/>
      <c r="FI16" s="463"/>
      <c r="FJ16" s="463"/>
      <c r="FK16" s="463"/>
      <c r="FL16" s="463"/>
      <c r="FM16" s="463"/>
      <c r="FN16" s="463"/>
      <c r="FO16" s="463"/>
      <c r="FP16" s="463"/>
      <c r="FQ16" s="463"/>
      <c r="FR16" s="463"/>
      <c r="FS16" s="463"/>
      <c r="FT16" s="463"/>
      <c r="FU16" s="465"/>
      <c r="FV16" s="136"/>
      <c r="FW16" s="466"/>
      <c r="FX16" s="467"/>
      <c r="FY16" s="467"/>
      <c r="FZ16" s="467"/>
      <c r="GA16" s="467"/>
      <c r="GB16" s="467"/>
      <c r="GC16" s="467"/>
      <c r="GD16" s="467"/>
      <c r="GE16" s="467"/>
      <c r="GF16" s="467"/>
      <c r="GG16" s="467"/>
      <c r="GH16" s="467"/>
      <c r="GI16" s="467"/>
      <c r="GJ16" s="467"/>
      <c r="GK16" s="467"/>
      <c r="GL16" s="467"/>
      <c r="GM16" s="467"/>
      <c r="GN16" s="467"/>
      <c r="GO16" s="467"/>
      <c r="GP16" s="467"/>
      <c r="GQ16" s="467"/>
      <c r="GR16" s="468"/>
      <c r="GS16" s="469" t="s">
        <v>100</v>
      </c>
      <c r="GT16" s="470"/>
      <c r="GU16" s="470"/>
      <c r="GV16" s="470"/>
      <c r="GW16" s="471"/>
      <c r="GX16" s="469" t="s">
        <v>100</v>
      </c>
      <c r="GY16" s="470"/>
      <c r="GZ16" s="470"/>
      <c r="HA16" s="470"/>
      <c r="HB16" s="471"/>
      <c r="HC16" s="466"/>
      <c r="HD16" s="467"/>
      <c r="HE16" s="467"/>
      <c r="HF16" s="467"/>
      <c r="HG16" s="467"/>
      <c r="HH16" s="467"/>
      <c r="HI16" s="467"/>
      <c r="HJ16" s="467"/>
      <c r="HK16" s="467"/>
      <c r="HL16" s="467"/>
      <c r="HM16" s="467"/>
      <c r="HN16" s="467"/>
      <c r="HO16" s="467"/>
      <c r="HP16" s="467"/>
      <c r="HQ16" s="467"/>
      <c r="HR16" s="467"/>
      <c r="HS16" s="467"/>
      <c r="HT16" s="467"/>
      <c r="HU16" s="467"/>
      <c r="HV16" s="467"/>
      <c r="HW16" s="467"/>
      <c r="HX16" s="467"/>
      <c r="HY16" s="467"/>
      <c r="HZ16" s="467"/>
      <c r="IA16" s="467"/>
      <c r="IB16" s="467"/>
      <c r="IC16" s="467"/>
      <c r="ID16" s="467"/>
      <c r="IE16" s="467"/>
      <c r="IF16" s="467"/>
      <c r="IG16" s="467"/>
      <c r="IH16" s="467"/>
      <c r="II16" s="468"/>
    </row>
    <row r="17" spans="1:245" s="137" customFormat="1" ht="30" customHeight="1">
      <c r="A17" s="135">
        <f>IF(H17="","",MAX($A$15:$A16)+1)</f>
        <v>11</v>
      </c>
      <c r="B17" s="319" t="s">
        <v>257</v>
      </c>
      <c r="C17" s="320"/>
      <c r="D17" s="320"/>
      <c r="E17" s="320"/>
      <c r="F17" s="320"/>
      <c r="G17" s="475"/>
      <c r="H17" s="536" t="s">
        <v>293</v>
      </c>
      <c r="I17" s="537"/>
      <c r="J17" s="537"/>
      <c r="K17" s="537"/>
      <c r="L17" s="537"/>
      <c r="M17" s="537"/>
      <c r="N17" s="537"/>
      <c r="O17" s="537"/>
      <c r="P17" s="537"/>
      <c r="Q17" s="537"/>
      <c r="R17" s="538"/>
      <c r="S17" s="319" t="s">
        <v>232</v>
      </c>
      <c r="T17" s="500"/>
      <c r="U17" s="500"/>
      <c r="V17" s="501"/>
      <c r="W17" s="319" t="s">
        <v>385</v>
      </c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475"/>
      <c r="AY17" s="476" t="s">
        <v>233</v>
      </c>
      <c r="AZ17" s="477"/>
      <c r="BA17" s="476"/>
      <c r="BB17" s="477"/>
      <c r="BC17" s="319"/>
      <c r="BD17" s="475"/>
      <c r="BE17" s="319"/>
      <c r="BF17" s="475"/>
      <c r="BG17" s="320"/>
      <c r="BH17" s="475"/>
      <c r="BI17" s="320"/>
      <c r="BJ17" s="475"/>
      <c r="BK17" s="320"/>
      <c r="BL17" s="475"/>
      <c r="BM17" s="320"/>
      <c r="BN17" s="475"/>
      <c r="BO17" s="320"/>
      <c r="BP17" s="475"/>
      <c r="BQ17" s="320"/>
      <c r="BR17" s="475"/>
      <c r="BS17" s="320"/>
      <c r="BT17" s="475"/>
      <c r="BU17" s="320"/>
      <c r="BV17" s="475"/>
      <c r="BW17" s="320"/>
      <c r="BX17" s="475"/>
      <c r="BY17" s="320"/>
      <c r="BZ17" s="475"/>
      <c r="CA17" s="320"/>
      <c r="CB17" s="475"/>
      <c r="CC17" s="478" t="s">
        <v>378</v>
      </c>
      <c r="CD17" s="479"/>
      <c r="CE17" s="479"/>
      <c r="CF17" s="479"/>
      <c r="CG17" s="480"/>
      <c r="CH17" s="462" t="s">
        <v>376</v>
      </c>
      <c r="CI17" s="463"/>
      <c r="CJ17" s="463"/>
      <c r="CK17" s="463"/>
      <c r="CL17" s="463"/>
      <c r="CM17" s="463"/>
      <c r="CN17" s="463"/>
      <c r="CO17" s="463"/>
      <c r="CP17" s="463"/>
      <c r="CQ17" s="463"/>
      <c r="CR17" s="463"/>
      <c r="CS17" s="463"/>
      <c r="CT17" s="463"/>
      <c r="CU17" s="463"/>
      <c r="CV17" s="463"/>
      <c r="CW17" s="463"/>
      <c r="CX17" s="463"/>
      <c r="CY17" s="463"/>
      <c r="CZ17" s="463"/>
      <c r="DA17" s="463"/>
      <c r="DB17" s="463"/>
      <c r="DC17" s="463"/>
      <c r="DD17" s="463"/>
      <c r="DE17" s="463"/>
      <c r="DF17" s="463"/>
      <c r="DG17" s="464"/>
      <c r="DH17" s="472" t="s">
        <v>185</v>
      </c>
      <c r="DI17" s="473"/>
      <c r="DJ17" s="473"/>
      <c r="DK17" s="473"/>
      <c r="DL17" s="473"/>
      <c r="DM17" s="474"/>
      <c r="DN17" s="472" t="s">
        <v>388</v>
      </c>
      <c r="DO17" s="473"/>
      <c r="DP17" s="473"/>
      <c r="DQ17" s="473"/>
      <c r="DR17" s="473"/>
      <c r="DS17" s="474"/>
      <c r="DT17" s="462"/>
      <c r="DU17" s="463"/>
      <c r="DV17" s="463"/>
      <c r="DW17" s="463"/>
      <c r="DX17" s="463"/>
      <c r="DY17" s="464"/>
      <c r="DZ17" s="462"/>
      <c r="EA17" s="463"/>
      <c r="EB17" s="463"/>
      <c r="EC17" s="463"/>
      <c r="ED17" s="463"/>
      <c r="EE17" s="464"/>
      <c r="EF17" s="462"/>
      <c r="EG17" s="463"/>
      <c r="EH17" s="463"/>
      <c r="EI17" s="463"/>
      <c r="EJ17" s="463"/>
      <c r="EK17" s="464"/>
      <c r="EL17" s="462"/>
      <c r="EM17" s="463"/>
      <c r="EN17" s="463"/>
      <c r="EO17" s="463"/>
      <c r="EP17" s="463"/>
      <c r="EQ17" s="463"/>
      <c r="ER17" s="463"/>
      <c r="ES17" s="463"/>
      <c r="ET17" s="463"/>
      <c r="EU17" s="463"/>
      <c r="EV17" s="463"/>
      <c r="EW17" s="463"/>
      <c r="EX17" s="463"/>
      <c r="EY17" s="463"/>
      <c r="EZ17" s="463"/>
      <c r="FA17" s="463"/>
      <c r="FB17" s="463"/>
      <c r="FC17" s="463"/>
      <c r="FD17" s="463"/>
      <c r="FE17" s="463"/>
      <c r="FF17" s="463"/>
      <c r="FG17" s="463"/>
      <c r="FH17" s="463"/>
      <c r="FI17" s="463"/>
      <c r="FJ17" s="463"/>
      <c r="FK17" s="463"/>
      <c r="FL17" s="463"/>
      <c r="FM17" s="463"/>
      <c r="FN17" s="463"/>
      <c r="FO17" s="463"/>
      <c r="FP17" s="463"/>
      <c r="FQ17" s="463"/>
      <c r="FR17" s="463"/>
      <c r="FS17" s="463"/>
      <c r="FT17" s="463"/>
      <c r="FU17" s="465"/>
      <c r="FV17" s="136"/>
      <c r="FW17" s="466"/>
      <c r="FX17" s="467"/>
      <c r="FY17" s="467"/>
      <c r="FZ17" s="467"/>
      <c r="GA17" s="467"/>
      <c r="GB17" s="467"/>
      <c r="GC17" s="467"/>
      <c r="GD17" s="467"/>
      <c r="GE17" s="467"/>
      <c r="GF17" s="467"/>
      <c r="GG17" s="467"/>
      <c r="GH17" s="467"/>
      <c r="GI17" s="467"/>
      <c r="GJ17" s="467"/>
      <c r="GK17" s="467"/>
      <c r="GL17" s="467"/>
      <c r="GM17" s="467"/>
      <c r="GN17" s="467"/>
      <c r="GO17" s="467"/>
      <c r="GP17" s="467"/>
      <c r="GQ17" s="467"/>
      <c r="GR17" s="468"/>
      <c r="GS17" s="469" t="s">
        <v>100</v>
      </c>
      <c r="GT17" s="470"/>
      <c r="GU17" s="470"/>
      <c r="GV17" s="470"/>
      <c r="GW17" s="471"/>
      <c r="GX17" s="469" t="s">
        <v>100</v>
      </c>
      <c r="GY17" s="470"/>
      <c r="GZ17" s="470"/>
      <c r="HA17" s="470"/>
      <c r="HB17" s="471"/>
      <c r="HC17" s="466"/>
      <c r="HD17" s="467"/>
      <c r="HE17" s="467"/>
      <c r="HF17" s="467"/>
      <c r="HG17" s="467"/>
      <c r="HH17" s="467"/>
      <c r="HI17" s="467"/>
      <c r="HJ17" s="467"/>
      <c r="HK17" s="467"/>
      <c r="HL17" s="467"/>
      <c r="HM17" s="467"/>
      <c r="HN17" s="467"/>
      <c r="HO17" s="467"/>
      <c r="HP17" s="467"/>
      <c r="HQ17" s="467"/>
      <c r="HR17" s="467"/>
      <c r="HS17" s="467"/>
      <c r="HT17" s="467"/>
      <c r="HU17" s="467"/>
      <c r="HV17" s="467"/>
      <c r="HW17" s="467"/>
      <c r="HX17" s="467"/>
      <c r="HY17" s="467"/>
      <c r="HZ17" s="467"/>
      <c r="IA17" s="467"/>
      <c r="IB17" s="467"/>
      <c r="IC17" s="467"/>
      <c r="ID17" s="467"/>
      <c r="IE17" s="467"/>
      <c r="IF17" s="467"/>
      <c r="IG17" s="467"/>
      <c r="IH17" s="467"/>
      <c r="II17" s="468"/>
    </row>
    <row r="18" spans="1:245" s="137" customFormat="1" ht="90" customHeight="1">
      <c r="A18" s="135">
        <f>IF(H18="","",MAX($A$15:$A17)+1)</f>
        <v>12</v>
      </c>
      <c r="B18" s="319" t="s">
        <v>256</v>
      </c>
      <c r="C18" s="320"/>
      <c r="D18" s="320"/>
      <c r="E18" s="320"/>
      <c r="F18" s="320"/>
      <c r="G18" s="475"/>
      <c r="H18" s="536" t="s">
        <v>366</v>
      </c>
      <c r="I18" s="537"/>
      <c r="J18" s="537"/>
      <c r="K18" s="537"/>
      <c r="L18" s="537"/>
      <c r="M18" s="537"/>
      <c r="N18" s="537"/>
      <c r="O18" s="537"/>
      <c r="P18" s="537"/>
      <c r="Q18" s="537"/>
      <c r="R18" s="538"/>
      <c r="S18" s="319" t="s">
        <v>232</v>
      </c>
      <c r="T18" s="500"/>
      <c r="U18" s="500"/>
      <c r="V18" s="501"/>
      <c r="W18" s="319" t="s">
        <v>580</v>
      </c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475"/>
      <c r="AY18" s="476" t="s">
        <v>233</v>
      </c>
      <c r="AZ18" s="477"/>
      <c r="BA18" s="476"/>
      <c r="BB18" s="477"/>
      <c r="BC18" s="319"/>
      <c r="BD18" s="475"/>
      <c r="BE18" s="319"/>
      <c r="BF18" s="475"/>
      <c r="BG18" s="320"/>
      <c r="BH18" s="475"/>
      <c r="BI18" s="320"/>
      <c r="BJ18" s="475"/>
      <c r="BK18" s="320"/>
      <c r="BL18" s="475"/>
      <c r="BM18" s="320"/>
      <c r="BN18" s="475"/>
      <c r="BO18" s="320"/>
      <c r="BP18" s="475"/>
      <c r="BQ18" s="320"/>
      <c r="BR18" s="475"/>
      <c r="BS18" s="320"/>
      <c r="BT18" s="475"/>
      <c r="BU18" s="320"/>
      <c r="BV18" s="475"/>
      <c r="BW18" s="320"/>
      <c r="BX18" s="475"/>
      <c r="BY18" s="320"/>
      <c r="BZ18" s="475"/>
      <c r="CA18" s="320"/>
      <c r="CB18" s="475"/>
      <c r="CC18" s="478" t="s">
        <v>375</v>
      </c>
      <c r="CD18" s="479"/>
      <c r="CE18" s="479"/>
      <c r="CF18" s="479"/>
      <c r="CG18" s="480"/>
      <c r="CH18" s="462" t="s">
        <v>235</v>
      </c>
      <c r="CI18" s="463"/>
      <c r="CJ18" s="463"/>
      <c r="CK18" s="463"/>
      <c r="CL18" s="463"/>
      <c r="CM18" s="463"/>
      <c r="CN18" s="463"/>
      <c r="CO18" s="463"/>
      <c r="CP18" s="463"/>
      <c r="CQ18" s="463"/>
      <c r="CR18" s="463"/>
      <c r="CS18" s="463"/>
      <c r="CT18" s="463"/>
      <c r="CU18" s="463"/>
      <c r="CV18" s="463"/>
      <c r="CW18" s="463"/>
      <c r="CX18" s="463"/>
      <c r="CY18" s="463"/>
      <c r="CZ18" s="463"/>
      <c r="DA18" s="463"/>
      <c r="DB18" s="463"/>
      <c r="DC18" s="463"/>
      <c r="DD18" s="463"/>
      <c r="DE18" s="463"/>
      <c r="DF18" s="463"/>
      <c r="DG18" s="464"/>
      <c r="DH18" s="472" t="s">
        <v>184</v>
      </c>
      <c r="DI18" s="473"/>
      <c r="DJ18" s="473"/>
      <c r="DK18" s="473"/>
      <c r="DL18" s="473"/>
      <c r="DM18" s="474"/>
      <c r="DN18" s="472" t="s">
        <v>371</v>
      </c>
      <c r="DO18" s="473"/>
      <c r="DP18" s="473"/>
      <c r="DQ18" s="473"/>
      <c r="DR18" s="473"/>
      <c r="DS18" s="474"/>
      <c r="DT18" s="462"/>
      <c r="DU18" s="463"/>
      <c r="DV18" s="463"/>
      <c r="DW18" s="463"/>
      <c r="DX18" s="463"/>
      <c r="DY18" s="464"/>
      <c r="DZ18" s="462"/>
      <c r="EA18" s="463"/>
      <c r="EB18" s="463"/>
      <c r="EC18" s="463"/>
      <c r="ED18" s="463"/>
      <c r="EE18" s="464"/>
      <c r="EF18" s="462"/>
      <c r="EG18" s="463"/>
      <c r="EH18" s="463"/>
      <c r="EI18" s="463"/>
      <c r="EJ18" s="463"/>
      <c r="EK18" s="464"/>
      <c r="EL18" s="462"/>
      <c r="EM18" s="463"/>
      <c r="EN18" s="463"/>
      <c r="EO18" s="463"/>
      <c r="EP18" s="463"/>
      <c r="EQ18" s="463"/>
      <c r="ER18" s="463"/>
      <c r="ES18" s="463"/>
      <c r="ET18" s="463"/>
      <c r="EU18" s="463"/>
      <c r="EV18" s="463"/>
      <c r="EW18" s="463"/>
      <c r="EX18" s="463"/>
      <c r="EY18" s="463"/>
      <c r="EZ18" s="463"/>
      <c r="FA18" s="463"/>
      <c r="FB18" s="463"/>
      <c r="FC18" s="463"/>
      <c r="FD18" s="463"/>
      <c r="FE18" s="463"/>
      <c r="FF18" s="463"/>
      <c r="FG18" s="463"/>
      <c r="FH18" s="463"/>
      <c r="FI18" s="463"/>
      <c r="FJ18" s="463"/>
      <c r="FK18" s="463"/>
      <c r="FL18" s="463"/>
      <c r="FM18" s="463"/>
      <c r="FN18" s="463"/>
      <c r="FO18" s="463"/>
      <c r="FP18" s="463"/>
      <c r="FQ18" s="463"/>
      <c r="FR18" s="463"/>
      <c r="FS18" s="463"/>
      <c r="FT18" s="463"/>
      <c r="FU18" s="465"/>
      <c r="FV18" s="136"/>
      <c r="FW18" s="466"/>
      <c r="FX18" s="467"/>
      <c r="FY18" s="467"/>
      <c r="FZ18" s="467"/>
      <c r="GA18" s="467"/>
      <c r="GB18" s="467"/>
      <c r="GC18" s="467"/>
      <c r="GD18" s="467"/>
      <c r="GE18" s="467"/>
      <c r="GF18" s="467"/>
      <c r="GG18" s="467"/>
      <c r="GH18" s="467"/>
      <c r="GI18" s="467"/>
      <c r="GJ18" s="467"/>
      <c r="GK18" s="467"/>
      <c r="GL18" s="467"/>
      <c r="GM18" s="467"/>
      <c r="GN18" s="467"/>
      <c r="GO18" s="467"/>
      <c r="GP18" s="467"/>
      <c r="GQ18" s="467"/>
      <c r="GR18" s="468"/>
      <c r="GS18" s="469" t="s">
        <v>100</v>
      </c>
      <c r="GT18" s="470"/>
      <c r="GU18" s="470"/>
      <c r="GV18" s="470"/>
      <c r="GW18" s="471"/>
      <c r="GX18" s="469" t="s">
        <v>100</v>
      </c>
      <c r="GY18" s="470"/>
      <c r="GZ18" s="470"/>
      <c r="HA18" s="470"/>
      <c r="HB18" s="471"/>
      <c r="HC18" s="466"/>
      <c r="HD18" s="467"/>
      <c r="HE18" s="467"/>
      <c r="HF18" s="467"/>
      <c r="HG18" s="467"/>
      <c r="HH18" s="467"/>
      <c r="HI18" s="467"/>
      <c r="HJ18" s="467"/>
      <c r="HK18" s="467"/>
      <c r="HL18" s="467"/>
      <c r="HM18" s="467"/>
      <c r="HN18" s="467"/>
      <c r="HO18" s="467"/>
      <c r="HP18" s="467"/>
      <c r="HQ18" s="467"/>
      <c r="HR18" s="467"/>
      <c r="HS18" s="467"/>
      <c r="HT18" s="467"/>
      <c r="HU18" s="467"/>
      <c r="HV18" s="467"/>
      <c r="HW18" s="467"/>
      <c r="HX18" s="467"/>
      <c r="HY18" s="467"/>
      <c r="HZ18" s="467"/>
      <c r="IA18" s="467"/>
      <c r="IB18" s="467"/>
      <c r="IC18" s="467"/>
      <c r="ID18" s="467"/>
      <c r="IE18" s="467"/>
      <c r="IF18" s="467"/>
      <c r="IG18" s="467"/>
      <c r="IH18" s="467"/>
      <c r="II18" s="468"/>
    </row>
    <row r="19" spans="1:245" s="137" customFormat="1" ht="30" customHeight="1">
      <c r="A19" s="135">
        <f>IF(H19="","",MAX($A$15:$A17)+1)</f>
        <v>12</v>
      </c>
      <c r="B19" s="319" t="s">
        <v>259</v>
      </c>
      <c r="C19" s="320"/>
      <c r="D19" s="320"/>
      <c r="E19" s="320"/>
      <c r="F19" s="320"/>
      <c r="G19" s="475"/>
      <c r="H19" s="535" t="s">
        <v>294</v>
      </c>
      <c r="I19" s="277"/>
      <c r="J19" s="277"/>
      <c r="K19" s="277"/>
      <c r="L19" s="277"/>
      <c r="M19" s="277"/>
      <c r="N19" s="277"/>
      <c r="O19" s="277"/>
      <c r="P19" s="277"/>
      <c r="Q19" s="277"/>
      <c r="R19" s="278"/>
      <c r="S19" s="319" t="s">
        <v>232</v>
      </c>
      <c r="T19" s="500"/>
      <c r="U19" s="500"/>
      <c r="V19" s="501"/>
      <c r="W19" s="319" t="s">
        <v>369</v>
      </c>
      <c r="X19" s="320"/>
      <c r="Y19" s="32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20"/>
      <c r="AU19" s="320"/>
      <c r="AV19" s="320"/>
      <c r="AW19" s="320"/>
      <c r="AX19" s="475"/>
      <c r="AY19" s="476" t="s">
        <v>233</v>
      </c>
      <c r="AZ19" s="477"/>
      <c r="BA19" s="476"/>
      <c r="BB19" s="477"/>
      <c r="BC19" s="319"/>
      <c r="BD19" s="475"/>
      <c r="BE19" s="319"/>
      <c r="BF19" s="475"/>
      <c r="BG19" s="320"/>
      <c r="BH19" s="475"/>
      <c r="BI19" s="320"/>
      <c r="BJ19" s="475"/>
      <c r="BK19" s="320"/>
      <c r="BL19" s="475"/>
      <c r="BM19" s="320"/>
      <c r="BN19" s="475"/>
      <c r="BO19" s="320"/>
      <c r="BP19" s="475"/>
      <c r="BQ19" s="320"/>
      <c r="BR19" s="475"/>
      <c r="BS19" s="320"/>
      <c r="BT19" s="475"/>
      <c r="BU19" s="320"/>
      <c r="BV19" s="475"/>
      <c r="BW19" s="320"/>
      <c r="BX19" s="475"/>
      <c r="BY19" s="320"/>
      <c r="BZ19" s="475"/>
      <c r="CA19" s="320"/>
      <c r="CB19" s="475"/>
      <c r="CC19" s="478" t="s">
        <v>560</v>
      </c>
      <c r="CD19" s="479"/>
      <c r="CE19" s="479"/>
      <c r="CF19" s="479"/>
      <c r="CG19" s="480"/>
      <c r="CH19" s="462" t="s">
        <v>236</v>
      </c>
      <c r="CI19" s="463"/>
      <c r="CJ19" s="463"/>
      <c r="CK19" s="463"/>
      <c r="CL19" s="463"/>
      <c r="CM19" s="463"/>
      <c r="CN19" s="463"/>
      <c r="CO19" s="463"/>
      <c r="CP19" s="463"/>
      <c r="CQ19" s="463"/>
      <c r="CR19" s="463"/>
      <c r="CS19" s="463"/>
      <c r="CT19" s="463"/>
      <c r="CU19" s="463"/>
      <c r="CV19" s="463"/>
      <c r="CW19" s="463"/>
      <c r="CX19" s="463"/>
      <c r="CY19" s="463"/>
      <c r="CZ19" s="463"/>
      <c r="DA19" s="463"/>
      <c r="DB19" s="463"/>
      <c r="DC19" s="463"/>
      <c r="DD19" s="463"/>
      <c r="DE19" s="463"/>
      <c r="DF19" s="463"/>
      <c r="DG19" s="464"/>
      <c r="DH19" s="472" t="s">
        <v>370</v>
      </c>
      <c r="DI19" s="473"/>
      <c r="DJ19" s="473"/>
      <c r="DK19" s="473"/>
      <c r="DL19" s="473"/>
      <c r="DM19" s="474"/>
      <c r="DN19" s="472" t="s">
        <v>373</v>
      </c>
      <c r="DO19" s="473"/>
      <c r="DP19" s="473"/>
      <c r="DQ19" s="473"/>
      <c r="DR19" s="473"/>
      <c r="DS19" s="474"/>
      <c r="DT19" s="462"/>
      <c r="DU19" s="463"/>
      <c r="DV19" s="463"/>
      <c r="DW19" s="463"/>
      <c r="DX19" s="463"/>
      <c r="DY19" s="464"/>
      <c r="DZ19" s="462"/>
      <c r="EA19" s="463"/>
      <c r="EB19" s="463"/>
      <c r="EC19" s="463"/>
      <c r="ED19" s="463"/>
      <c r="EE19" s="464"/>
      <c r="EF19" s="462"/>
      <c r="EG19" s="463"/>
      <c r="EH19" s="463"/>
      <c r="EI19" s="463"/>
      <c r="EJ19" s="463"/>
      <c r="EK19" s="464"/>
      <c r="EL19" s="462"/>
      <c r="EM19" s="463"/>
      <c r="EN19" s="463"/>
      <c r="EO19" s="463"/>
      <c r="EP19" s="463"/>
      <c r="EQ19" s="463"/>
      <c r="ER19" s="463"/>
      <c r="ES19" s="463"/>
      <c r="ET19" s="463"/>
      <c r="EU19" s="463"/>
      <c r="EV19" s="463"/>
      <c r="EW19" s="463"/>
      <c r="EX19" s="463"/>
      <c r="EY19" s="463"/>
      <c r="EZ19" s="463"/>
      <c r="FA19" s="463"/>
      <c r="FB19" s="463"/>
      <c r="FC19" s="463"/>
      <c r="FD19" s="463"/>
      <c r="FE19" s="463"/>
      <c r="FF19" s="463"/>
      <c r="FG19" s="463"/>
      <c r="FH19" s="463"/>
      <c r="FI19" s="463"/>
      <c r="FJ19" s="463"/>
      <c r="FK19" s="463"/>
      <c r="FL19" s="463"/>
      <c r="FM19" s="463"/>
      <c r="FN19" s="463"/>
      <c r="FO19" s="463"/>
      <c r="FP19" s="463"/>
      <c r="FQ19" s="463"/>
      <c r="FR19" s="463"/>
      <c r="FS19" s="463"/>
      <c r="FT19" s="463"/>
      <c r="FU19" s="465"/>
      <c r="FV19" s="136"/>
      <c r="FW19" s="466"/>
      <c r="FX19" s="467"/>
      <c r="FY19" s="467"/>
      <c r="FZ19" s="467"/>
      <c r="GA19" s="467"/>
      <c r="GB19" s="467"/>
      <c r="GC19" s="467"/>
      <c r="GD19" s="467"/>
      <c r="GE19" s="467"/>
      <c r="GF19" s="467"/>
      <c r="GG19" s="467"/>
      <c r="GH19" s="467"/>
      <c r="GI19" s="467"/>
      <c r="GJ19" s="467"/>
      <c r="GK19" s="467"/>
      <c r="GL19" s="467"/>
      <c r="GM19" s="467"/>
      <c r="GN19" s="467"/>
      <c r="GO19" s="467"/>
      <c r="GP19" s="467"/>
      <c r="GQ19" s="467"/>
      <c r="GR19" s="468"/>
      <c r="GS19" s="469" t="s">
        <v>100</v>
      </c>
      <c r="GT19" s="470"/>
      <c r="GU19" s="470"/>
      <c r="GV19" s="470"/>
      <c r="GW19" s="471"/>
      <c r="GX19" s="469" t="s">
        <v>100</v>
      </c>
      <c r="GY19" s="470"/>
      <c r="GZ19" s="470"/>
      <c r="HA19" s="470"/>
      <c r="HB19" s="471"/>
      <c r="HC19" s="466"/>
      <c r="HD19" s="467"/>
      <c r="HE19" s="467"/>
      <c r="HF19" s="467"/>
      <c r="HG19" s="467"/>
      <c r="HH19" s="467"/>
      <c r="HI19" s="467"/>
      <c r="HJ19" s="467"/>
      <c r="HK19" s="467"/>
      <c r="HL19" s="467"/>
      <c r="HM19" s="467"/>
      <c r="HN19" s="467"/>
      <c r="HO19" s="467"/>
      <c r="HP19" s="467"/>
      <c r="HQ19" s="467"/>
      <c r="HR19" s="467"/>
      <c r="HS19" s="467"/>
      <c r="HT19" s="467"/>
      <c r="HU19" s="467"/>
      <c r="HV19" s="467"/>
      <c r="HW19" s="467"/>
      <c r="HX19" s="467"/>
      <c r="HY19" s="467"/>
      <c r="HZ19" s="467"/>
      <c r="IA19" s="467"/>
      <c r="IB19" s="467"/>
      <c r="IC19" s="467"/>
      <c r="ID19" s="467"/>
      <c r="IE19" s="467"/>
      <c r="IF19" s="467"/>
      <c r="IG19" s="467"/>
      <c r="IH19" s="467"/>
      <c r="II19" s="468"/>
    </row>
    <row r="20" spans="1:245" s="137" customFormat="1" ht="30" customHeight="1">
      <c r="A20" s="135">
        <f>IF(H20="","",MAX($A$15:$A19)+1)</f>
        <v>13</v>
      </c>
      <c r="B20" s="319" t="s">
        <v>259</v>
      </c>
      <c r="C20" s="320"/>
      <c r="D20" s="320"/>
      <c r="E20" s="320"/>
      <c r="F20" s="320"/>
      <c r="G20" s="475"/>
      <c r="H20" s="536" t="s">
        <v>295</v>
      </c>
      <c r="I20" s="537"/>
      <c r="J20" s="537"/>
      <c r="K20" s="537"/>
      <c r="L20" s="537"/>
      <c r="M20" s="537"/>
      <c r="N20" s="537"/>
      <c r="O20" s="537"/>
      <c r="P20" s="537"/>
      <c r="Q20" s="537"/>
      <c r="R20" s="538"/>
      <c r="S20" s="319" t="s">
        <v>232</v>
      </c>
      <c r="T20" s="500"/>
      <c r="U20" s="500"/>
      <c r="V20" s="501"/>
      <c r="W20" s="319" t="s">
        <v>368</v>
      </c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475"/>
      <c r="AY20" s="476" t="s">
        <v>233</v>
      </c>
      <c r="AZ20" s="477"/>
      <c r="BA20" s="476"/>
      <c r="BB20" s="477"/>
      <c r="BC20" s="319"/>
      <c r="BD20" s="475"/>
      <c r="BE20" s="319"/>
      <c r="BF20" s="475"/>
      <c r="BG20" s="320"/>
      <c r="BH20" s="475"/>
      <c r="BI20" s="320"/>
      <c r="BJ20" s="475"/>
      <c r="BK20" s="320"/>
      <c r="BL20" s="475"/>
      <c r="BM20" s="320"/>
      <c r="BN20" s="475"/>
      <c r="BO20" s="320"/>
      <c r="BP20" s="475"/>
      <c r="BQ20" s="320"/>
      <c r="BR20" s="475"/>
      <c r="BS20" s="320"/>
      <c r="BT20" s="475"/>
      <c r="BU20" s="320"/>
      <c r="BV20" s="475"/>
      <c r="BW20" s="320"/>
      <c r="BX20" s="475"/>
      <c r="BY20" s="320"/>
      <c r="BZ20" s="475"/>
      <c r="CA20" s="320"/>
      <c r="CB20" s="475"/>
      <c r="CC20" s="478" t="s">
        <v>560</v>
      </c>
      <c r="CD20" s="479"/>
      <c r="CE20" s="479"/>
      <c r="CF20" s="479"/>
      <c r="CG20" s="480"/>
      <c r="CH20" s="462" t="s">
        <v>236</v>
      </c>
      <c r="CI20" s="463"/>
      <c r="CJ20" s="463"/>
      <c r="CK20" s="463"/>
      <c r="CL20" s="463"/>
      <c r="CM20" s="463"/>
      <c r="CN20" s="463"/>
      <c r="CO20" s="463"/>
      <c r="CP20" s="463"/>
      <c r="CQ20" s="463"/>
      <c r="CR20" s="463"/>
      <c r="CS20" s="463"/>
      <c r="CT20" s="463"/>
      <c r="CU20" s="463"/>
      <c r="CV20" s="463"/>
      <c r="CW20" s="463"/>
      <c r="CX20" s="463"/>
      <c r="CY20" s="463"/>
      <c r="CZ20" s="463"/>
      <c r="DA20" s="463"/>
      <c r="DB20" s="463"/>
      <c r="DC20" s="463"/>
      <c r="DD20" s="463"/>
      <c r="DE20" s="463"/>
      <c r="DF20" s="463"/>
      <c r="DG20" s="464"/>
      <c r="DH20" s="472" t="s">
        <v>370</v>
      </c>
      <c r="DI20" s="473"/>
      <c r="DJ20" s="473"/>
      <c r="DK20" s="473"/>
      <c r="DL20" s="473"/>
      <c r="DM20" s="474"/>
      <c r="DN20" s="472" t="s">
        <v>372</v>
      </c>
      <c r="DO20" s="473"/>
      <c r="DP20" s="473"/>
      <c r="DQ20" s="473"/>
      <c r="DR20" s="473"/>
      <c r="DS20" s="474"/>
      <c r="DT20" s="462"/>
      <c r="DU20" s="463"/>
      <c r="DV20" s="463"/>
      <c r="DW20" s="463"/>
      <c r="DX20" s="463"/>
      <c r="DY20" s="464"/>
      <c r="DZ20" s="462"/>
      <c r="EA20" s="463"/>
      <c r="EB20" s="463"/>
      <c r="EC20" s="463"/>
      <c r="ED20" s="463"/>
      <c r="EE20" s="464"/>
      <c r="EF20" s="462"/>
      <c r="EG20" s="463"/>
      <c r="EH20" s="463"/>
      <c r="EI20" s="463"/>
      <c r="EJ20" s="463"/>
      <c r="EK20" s="464"/>
      <c r="EL20" s="462"/>
      <c r="EM20" s="463"/>
      <c r="EN20" s="463"/>
      <c r="EO20" s="463"/>
      <c r="EP20" s="463"/>
      <c r="EQ20" s="463"/>
      <c r="ER20" s="463"/>
      <c r="ES20" s="463"/>
      <c r="ET20" s="463"/>
      <c r="EU20" s="463"/>
      <c r="EV20" s="463"/>
      <c r="EW20" s="463"/>
      <c r="EX20" s="463"/>
      <c r="EY20" s="463"/>
      <c r="EZ20" s="463"/>
      <c r="FA20" s="463"/>
      <c r="FB20" s="463"/>
      <c r="FC20" s="463"/>
      <c r="FD20" s="463"/>
      <c r="FE20" s="463"/>
      <c r="FF20" s="463"/>
      <c r="FG20" s="463"/>
      <c r="FH20" s="463"/>
      <c r="FI20" s="463"/>
      <c r="FJ20" s="463"/>
      <c r="FK20" s="463"/>
      <c r="FL20" s="463"/>
      <c r="FM20" s="463"/>
      <c r="FN20" s="463"/>
      <c r="FO20" s="463"/>
      <c r="FP20" s="463"/>
      <c r="FQ20" s="463"/>
      <c r="FR20" s="463"/>
      <c r="FS20" s="463"/>
      <c r="FT20" s="463"/>
      <c r="FU20" s="465"/>
      <c r="FV20" s="136"/>
      <c r="FW20" s="466"/>
      <c r="FX20" s="467"/>
      <c r="FY20" s="467"/>
      <c r="FZ20" s="467"/>
      <c r="GA20" s="467"/>
      <c r="GB20" s="467"/>
      <c r="GC20" s="467"/>
      <c r="GD20" s="467"/>
      <c r="GE20" s="467"/>
      <c r="GF20" s="467"/>
      <c r="GG20" s="467"/>
      <c r="GH20" s="467"/>
      <c r="GI20" s="467"/>
      <c r="GJ20" s="467"/>
      <c r="GK20" s="467"/>
      <c r="GL20" s="467"/>
      <c r="GM20" s="467"/>
      <c r="GN20" s="467"/>
      <c r="GO20" s="467"/>
      <c r="GP20" s="467"/>
      <c r="GQ20" s="467"/>
      <c r="GR20" s="468"/>
      <c r="GS20" s="469" t="s">
        <v>100</v>
      </c>
      <c r="GT20" s="470"/>
      <c r="GU20" s="470"/>
      <c r="GV20" s="470"/>
      <c r="GW20" s="471"/>
      <c r="GX20" s="469" t="s">
        <v>100</v>
      </c>
      <c r="GY20" s="470"/>
      <c r="GZ20" s="470"/>
      <c r="HA20" s="470"/>
      <c r="HB20" s="471"/>
      <c r="HC20" s="466"/>
      <c r="HD20" s="467"/>
      <c r="HE20" s="467"/>
      <c r="HF20" s="467"/>
      <c r="HG20" s="467"/>
      <c r="HH20" s="467"/>
      <c r="HI20" s="467"/>
      <c r="HJ20" s="467"/>
      <c r="HK20" s="467"/>
      <c r="HL20" s="467"/>
      <c r="HM20" s="467"/>
      <c r="HN20" s="467"/>
      <c r="HO20" s="467"/>
      <c r="HP20" s="467"/>
      <c r="HQ20" s="467"/>
      <c r="HR20" s="467"/>
      <c r="HS20" s="467"/>
      <c r="HT20" s="467"/>
      <c r="HU20" s="467"/>
      <c r="HV20" s="467"/>
      <c r="HW20" s="467"/>
      <c r="HX20" s="467"/>
      <c r="HY20" s="467"/>
      <c r="HZ20" s="467"/>
      <c r="IA20" s="467"/>
      <c r="IB20" s="467"/>
      <c r="IC20" s="467"/>
      <c r="ID20" s="467"/>
      <c r="IE20" s="467"/>
      <c r="IF20" s="467"/>
      <c r="IG20" s="467"/>
      <c r="IH20" s="467"/>
      <c r="II20" s="468"/>
    </row>
    <row r="21" spans="1:245" s="137" customFormat="1" ht="30" customHeight="1">
      <c r="A21" s="135">
        <f>IF(H21="","",MAX($A$15:$A20)+1)</f>
        <v>14</v>
      </c>
      <c r="B21" s="319" t="s">
        <v>262</v>
      </c>
      <c r="C21" s="320"/>
      <c r="D21" s="320"/>
      <c r="E21" s="320"/>
      <c r="F21" s="320"/>
      <c r="G21" s="475"/>
      <c r="H21" s="536" t="s">
        <v>285</v>
      </c>
      <c r="I21" s="537"/>
      <c r="J21" s="537"/>
      <c r="K21" s="537"/>
      <c r="L21" s="537"/>
      <c r="M21" s="537"/>
      <c r="N21" s="537"/>
      <c r="O21" s="537"/>
      <c r="P21" s="537"/>
      <c r="Q21" s="537"/>
      <c r="R21" s="538"/>
      <c r="S21" s="319" t="s">
        <v>232</v>
      </c>
      <c r="T21" s="500"/>
      <c r="U21" s="500"/>
      <c r="V21" s="501"/>
      <c r="W21" s="319" t="s">
        <v>263</v>
      </c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475"/>
      <c r="AY21" s="476" t="s">
        <v>233</v>
      </c>
      <c r="AZ21" s="477"/>
      <c r="BA21" s="476"/>
      <c r="BB21" s="477"/>
      <c r="BC21" s="319"/>
      <c r="BD21" s="475"/>
      <c r="BE21" s="319"/>
      <c r="BF21" s="475"/>
      <c r="BG21" s="320"/>
      <c r="BH21" s="475"/>
      <c r="BI21" s="320"/>
      <c r="BJ21" s="475"/>
      <c r="BK21" s="320"/>
      <c r="BL21" s="475"/>
      <c r="BM21" s="320"/>
      <c r="BN21" s="475"/>
      <c r="BO21" s="320"/>
      <c r="BP21" s="475"/>
      <c r="BQ21" s="320"/>
      <c r="BR21" s="475"/>
      <c r="BS21" s="320"/>
      <c r="BT21" s="475"/>
      <c r="BU21" s="320"/>
      <c r="BV21" s="475"/>
      <c r="BW21" s="320"/>
      <c r="BX21" s="475"/>
      <c r="BY21" s="320"/>
      <c r="BZ21" s="475"/>
      <c r="CA21" s="320"/>
      <c r="CB21" s="475"/>
      <c r="CC21" s="478" t="s">
        <v>374</v>
      </c>
      <c r="CD21" s="479"/>
      <c r="CE21" s="479"/>
      <c r="CF21" s="479"/>
      <c r="CG21" s="480"/>
      <c r="CH21" s="462" t="s">
        <v>260</v>
      </c>
      <c r="CI21" s="463"/>
      <c r="CJ21" s="463"/>
      <c r="CK21" s="463"/>
      <c r="CL21" s="463"/>
      <c r="CM21" s="463"/>
      <c r="CN21" s="463"/>
      <c r="CO21" s="463"/>
      <c r="CP21" s="463"/>
      <c r="CQ21" s="463"/>
      <c r="CR21" s="463"/>
      <c r="CS21" s="463"/>
      <c r="CT21" s="463"/>
      <c r="CU21" s="463"/>
      <c r="CV21" s="463"/>
      <c r="CW21" s="463"/>
      <c r="CX21" s="463"/>
      <c r="CY21" s="463"/>
      <c r="CZ21" s="463"/>
      <c r="DA21" s="463"/>
      <c r="DB21" s="463"/>
      <c r="DC21" s="463"/>
      <c r="DD21" s="463"/>
      <c r="DE21" s="463"/>
      <c r="DF21" s="463"/>
      <c r="DG21" s="464"/>
      <c r="DH21" s="472" t="s">
        <v>264</v>
      </c>
      <c r="DI21" s="473"/>
      <c r="DJ21" s="473"/>
      <c r="DK21" s="473"/>
      <c r="DL21" s="473"/>
      <c r="DM21" s="474"/>
      <c r="DN21" s="472"/>
      <c r="DO21" s="473"/>
      <c r="DP21" s="473"/>
      <c r="DQ21" s="473"/>
      <c r="DR21" s="473"/>
      <c r="DS21" s="474"/>
      <c r="DT21" s="462"/>
      <c r="DU21" s="463"/>
      <c r="DV21" s="463"/>
      <c r="DW21" s="463"/>
      <c r="DX21" s="463"/>
      <c r="DY21" s="464"/>
      <c r="DZ21" s="462"/>
      <c r="EA21" s="463"/>
      <c r="EB21" s="463"/>
      <c r="EC21" s="463"/>
      <c r="ED21" s="463"/>
      <c r="EE21" s="464"/>
      <c r="EF21" s="462"/>
      <c r="EG21" s="463"/>
      <c r="EH21" s="463"/>
      <c r="EI21" s="463"/>
      <c r="EJ21" s="463"/>
      <c r="EK21" s="464"/>
      <c r="EL21" s="462"/>
      <c r="EM21" s="463"/>
      <c r="EN21" s="463"/>
      <c r="EO21" s="463"/>
      <c r="EP21" s="463"/>
      <c r="EQ21" s="463"/>
      <c r="ER21" s="463"/>
      <c r="ES21" s="463"/>
      <c r="ET21" s="463"/>
      <c r="EU21" s="463"/>
      <c r="EV21" s="463"/>
      <c r="EW21" s="463"/>
      <c r="EX21" s="463"/>
      <c r="EY21" s="463"/>
      <c r="EZ21" s="463"/>
      <c r="FA21" s="463"/>
      <c r="FB21" s="463"/>
      <c r="FC21" s="463"/>
      <c r="FD21" s="463"/>
      <c r="FE21" s="463"/>
      <c r="FF21" s="463"/>
      <c r="FG21" s="463"/>
      <c r="FH21" s="463"/>
      <c r="FI21" s="463"/>
      <c r="FJ21" s="463"/>
      <c r="FK21" s="463"/>
      <c r="FL21" s="463"/>
      <c r="FM21" s="463"/>
      <c r="FN21" s="463"/>
      <c r="FO21" s="463"/>
      <c r="FP21" s="463"/>
      <c r="FQ21" s="463"/>
      <c r="FR21" s="463"/>
      <c r="FS21" s="463"/>
      <c r="FT21" s="463"/>
      <c r="FU21" s="465"/>
      <c r="FV21" s="136"/>
      <c r="FW21" s="466"/>
      <c r="FX21" s="467"/>
      <c r="FY21" s="467"/>
      <c r="FZ21" s="467"/>
      <c r="GA21" s="467"/>
      <c r="GB21" s="467"/>
      <c r="GC21" s="467"/>
      <c r="GD21" s="467"/>
      <c r="GE21" s="467"/>
      <c r="GF21" s="467"/>
      <c r="GG21" s="467"/>
      <c r="GH21" s="467"/>
      <c r="GI21" s="467"/>
      <c r="GJ21" s="467"/>
      <c r="GK21" s="467"/>
      <c r="GL21" s="467"/>
      <c r="GM21" s="467"/>
      <c r="GN21" s="467"/>
      <c r="GO21" s="467"/>
      <c r="GP21" s="467"/>
      <c r="GQ21" s="467"/>
      <c r="GR21" s="468"/>
      <c r="GS21" s="469" t="s">
        <v>100</v>
      </c>
      <c r="GT21" s="470"/>
      <c r="GU21" s="470"/>
      <c r="GV21" s="470"/>
      <c r="GW21" s="471"/>
      <c r="GX21" s="469" t="s">
        <v>100</v>
      </c>
      <c r="GY21" s="470"/>
      <c r="GZ21" s="470"/>
      <c r="HA21" s="470"/>
      <c r="HB21" s="471"/>
      <c r="HC21" s="466"/>
      <c r="HD21" s="467"/>
      <c r="HE21" s="467"/>
      <c r="HF21" s="467"/>
      <c r="HG21" s="467"/>
      <c r="HH21" s="467"/>
      <c r="HI21" s="467"/>
      <c r="HJ21" s="467"/>
      <c r="HK21" s="467"/>
      <c r="HL21" s="467"/>
      <c r="HM21" s="467"/>
      <c r="HN21" s="467"/>
      <c r="HO21" s="467"/>
      <c r="HP21" s="467"/>
      <c r="HQ21" s="467"/>
      <c r="HR21" s="467"/>
      <c r="HS21" s="467"/>
      <c r="HT21" s="467"/>
      <c r="HU21" s="467"/>
      <c r="HV21" s="467"/>
      <c r="HW21" s="467"/>
      <c r="HX21" s="467"/>
      <c r="HY21" s="467"/>
      <c r="HZ21" s="467"/>
      <c r="IA21" s="467"/>
      <c r="IB21" s="467"/>
      <c r="IC21" s="467"/>
      <c r="ID21" s="467"/>
      <c r="IE21" s="467"/>
      <c r="IF21" s="467"/>
      <c r="IG21" s="467"/>
      <c r="IH21" s="467"/>
      <c r="II21" s="468"/>
    </row>
    <row r="22" spans="1:245" ht="24" customHeight="1">
      <c r="A22" s="95" t="s">
        <v>390</v>
      </c>
      <c r="B22" s="96"/>
      <c r="C22" s="96"/>
      <c r="D22" s="96"/>
      <c r="E22" s="96"/>
      <c r="F22" s="96"/>
      <c r="G22" s="96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6"/>
      <c r="T22" s="98"/>
      <c r="U22" s="98"/>
      <c r="V22" s="98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9"/>
      <c r="CF22" s="99"/>
      <c r="CG22" s="99"/>
      <c r="CH22" s="99"/>
      <c r="CI22" s="99"/>
      <c r="CJ22" s="100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2"/>
      <c r="FX22" s="38"/>
      <c r="FY22" s="84"/>
      <c r="FZ22" s="85"/>
      <c r="GA22" s="85"/>
      <c r="GB22" s="85"/>
      <c r="GC22" s="85"/>
      <c r="GD22" s="85"/>
      <c r="GE22" s="85"/>
      <c r="GF22" s="85"/>
      <c r="GG22" s="85"/>
      <c r="GH22" s="85"/>
      <c r="GI22" s="85"/>
      <c r="GJ22" s="85"/>
      <c r="GK22" s="85"/>
      <c r="GL22" s="85"/>
      <c r="GM22" s="85"/>
      <c r="GN22" s="85"/>
      <c r="GO22" s="85"/>
      <c r="GP22" s="85"/>
      <c r="GQ22" s="85"/>
      <c r="GR22" s="85"/>
      <c r="GS22" s="85"/>
      <c r="GT22" s="86"/>
      <c r="GU22" s="89"/>
      <c r="GV22" s="90"/>
      <c r="GW22" s="90"/>
      <c r="GX22" s="90"/>
      <c r="GY22" s="91"/>
      <c r="GZ22" s="89"/>
      <c r="HA22" s="90"/>
      <c r="HB22" s="90"/>
      <c r="HC22" s="90"/>
      <c r="HD22" s="91"/>
      <c r="HE22" s="94"/>
      <c r="HF22" s="92"/>
      <c r="HG22" s="92"/>
      <c r="HH22" s="92"/>
      <c r="HI22" s="92"/>
      <c r="HJ22" s="92"/>
      <c r="HK22" s="92"/>
      <c r="HL22" s="92"/>
      <c r="HM22" s="92"/>
      <c r="HN22" s="92"/>
      <c r="HO22" s="92"/>
      <c r="HP22" s="92"/>
      <c r="HQ22" s="92"/>
      <c r="HR22" s="92"/>
      <c r="HS22" s="92"/>
      <c r="HT22" s="92"/>
      <c r="HU22" s="92"/>
      <c r="HV22" s="92"/>
      <c r="HW22" s="92"/>
      <c r="HX22" s="92"/>
      <c r="HY22" s="92"/>
      <c r="HZ22" s="92"/>
      <c r="IA22" s="92"/>
      <c r="IB22" s="92"/>
      <c r="IC22" s="92"/>
      <c r="ID22" s="92"/>
      <c r="IE22" s="92"/>
      <c r="IF22" s="92"/>
      <c r="IG22" s="92"/>
      <c r="IH22" s="92"/>
      <c r="II22" s="92"/>
      <c r="IJ22" s="92"/>
      <c r="IK22" s="93"/>
    </row>
    <row r="23" spans="1:245" ht="30" customHeight="1">
      <c r="A23" s="34">
        <f>IF(H23="","",MAX($A$15:$A21)+1)</f>
        <v>15</v>
      </c>
      <c r="B23" s="532" t="s">
        <v>239</v>
      </c>
      <c r="C23" s="533"/>
      <c r="D23" s="533"/>
      <c r="E23" s="533"/>
      <c r="F23" s="533"/>
      <c r="G23" s="534"/>
      <c r="H23" s="536" t="s">
        <v>231</v>
      </c>
      <c r="I23" s="537"/>
      <c r="J23" s="537"/>
      <c r="K23" s="537"/>
      <c r="L23" s="537"/>
      <c r="M23" s="537"/>
      <c r="N23" s="537"/>
      <c r="O23" s="537"/>
      <c r="P23" s="537"/>
      <c r="Q23" s="537"/>
      <c r="R23" s="538"/>
      <c r="S23" s="319" t="s">
        <v>232</v>
      </c>
      <c r="T23" s="500"/>
      <c r="U23" s="500"/>
      <c r="V23" s="501"/>
      <c r="W23" s="319" t="s">
        <v>561</v>
      </c>
      <c r="X23" s="320"/>
      <c r="Y23" s="320"/>
      <c r="Z23" s="320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475"/>
      <c r="AY23" s="476" t="s">
        <v>233</v>
      </c>
      <c r="AZ23" s="477"/>
      <c r="BA23" s="476"/>
      <c r="BB23" s="477"/>
      <c r="BC23" s="319"/>
      <c r="BD23" s="475"/>
      <c r="BE23" s="319"/>
      <c r="BF23" s="475"/>
      <c r="BG23" s="320"/>
      <c r="BH23" s="475"/>
      <c r="BI23" s="320"/>
      <c r="BJ23" s="475"/>
      <c r="BK23" s="320"/>
      <c r="BL23" s="475"/>
      <c r="BM23" s="320"/>
      <c r="BN23" s="475"/>
      <c r="BO23" s="320"/>
      <c r="BP23" s="475"/>
      <c r="BQ23" s="320"/>
      <c r="BR23" s="475"/>
      <c r="BS23" s="320"/>
      <c r="BT23" s="475"/>
      <c r="BU23" s="320"/>
      <c r="BV23" s="475"/>
      <c r="BW23" s="320"/>
      <c r="BX23" s="475"/>
      <c r="BY23" s="320"/>
      <c r="BZ23" s="475"/>
      <c r="CA23" s="320"/>
      <c r="CB23" s="475"/>
      <c r="CC23" s="478" t="s">
        <v>386</v>
      </c>
      <c r="CD23" s="479"/>
      <c r="CE23" s="479"/>
      <c r="CF23" s="479"/>
      <c r="CG23" s="480"/>
      <c r="CH23" s="462" t="s">
        <v>585</v>
      </c>
      <c r="CI23" s="463"/>
      <c r="CJ23" s="463"/>
      <c r="CK23" s="463"/>
      <c r="CL23" s="463"/>
      <c r="CM23" s="463"/>
      <c r="CN23" s="463"/>
      <c r="CO23" s="463"/>
      <c r="CP23" s="463"/>
      <c r="CQ23" s="463"/>
      <c r="CR23" s="463"/>
      <c r="CS23" s="463"/>
      <c r="CT23" s="463"/>
      <c r="CU23" s="463"/>
      <c r="CV23" s="463"/>
      <c r="CW23" s="463"/>
      <c r="CX23" s="463"/>
      <c r="CY23" s="463"/>
      <c r="CZ23" s="463"/>
      <c r="DA23" s="463"/>
      <c r="DB23" s="463"/>
      <c r="DC23" s="463"/>
      <c r="DD23" s="463"/>
      <c r="DE23" s="463"/>
      <c r="DF23" s="463"/>
      <c r="DG23" s="464"/>
      <c r="DH23" s="472"/>
      <c r="DI23" s="473"/>
      <c r="DJ23" s="473"/>
      <c r="DK23" s="473"/>
      <c r="DL23" s="473"/>
      <c r="DM23" s="474"/>
      <c r="DN23" s="472"/>
      <c r="DO23" s="473"/>
      <c r="DP23" s="473"/>
      <c r="DQ23" s="473"/>
      <c r="DR23" s="473"/>
      <c r="DS23" s="474"/>
      <c r="DT23" s="462"/>
      <c r="DU23" s="463"/>
      <c r="DV23" s="463"/>
      <c r="DW23" s="463"/>
      <c r="DX23" s="463"/>
      <c r="DY23" s="464"/>
      <c r="DZ23" s="462"/>
      <c r="EA23" s="463"/>
      <c r="EB23" s="463"/>
      <c r="EC23" s="463"/>
      <c r="ED23" s="463"/>
      <c r="EE23" s="464"/>
      <c r="EF23" s="462"/>
      <c r="EG23" s="463"/>
      <c r="EH23" s="463"/>
      <c r="EI23" s="463"/>
      <c r="EJ23" s="463"/>
      <c r="EK23" s="464"/>
      <c r="EL23" s="462"/>
      <c r="EM23" s="463"/>
      <c r="EN23" s="463"/>
      <c r="EO23" s="463"/>
      <c r="EP23" s="463"/>
      <c r="EQ23" s="463"/>
      <c r="ER23" s="463"/>
      <c r="ES23" s="463"/>
      <c r="ET23" s="463"/>
      <c r="EU23" s="463"/>
      <c r="EV23" s="463"/>
      <c r="EW23" s="463"/>
      <c r="EX23" s="463"/>
      <c r="EY23" s="463"/>
      <c r="EZ23" s="463"/>
      <c r="FA23" s="463"/>
      <c r="FB23" s="463"/>
      <c r="FC23" s="463"/>
      <c r="FD23" s="463"/>
      <c r="FE23" s="463"/>
      <c r="FF23" s="463"/>
      <c r="FG23" s="463"/>
      <c r="FH23" s="463"/>
      <c r="FI23" s="463"/>
      <c r="FJ23" s="463"/>
      <c r="FK23" s="463"/>
      <c r="FL23" s="463"/>
      <c r="FM23" s="463"/>
      <c r="FN23" s="463"/>
      <c r="FO23" s="463"/>
      <c r="FP23" s="463"/>
      <c r="FQ23" s="463"/>
      <c r="FR23" s="463"/>
      <c r="FS23" s="463"/>
      <c r="FT23" s="463"/>
      <c r="FU23" s="465"/>
      <c r="FV23" s="38" t="s">
        <v>237</v>
      </c>
      <c r="FW23" s="430"/>
      <c r="FX23" s="431"/>
      <c r="FY23" s="431"/>
      <c r="FZ23" s="431"/>
      <c r="GA23" s="431"/>
      <c r="GB23" s="431"/>
      <c r="GC23" s="431"/>
      <c r="GD23" s="431"/>
      <c r="GE23" s="431"/>
      <c r="GF23" s="431"/>
      <c r="GG23" s="431"/>
      <c r="GH23" s="431"/>
      <c r="GI23" s="431"/>
      <c r="GJ23" s="431"/>
      <c r="GK23" s="431"/>
      <c r="GL23" s="431"/>
      <c r="GM23" s="431"/>
      <c r="GN23" s="431"/>
      <c r="GO23" s="431"/>
      <c r="GP23" s="431"/>
      <c r="GQ23" s="431"/>
      <c r="GR23" s="432"/>
      <c r="GS23" s="528" t="s">
        <v>100</v>
      </c>
      <c r="GT23" s="529"/>
      <c r="GU23" s="529"/>
      <c r="GV23" s="529"/>
      <c r="GW23" s="530"/>
      <c r="GX23" s="528" t="s">
        <v>100</v>
      </c>
      <c r="GY23" s="529"/>
      <c r="GZ23" s="529"/>
      <c r="HA23" s="529"/>
      <c r="HB23" s="530"/>
      <c r="HC23" s="531"/>
      <c r="HD23" s="526"/>
      <c r="HE23" s="526"/>
      <c r="HF23" s="526"/>
      <c r="HG23" s="526"/>
      <c r="HH23" s="526"/>
      <c r="HI23" s="526"/>
      <c r="HJ23" s="526"/>
      <c r="HK23" s="526"/>
      <c r="HL23" s="526"/>
      <c r="HM23" s="526"/>
      <c r="HN23" s="526"/>
      <c r="HO23" s="526"/>
      <c r="HP23" s="526"/>
      <c r="HQ23" s="526"/>
      <c r="HR23" s="526"/>
      <c r="HS23" s="526"/>
      <c r="HT23" s="526"/>
      <c r="HU23" s="526"/>
      <c r="HV23" s="526"/>
      <c r="HW23" s="526"/>
      <c r="HX23" s="526"/>
      <c r="HY23" s="526"/>
      <c r="HZ23" s="526"/>
      <c r="IA23" s="526"/>
      <c r="IB23" s="526"/>
      <c r="IC23" s="526"/>
      <c r="ID23" s="526"/>
      <c r="IE23" s="526"/>
      <c r="IF23" s="526"/>
      <c r="IG23" s="526"/>
      <c r="IH23" s="526"/>
      <c r="II23" s="527"/>
    </row>
    <row r="24" spans="1:245" ht="30" customHeight="1">
      <c r="A24" s="34" t="str">
        <f>IF(H24="","",MAX($A$15:$A23)+1)</f>
        <v/>
      </c>
      <c r="B24" s="532"/>
      <c r="C24" s="533"/>
      <c r="D24" s="533"/>
      <c r="E24" s="533"/>
      <c r="F24" s="533"/>
      <c r="G24" s="534"/>
      <c r="H24" s="539"/>
      <c r="I24" s="540"/>
      <c r="J24" s="540"/>
      <c r="K24" s="540"/>
      <c r="L24" s="540"/>
      <c r="M24" s="540"/>
      <c r="N24" s="540"/>
      <c r="O24" s="540"/>
      <c r="P24" s="540"/>
      <c r="Q24" s="540"/>
      <c r="R24" s="541"/>
      <c r="S24" s="319"/>
      <c r="T24" s="500"/>
      <c r="U24" s="500"/>
      <c r="V24" s="501"/>
      <c r="W24" s="319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475"/>
      <c r="AY24" s="476"/>
      <c r="AZ24" s="477"/>
      <c r="BA24" s="476"/>
      <c r="BB24" s="477"/>
      <c r="BC24" s="319"/>
      <c r="BD24" s="475"/>
      <c r="BE24" s="319"/>
      <c r="BF24" s="475"/>
      <c r="BG24" s="320"/>
      <c r="BH24" s="475"/>
      <c r="BI24" s="320"/>
      <c r="BJ24" s="475"/>
      <c r="BK24" s="320"/>
      <c r="BL24" s="475"/>
      <c r="BM24" s="320"/>
      <c r="BN24" s="475"/>
      <c r="BO24" s="320"/>
      <c r="BP24" s="475"/>
      <c r="BQ24" s="320"/>
      <c r="BR24" s="475"/>
      <c r="BS24" s="320"/>
      <c r="BT24" s="475"/>
      <c r="BU24" s="320"/>
      <c r="BV24" s="475"/>
      <c r="BW24" s="320"/>
      <c r="BX24" s="475"/>
      <c r="BY24" s="320"/>
      <c r="BZ24" s="475"/>
      <c r="CA24" s="320"/>
      <c r="CB24" s="475"/>
      <c r="CC24" s="478"/>
      <c r="CD24" s="479"/>
      <c r="CE24" s="479"/>
      <c r="CF24" s="479"/>
      <c r="CG24" s="480"/>
      <c r="CH24" s="462"/>
      <c r="CI24" s="463"/>
      <c r="CJ24" s="463"/>
      <c r="CK24" s="463"/>
      <c r="CL24" s="463"/>
      <c r="CM24" s="463"/>
      <c r="CN24" s="463"/>
      <c r="CO24" s="463"/>
      <c r="CP24" s="463"/>
      <c r="CQ24" s="463"/>
      <c r="CR24" s="463"/>
      <c r="CS24" s="463"/>
      <c r="CT24" s="463"/>
      <c r="CU24" s="463"/>
      <c r="CV24" s="463"/>
      <c r="CW24" s="463"/>
      <c r="CX24" s="463"/>
      <c r="CY24" s="463"/>
      <c r="CZ24" s="463"/>
      <c r="DA24" s="463"/>
      <c r="DB24" s="463"/>
      <c r="DC24" s="463"/>
      <c r="DD24" s="463"/>
      <c r="DE24" s="463"/>
      <c r="DF24" s="463"/>
      <c r="DG24" s="464"/>
      <c r="DH24" s="462"/>
      <c r="DI24" s="463"/>
      <c r="DJ24" s="463"/>
      <c r="DK24" s="463"/>
      <c r="DL24" s="463"/>
      <c r="DM24" s="464"/>
      <c r="DN24" s="462"/>
      <c r="DO24" s="463"/>
      <c r="DP24" s="463"/>
      <c r="DQ24" s="463"/>
      <c r="DR24" s="463"/>
      <c r="DS24" s="464"/>
      <c r="DT24" s="462"/>
      <c r="DU24" s="463"/>
      <c r="DV24" s="463"/>
      <c r="DW24" s="463"/>
      <c r="DX24" s="463"/>
      <c r="DY24" s="464"/>
      <c r="DZ24" s="462"/>
      <c r="EA24" s="463"/>
      <c r="EB24" s="463"/>
      <c r="EC24" s="463"/>
      <c r="ED24" s="463"/>
      <c r="EE24" s="464"/>
      <c r="EF24" s="462"/>
      <c r="EG24" s="463"/>
      <c r="EH24" s="463"/>
      <c r="EI24" s="463"/>
      <c r="EJ24" s="463"/>
      <c r="EK24" s="464"/>
      <c r="EL24" s="462"/>
      <c r="EM24" s="463"/>
      <c r="EN24" s="463"/>
      <c r="EO24" s="463"/>
      <c r="EP24" s="463"/>
      <c r="EQ24" s="463"/>
      <c r="ER24" s="463"/>
      <c r="ES24" s="463"/>
      <c r="ET24" s="463"/>
      <c r="EU24" s="463"/>
      <c r="EV24" s="463"/>
      <c r="EW24" s="463"/>
      <c r="EX24" s="463"/>
      <c r="EY24" s="463"/>
      <c r="EZ24" s="463"/>
      <c r="FA24" s="463"/>
      <c r="FB24" s="463"/>
      <c r="FC24" s="463"/>
      <c r="FD24" s="463"/>
      <c r="FE24" s="463"/>
      <c r="FF24" s="463"/>
      <c r="FG24" s="463"/>
      <c r="FH24" s="463"/>
      <c r="FI24" s="463"/>
      <c r="FJ24" s="463"/>
      <c r="FK24" s="463"/>
      <c r="FL24" s="463"/>
      <c r="FM24" s="463"/>
      <c r="FN24" s="463"/>
      <c r="FO24" s="463"/>
      <c r="FP24" s="463"/>
      <c r="FQ24" s="463"/>
      <c r="FR24" s="463"/>
      <c r="FS24" s="463"/>
      <c r="FT24" s="463"/>
      <c r="FU24" s="465"/>
      <c r="FV24" s="38"/>
      <c r="FW24" s="430"/>
      <c r="FX24" s="431"/>
      <c r="FY24" s="431"/>
      <c r="FZ24" s="431"/>
      <c r="GA24" s="431"/>
      <c r="GB24" s="431"/>
      <c r="GC24" s="431"/>
      <c r="GD24" s="431"/>
      <c r="GE24" s="431"/>
      <c r="GF24" s="431"/>
      <c r="GG24" s="431"/>
      <c r="GH24" s="431"/>
      <c r="GI24" s="431"/>
      <c r="GJ24" s="431"/>
      <c r="GK24" s="431"/>
      <c r="GL24" s="431"/>
      <c r="GM24" s="431"/>
      <c r="GN24" s="431"/>
      <c r="GO24" s="431"/>
      <c r="GP24" s="431"/>
      <c r="GQ24" s="431"/>
      <c r="GR24" s="432"/>
      <c r="GS24" s="528" t="s">
        <v>100</v>
      </c>
      <c r="GT24" s="529"/>
      <c r="GU24" s="529"/>
      <c r="GV24" s="529"/>
      <c r="GW24" s="530"/>
      <c r="GX24" s="528" t="s">
        <v>100</v>
      </c>
      <c r="GY24" s="529"/>
      <c r="GZ24" s="529"/>
      <c r="HA24" s="529"/>
      <c r="HB24" s="530"/>
      <c r="HC24" s="525"/>
      <c r="HD24" s="526"/>
      <c r="HE24" s="526"/>
      <c r="HF24" s="526"/>
      <c r="HG24" s="526"/>
      <c r="HH24" s="526"/>
      <c r="HI24" s="526"/>
      <c r="HJ24" s="526"/>
      <c r="HK24" s="526"/>
      <c r="HL24" s="526"/>
      <c r="HM24" s="526"/>
      <c r="HN24" s="526"/>
      <c r="HO24" s="526"/>
      <c r="HP24" s="526"/>
      <c r="HQ24" s="526"/>
      <c r="HR24" s="526"/>
      <c r="HS24" s="526"/>
      <c r="HT24" s="526"/>
      <c r="HU24" s="526"/>
      <c r="HV24" s="526"/>
      <c r="HW24" s="526"/>
      <c r="HX24" s="526"/>
      <c r="HY24" s="526"/>
      <c r="HZ24" s="526"/>
      <c r="IA24" s="526"/>
      <c r="IB24" s="526"/>
      <c r="IC24" s="526"/>
      <c r="ID24" s="526"/>
      <c r="IE24" s="526"/>
      <c r="IF24" s="526"/>
      <c r="IG24" s="526"/>
      <c r="IH24" s="526"/>
      <c r="II24" s="527"/>
    </row>
    <row r="25" spans="1:245" ht="30" customHeight="1">
      <c r="A25" s="34" t="str">
        <f>IF(H25="","",MAX($A$15:$A24)+1)</f>
        <v/>
      </c>
      <c r="B25" s="532"/>
      <c r="C25" s="533"/>
      <c r="D25" s="533"/>
      <c r="E25" s="533"/>
      <c r="F25" s="533"/>
      <c r="G25" s="534"/>
      <c r="H25" s="539"/>
      <c r="I25" s="540"/>
      <c r="J25" s="540"/>
      <c r="K25" s="540"/>
      <c r="L25" s="540"/>
      <c r="M25" s="540"/>
      <c r="N25" s="540"/>
      <c r="O25" s="540"/>
      <c r="P25" s="540"/>
      <c r="Q25" s="540"/>
      <c r="R25" s="541"/>
      <c r="S25" s="319"/>
      <c r="T25" s="500"/>
      <c r="U25" s="500"/>
      <c r="V25" s="501"/>
      <c r="W25" s="319"/>
      <c r="X25" s="320"/>
      <c r="Y25" s="320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475"/>
      <c r="AY25" s="476"/>
      <c r="AZ25" s="477"/>
      <c r="BA25" s="476"/>
      <c r="BB25" s="477"/>
      <c r="BC25" s="319"/>
      <c r="BD25" s="475"/>
      <c r="BE25" s="319"/>
      <c r="BF25" s="475"/>
      <c r="BG25" s="320"/>
      <c r="BH25" s="475"/>
      <c r="BI25" s="320"/>
      <c r="BJ25" s="475"/>
      <c r="BK25" s="320"/>
      <c r="BL25" s="475"/>
      <c r="BM25" s="320"/>
      <c r="BN25" s="475"/>
      <c r="BO25" s="320"/>
      <c r="BP25" s="475"/>
      <c r="BQ25" s="320"/>
      <c r="BR25" s="475"/>
      <c r="BS25" s="320"/>
      <c r="BT25" s="475"/>
      <c r="BU25" s="320"/>
      <c r="BV25" s="475"/>
      <c r="BW25" s="320"/>
      <c r="BX25" s="475"/>
      <c r="BY25" s="320"/>
      <c r="BZ25" s="475"/>
      <c r="CA25" s="320"/>
      <c r="CB25" s="475"/>
      <c r="CC25" s="478"/>
      <c r="CD25" s="479"/>
      <c r="CE25" s="479"/>
      <c r="CF25" s="479"/>
      <c r="CG25" s="480"/>
      <c r="CH25" s="462"/>
      <c r="CI25" s="463"/>
      <c r="CJ25" s="463"/>
      <c r="CK25" s="463"/>
      <c r="CL25" s="463"/>
      <c r="CM25" s="463"/>
      <c r="CN25" s="463"/>
      <c r="CO25" s="463"/>
      <c r="CP25" s="463"/>
      <c r="CQ25" s="463"/>
      <c r="CR25" s="463"/>
      <c r="CS25" s="463"/>
      <c r="CT25" s="463"/>
      <c r="CU25" s="463"/>
      <c r="CV25" s="463"/>
      <c r="CW25" s="463"/>
      <c r="CX25" s="463"/>
      <c r="CY25" s="463"/>
      <c r="CZ25" s="463"/>
      <c r="DA25" s="463"/>
      <c r="DB25" s="463"/>
      <c r="DC25" s="463"/>
      <c r="DD25" s="463"/>
      <c r="DE25" s="463"/>
      <c r="DF25" s="463"/>
      <c r="DG25" s="464"/>
      <c r="DH25" s="462"/>
      <c r="DI25" s="463"/>
      <c r="DJ25" s="463"/>
      <c r="DK25" s="463"/>
      <c r="DL25" s="463"/>
      <c r="DM25" s="464"/>
      <c r="DN25" s="462"/>
      <c r="DO25" s="463"/>
      <c r="DP25" s="463"/>
      <c r="DQ25" s="463"/>
      <c r="DR25" s="463"/>
      <c r="DS25" s="464"/>
      <c r="DT25" s="462"/>
      <c r="DU25" s="463"/>
      <c r="DV25" s="463"/>
      <c r="DW25" s="463"/>
      <c r="DX25" s="463"/>
      <c r="DY25" s="464"/>
      <c r="DZ25" s="462"/>
      <c r="EA25" s="463"/>
      <c r="EB25" s="463"/>
      <c r="EC25" s="463"/>
      <c r="ED25" s="463"/>
      <c r="EE25" s="464"/>
      <c r="EF25" s="462"/>
      <c r="EG25" s="463"/>
      <c r="EH25" s="463"/>
      <c r="EI25" s="463"/>
      <c r="EJ25" s="463"/>
      <c r="EK25" s="464"/>
      <c r="EL25" s="462"/>
      <c r="EM25" s="463"/>
      <c r="EN25" s="463"/>
      <c r="EO25" s="463"/>
      <c r="EP25" s="463"/>
      <c r="EQ25" s="463"/>
      <c r="ER25" s="463"/>
      <c r="ES25" s="463"/>
      <c r="ET25" s="463"/>
      <c r="EU25" s="463"/>
      <c r="EV25" s="463"/>
      <c r="EW25" s="463"/>
      <c r="EX25" s="463"/>
      <c r="EY25" s="463"/>
      <c r="EZ25" s="463"/>
      <c r="FA25" s="463"/>
      <c r="FB25" s="463"/>
      <c r="FC25" s="463"/>
      <c r="FD25" s="463"/>
      <c r="FE25" s="463"/>
      <c r="FF25" s="463"/>
      <c r="FG25" s="463"/>
      <c r="FH25" s="463"/>
      <c r="FI25" s="463"/>
      <c r="FJ25" s="463"/>
      <c r="FK25" s="463"/>
      <c r="FL25" s="463"/>
      <c r="FM25" s="463"/>
      <c r="FN25" s="463"/>
      <c r="FO25" s="463"/>
      <c r="FP25" s="463"/>
      <c r="FQ25" s="463"/>
      <c r="FR25" s="463"/>
      <c r="FS25" s="463"/>
      <c r="FT25" s="463"/>
      <c r="FU25" s="465"/>
      <c r="FV25" s="38"/>
      <c r="FW25" s="430"/>
      <c r="FX25" s="431"/>
      <c r="FY25" s="431"/>
      <c r="FZ25" s="431"/>
      <c r="GA25" s="431"/>
      <c r="GB25" s="431"/>
      <c r="GC25" s="431"/>
      <c r="GD25" s="431"/>
      <c r="GE25" s="431"/>
      <c r="GF25" s="431"/>
      <c r="GG25" s="431"/>
      <c r="GH25" s="431"/>
      <c r="GI25" s="431"/>
      <c r="GJ25" s="431"/>
      <c r="GK25" s="431"/>
      <c r="GL25" s="431"/>
      <c r="GM25" s="431"/>
      <c r="GN25" s="431"/>
      <c r="GO25" s="431"/>
      <c r="GP25" s="431"/>
      <c r="GQ25" s="431"/>
      <c r="GR25" s="432"/>
      <c r="GS25" s="528" t="s">
        <v>100</v>
      </c>
      <c r="GT25" s="529"/>
      <c r="GU25" s="529"/>
      <c r="GV25" s="529"/>
      <c r="GW25" s="530"/>
      <c r="GX25" s="528" t="s">
        <v>100</v>
      </c>
      <c r="GY25" s="529"/>
      <c r="GZ25" s="529"/>
      <c r="HA25" s="529"/>
      <c r="HB25" s="530"/>
      <c r="HC25" s="525"/>
      <c r="HD25" s="526"/>
      <c r="HE25" s="526"/>
      <c r="HF25" s="526"/>
      <c r="HG25" s="526"/>
      <c r="HH25" s="526"/>
      <c r="HI25" s="526"/>
      <c r="HJ25" s="526"/>
      <c r="HK25" s="526"/>
      <c r="HL25" s="526"/>
      <c r="HM25" s="526"/>
      <c r="HN25" s="526"/>
      <c r="HO25" s="526"/>
      <c r="HP25" s="526"/>
      <c r="HQ25" s="526"/>
      <c r="HR25" s="526"/>
      <c r="HS25" s="526"/>
      <c r="HT25" s="526"/>
      <c r="HU25" s="526"/>
      <c r="HV25" s="526"/>
      <c r="HW25" s="526"/>
      <c r="HX25" s="526"/>
      <c r="HY25" s="526"/>
      <c r="HZ25" s="526"/>
      <c r="IA25" s="526"/>
      <c r="IB25" s="526"/>
      <c r="IC25" s="526"/>
      <c r="ID25" s="526"/>
      <c r="IE25" s="526"/>
      <c r="IF25" s="526"/>
      <c r="IG25" s="526"/>
      <c r="IH25" s="526"/>
      <c r="II25" s="527"/>
    </row>
    <row r="31" spans="1:245" ht="12.6" customHeight="1">
      <c r="I31" s="33"/>
      <c r="J31" s="33"/>
      <c r="K31" s="33"/>
      <c r="L31" s="33"/>
      <c r="M31" s="33"/>
      <c r="N31" s="33"/>
      <c r="O31" s="33"/>
      <c r="P31" s="33"/>
      <c r="Q31" s="33"/>
      <c r="X31" s="33"/>
      <c r="Y31" s="33"/>
    </row>
  </sheetData>
  <mergeCells count="593">
    <mergeCell ref="BI21:BJ21"/>
    <mergeCell ref="BK21:BL21"/>
    <mergeCell ref="BM21:BN21"/>
    <mergeCell ref="BO21:BP21"/>
    <mergeCell ref="BQ21:BR21"/>
    <mergeCell ref="BI23:BJ23"/>
    <mergeCell ref="BK23:BL23"/>
    <mergeCell ref="BM23:BN23"/>
    <mergeCell ref="BO23:BP23"/>
    <mergeCell ref="BQ23:BR23"/>
    <mergeCell ref="BI12:BJ12"/>
    <mergeCell ref="BK12:BL12"/>
    <mergeCell ref="BM12:BN12"/>
    <mergeCell ref="BO12:BP12"/>
    <mergeCell ref="BQ12:BR12"/>
    <mergeCell ref="BI9:BJ9"/>
    <mergeCell ref="BK9:BL9"/>
    <mergeCell ref="BM9:BN9"/>
    <mergeCell ref="BO9:BP9"/>
    <mergeCell ref="BQ9:BR9"/>
    <mergeCell ref="BI10:BJ10"/>
    <mergeCell ref="BK10:BL10"/>
    <mergeCell ref="BM10:BN10"/>
    <mergeCell ref="HC21:II21"/>
    <mergeCell ref="EL19:FU19"/>
    <mergeCell ref="FW19:GR19"/>
    <mergeCell ref="EF20:EK20"/>
    <mergeCell ref="EL15:FU15"/>
    <mergeCell ref="FW15:GR15"/>
    <mergeCell ref="FW14:GR14"/>
    <mergeCell ref="GS14:GW14"/>
    <mergeCell ref="GX14:HB14"/>
    <mergeCell ref="HC14:II14"/>
    <mergeCell ref="GS16:GW16"/>
    <mergeCell ref="FW16:GR16"/>
    <mergeCell ref="HC17:II17"/>
    <mergeCell ref="GS20:GW20"/>
    <mergeCell ref="HC15:II15"/>
    <mergeCell ref="HC16:II16"/>
    <mergeCell ref="FW20:GR20"/>
    <mergeCell ref="EL14:FU14"/>
    <mergeCell ref="EL16:FU16"/>
    <mergeCell ref="EF17:EK17"/>
    <mergeCell ref="EL17:FU17"/>
    <mergeCell ref="FW17:GR17"/>
    <mergeCell ref="GS17:GW17"/>
    <mergeCell ref="EF16:EK16"/>
    <mergeCell ref="DZ17:EE17"/>
    <mergeCell ref="DZ18:EE18"/>
    <mergeCell ref="DZ20:EE20"/>
    <mergeCell ref="DN19:DS19"/>
    <mergeCell ref="DT19:DY19"/>
    <mergeCell ref="DH17:DM17"/>
    <mergeCell ref="DN17:DS17"/>
    <mergeCell ref="BY16:BZ16"/>
    <mergeCell ref="CA16:CB16"/>
    <mergeCell ref="CC16:CG16"/>
    <mergeCell ref="CH16:DG16"/>
    <mergeCell ref="DH16:DM16"/>
    <mergeCell ref="DN16:DS16"/>
    <mergeCell ref="DT17:DY17"/>
    <mergeCell ref="DN18:DS18"/>
    <mergeCell ref="DT18:DY18"/>
    <mergeCell ref="DH19:DM19"/>
    <mergeCell ref="DT16:DY16"/>
    <mergeCell ref="DZ16:EE16"/>
    <mergeCell ref="CH17:DG17"/>
    <mergeCell ref="BY17:BZ17"/>
    <mergeCell ref="CA19:CB19"/>
    <mergeCell ref="BY14:BZ14"/>
    <mergeCell ref="CA14:CB14"/>
    <mergeCell ref="BW19:BX19"/>
    <mergeCell ref="BY19:BZ19"/>
    <mergeCell ref="BU19:BV19"/>
    <mergeCell ref="BC14:BD14"/>
    <mergeCell ref="BE14:BF14"/>
    <mergeCell ref="BS14:BT14"/>
    <mergeCell ref="BG14:BH14"/>
    <mergeCell ref="BW17:BX17"/>
    <mergeCell ref="BI14:BJ14"/>
    <mergeCell ref="BK14:BL14"/>
    <mergeCell ref="BM14:BN14"/>
    <mergeCell ref="BO14:BP14"/>
    <mergeCell ref="BQ14:BR14"/>
    <mergeCell ref="BI15:BJ15"/>
    <mergeCell ref="BK15:BL15"/>
    <mergeCell ref="BM15:BN15"/>
    <mergeCell ref="BO15:BP15"/>
    <mergeCell ref="BQ15:BR15"/>
    <mergeCell ref="BI16:BJ16"/>
    <mergeCell ref="BE19:BF19"/>
    <mergeCell ref="BI18:BJ18"/>
    <mergeCell ref="BK18:BL18"/>
    <mergeCell ref="BG19:BH19"/>
    <mergeCell ref="BS19:BT19"/>
    <mergeCell ref="BG20:BH20"/>
    <mergeCell ref="BI20:BJ20"/>
    <mergeCell ref="BK20:BL20"/>
    <mergeCell ref="BM20:BN20"/>
    <mergeCell ref="BO20:BP20"/>
    <mergeCell ref="BQ20:BR20"/>
    <mergeCell ref="BA13:BB13"/>
    <mergeCell ref="BA14:BB14"/>
    <mergeCell ref="BM17:BN17"/>
    <mergeCell ref="BO17:BP17"/>
    <mergeCell ref="BQ17:BR17"/>
    <mergeCell ref="BM18:BN18"/>
    <mergeCell ref="BO18:BP18"/>
    <mergeCell ref="BQ18:BR18"/>
    <mergeCell ref="BI19:BJ19"/>
    <mergeCell ref="BK19:BL19"/>
    <mergeCell ref="BM19:BN19"/>
    <mergeCell ref="BO19:BP19"/>
    <mergeCell ref="BQ19:BR19"/>
    <mergeCell ref="W15:AX15"/>
    <mergeCell ref="B18:G18"/>
    <mergeCell ref="H18:R18"/>
    <mergeCell ref="S18:V18"/>
    <mergeCell ref="BA19:BB19"/>
    <mergeCell ref="BA20:BB20"/>
    <mergeCell ref="AY15:AZ15"/>
    <mergeCell ref="BA15:BB15"/>
    <mergeCell ref="S16:V16"/>
    <mergeCell ref="W16:AX16"/>
    <mergeCell ref="BA16:BB16"/>
    <mergeCell ref="AY16:AZ16"/>
    <mergeCell ref="S15:V15"/>
    <mergeCell ref="B16:G16"/>
    <mergeCell ref="B19:G19"/>
    <mergeCell ref="BA17:BB17"/>
    <mergeCell ref="W17:AX17"/>
    <mergeCell ref="AY17:AZ17"/>
    <mergeCell ref="H20:R20"/>
    <mergeCell ref="S20:V20"/>
    <mergeCell ref="W20:AX20"/>
    <mergeCell ref="AY20:AZ20"/>
    <mergeCell ref="H16:R16"/>
    <mergeCell ref="W7:AX7"/>
    <mergeCell ref="S7:V7"/>
    <mergeCell ref="H7:R7"/>
    <mergeCell ref="B7:G7"/>
    <mergeCell ref="AY7:AZ7"/>
    <mergeCell ref="BA7:BB7"/>
    <mergeCell ref="B8:G8"/>
    <mergeCell ref="H8:R8"/>
    <mergeCell ref="S8:V8"/>
    <mergeCell ref="W8:AX8"/>
    <mergeCell ref="AY8:AZ8"/>
    <mergeCell ref="BA8:BB8"/>
    <mergeCell ref="DT12:DY12"/>
    <mergeCell ref="DZ12:EE12"/>
    <mergeCell ref="EF12:EK12"/>
    <mergeCell ref="EL12:FU12"/>
    <mergeCell ref="HC9:II9"/>
    <mergeCell ref="GS12:GW12"/>
    <mergeCell ref="GX12:HB12"/>
    <mergeCell ref="HC12:II12"/>
    <mergeCell ref="FW12:GR12"/>
    <mergeCell ref="EL9:FU9"/>
    <mergeCell ref="FW9:GR9"/>
    <mergeCell ref="GS9:GW9"/>
    <mergeCell ref="GX9:HB9"/>
    <mergeCell ref="DZ11:EE11"/>
    <mergeCell ref="DZ10:EE10"/>
    <mergeCell ref="EL11:FU11"/>
    <mergeCell ref="GS11:GW11"/>
    <mergeCell ref="GX11:HB11"/>
    <mergeCell ref="HC7:II7"/>
    <mergeCell ref="BY7:BZ7"/>
    <mergeCell ref="CA7:CB7"/>
    <mergeCell ref="CC7:CG7"/>
    <mergeCell ref="CH7:DG7"/>
    <mergeCell ref="DH7:DM7"/>
    <mergeCell ref="DN7:DS7"/>
    <mergeCell ref="DT7:DY7"/>
    <mergeCell ref="DZ7:EE7"/>
    <mergeCell ref="EF7:EK7"/>
    <mergeCell ref="EL7:FU7"/>
    <mergeCell ref="FW7:GR7"/>
    <mergeCell ref="GS7:GW7"/>
    <mergeCell ref="B14:G14"/>
    <mergeCell ref="H14:R14"/>
    <mergeCell ref="S14:V14"/>
    <mergeCell ref="W14:AX14"/>
    <mergeCell ref="AY14:AZ14"/>
    <mergeCell ref="H9:R9"/>
    <mergeCell ref="H10:R10"/>
    <mergeCell ref="S10:V10"/>
    <mergeCell ref="W10:AX10"/>
    <mergeCell ref="B13:G13"/>
    <mergeCell ref="H13:R13"/>
    <mergeCell ref="S13:V13"/>
    <mergeCell ref="S12:V12"/>
    <mergeCell ref="W12:AX12"/>
    <mergeCell ref="AY12:AZ12"/>
    <mergeCell ref="W13:AX13"/>
    <mergeCell ref="AY13:AZ13"/>
    <mergeCell ref="B9:G9"/>
    <mergeCell ref="B12:G12"/>
    <mergeCell ref="AY10:AZ10"/>
    <mergeCell ref="H11:R11"/>
    <mergeCell ref="S11:V11"/>
    <mergeCell ref="W11:AX11"/>
    <mergeCell ref="AY11:AZ11"/>
    <mergeCell ref="BA12:BB12"/>
    <mergeCell ref="BA25:BB25"/>
    <mergeCell ref="S19:V19"/>
    <mergeCell ref="W19:AX19"/>
    <mergeCell ref="AY19:AZ19"/>
    <mergeCell ref="B20:G20"/>
    <mergeCell ref="B10:G10"/>
    <mergeCell ref="B17:G17"/>
    <mergeCell ref="B11:G11"/>
    <mergeCell ref="B15:G15"/>
    <mergeCell ref="B24:G24"/>
    <mergeCell ref="B25:G25"/>
    <mergeCell ref="S24:V24"/>
    <mergeCell ref="W24:AX24"/>
    <mergeCell ref="AY24:AZ24"/>
    <mergeCell ref="H24:R24"/>
    <mergeCell ref="H25:R25"/>
    <mergeCell ref="H23:R23"/>
    <mergeCell ref="H12:R12"/>
    <mergeCell ref="S23:V23"/>
    <mergeCell ref="W23:AX23"/>
    <mergeCell ref="H15:R15"/>
    <mergeCell ref="H17:R17"/>
    <mergeCell ref="S17:V17"/>
    <mergeCell ref="HC20:II20"/>
    <mergeCell ref="CA20:CB20"/>
    <mergeCell ref="CC20:CG20"/>
    <mergeCell ref="CH20:DG20"/>
    <mergeCell ref="DH20:DM20"/>
    <mergeCell ref="BA23:BB23"/>
    <mergeCell ref="GS19:GW19"/>
    <mergeCell ref="GX19:HB19"/>
    <mergeCell ref="DN20:DS20"/>
    <mergeCell ref="DT20:DY20"/>
    <mergeCell ref="BU20:BV20"/>
    <mergeCell ref="BW20:BX20"/>
    <mergeCell ref="BY20:BZ20"/>
    <mergeCell ref="EL20:FU20"/>
    <mergeCell ref="HC19:II19"/>
    <mergeCell ref="DZ19:EE19"/>
    <mergeCell ref="EF19:EK19"/>
    <mergeCell ref="BA21:BB21"/>
    <mergeCell ref="CC19:CG19"/>
    <mergeCell ref="CH19:DG19"/>
    <mergeCell ref="BC21:BD21"/>
    <mergeCell ref="BE21:BF21"/>
    <mergeCell ref="BG21:BH21"/>
    <mergeCell ref="BW21:BX21"/>
    <mergeCell ref="GS24:GW24"/>
    <mergeCell ref="GX24:HB24"/>
    <mergeCell ref="DH21:DM21"/>
    <mergeCell ref="DN21:DS21"/>
    <mergeCell ref="GX21:HB21"/>
    <mergeCell ref="BG24:BH24"/>
    <mergeCell ref="B23:G23"/>
    <mergeCell ref="H19:R19"/>
    <mergeCell ref="GX20:HB20"/>
    <mergeCell ref="B21:G21"/>
    <mergeCell ref="H21:R21"/>
    <mergeCell ref="S21:V21"/>
    <mergeCell ref="W21:AX21"/>
    <mergeCell ref="AY21:AZ21"/>
    <mergeCell ref="BY21:BZ21"/>
    <mergeCell ref="CA21:CB21"/>
    <mergeCell ref="CC21:CG21"/>
    <mergeCell ref="CH21:DG21"/>
    <mergeCell ref="BS21:BT21"/>
    <mergeCell ref="BU21:BV21"/>
    <mergeCell ref="BC20:BD20"/>
    <mergeCell ref="BE20:BF20"/>
    <mergeCell ref="BS20:BT20"/>
    <mergeCell ref="BC19:BD19"/>
    <mergeCell ref="DT21:DY21"/>
    <mergeCell ref="DZ21:EE21"/>
    <mergeCell ref="EF21:EK21"/>
    <mergeCell ref="EL21:FU21"/>
    <mergeCell ref="FW21:GR21"/>
    <mergeCell ref="GS21:GW21"/>
    <mergeCell ref="DN23:DS23"/>
    <mergeCell ref="DT23:DY23"/>
    <mergeCell ref="DZ23:EE23"/>
    <mergeCell ref="EF23:EK23"/>
    <mergeCell ref="EL23:FU23"/>
    <mergeCell ref="S25:V25"/>
    <mergeCell ref="W25:AX25"/>
    <mergeCell ref="AY25:AZ25"/>
    <mergeCell ref="GX25:HB25"/>
    <mergeCell ref="BC25:BD25"/>
    <mergeCell ref="BE25:BF25"/>
    <mergeCell ref="BG25:BH25"/>
    <mergeCell ref="BS25:BT25"/>
    <mergeCell ref="BU25:BV25"/>
    <mergeCell ref="BW25:BX25"/>
    <mergeCell ref="BI25:BJ25"/>
    <mergeCell ref="BK25:BL25"/>
    <mergeCell ref="BM25:BN25"/>
    <mergeCell ref="BO25:BP25"/>
    <mergeCell ref="BQ25:BR25"/>
    <mergeCell ref="FW25:GR25"/>
    <mergeCell ref="BY25:BZ25"/>
    <mergeCell ref="CA25:CB25"/>
    <mergeCell ref="CC25:CG25"/>
    <mergeCell ref="CH25:DG25"/>
    <mergeCell ref="DH25:DM25"/>
    <mergeCell ref="DN25:DS25"/>
    <mergeCell ref="DZ25:EE25"/>
    <mergeCell ref="EF25:EK25"/>
    <mergeCell ref="BS24:BT24"/>
    <mergeCell ref="BU24:BV24"/>
    <mergeCell ref="BA24:BB24"/>
    <mergeCell ref="AY23:AZ23"/>
    <mergeCell ref="BG23:BH23"/>
    <mergeCell ref="BS23:BT23"/>
    <mergeCell ref="BU23:BV23"/>
    <mergeCell ref="BC23:BD23"/>
    <mergeCell ref="BE23:BF23"/>
    <mergeCell ref="BC24:BD24"/>
    <mergeCell ref="BE24:BF24"/>
    <mergeCell ref="BI24:BJ24"/>
    <mergeCell ref="BK24:BL24"/>
    <mergeCell ref="BM24:BN24"/>
    <mergeCell ref="BO24:BP24"/>
    <mergeCell ref="BQ24:BR24"/>
    <mergeCell ref="FW24:GR24"/>
    <mergeCell ref="CA24:CB24"/>
    <mergeCell ref="CC24:CG24"/>
    <mergeCell ref="CH24:DG24"/>
    <mergeCell ref="DN24:DS24"/>
    <mergeCell ref="HC24:II24"/>
    <mergeCell ref="GS25:GW25"/>
    <mergeCell ref="FW23:GR23"/>
    <mergeCell ref="BW23:BX23"/>
    <mergeCell ref="BY23:BZ23"/>
    <mergeCell ref="CA23:CB23"/>
    <mergeCell ref="CC23:CG23"/>
    <mergeCell ref="DT24:DY24"/>
    <mergeCell ref="DZ24:EE24"/>
    <mergeCell ref="EF24:EK24"/>
    <mergeCell ref="EL24:FU24"/>
    <mergeCell ref="DH24:DM24"/>
    <mergeCell ref="BW24:BX24"/>
    <mergeCell ref="BY24:BZ24"/>
    <mergeCell ref="GS23:GW23"/>
    <mergeCell ref="GX23:HB23"/>
    <mergeCell ref="HC23:II23"/>
    <mergeCell ref="HC25:II25"/>
    <mergeCell ref="DT25:DY25"/>
    <mergeCell ref="EL25:FU25"/>
    <mergeCell ref="CH23:DG23"/>
    <mergeCell ref="DH23:DM23"/>
    <mergeCell ref="CH12:DG12"/>
    <mergeCell ref="DH12:DM12"/>
    <mergeCell ref="BC12:BD12"/>
    <mergeCell ref="BE12:BF12"/>
    <mergeCell ref="BG12:BH12"/>
    <mergeCell ref="BS12:BT12"/>
    <mergeCell ref="BU12:BV12"/>
    <mergeCell ref="CA15:CB15"/>
    <mergeCell ref="CH14:DG14"/>
    <mergeCell ref="CA17:CB17"/>
    <mergeCell ref="CC17:CG17"/>
    <mergeCell ref="BC17:BD17"/>
    <mergeCell ref="BE17:BF17"/>
    <mergeCell ref="BG17:BH17"/>
    <mergeCell ref="BS17:BT17"/>
    <mergeCell ref="CC14:CG14"/>
    <mergeCell ref="BC16:BD16"/>
    <mergeCell ref="BE16:BF16"/>
    <mergeCell ref="BU17:BV17"/>
    <mergeCell ref="BI17:BJ17"/>
    <mergeCell ref="BK17:BL17"/>
    <mergeCell ref="GS15:GW15"/>
    <mergeCell ref="GX15:HB15"/>
    <mergeCell ref="BU15:BV15"/>
    <mergeCell ref="BW15:BX15"/>
    <mergeCell ref="BY15:BZ15"/>
    <mergeCell ref="BG16:BH16"/>
    <mergeCell ref="BS16:BT16"/>
    <mergeCell ref="BE15:BF15"/>
    <mergeCell ref="BG15:BH15"/>
    <mergeCell ref="BS15:BT15"/>
    <mergeCell ref="GX16:HB16"/>
    <mergeCell ref="DH15:DM15"/>
    <mergeCell ref="DN15:DS15"/>
    <mergeCell ref="DT15:DY15"/>
    <mergeCell ref="BU16:BV16"/>
    <mergeCell ref="BW16:BX16"/>
    <mergeCell ref="EF15:EK15"/>
    <mergeCell ref="DZ15:EE15"/>
    <mergeCell ref="CC15:CG15"/>
    <mergeCell ref="CH15:DG15"/>
    <mergeCell ref="BK16:BL16"/>
    <mergeCell ref="BM16:BN16"/>
    <mergeCell ref="BO16:BP16"/>
    <mergeCell ref="BQ16:BR16"/>
    <mergeCell ref="BU11:BV11"/>
    <mergeCell ref="BW11:BX11"/>
    <mergeCell ref="BC10:BD10"/>
    <mergeCell ref="BE10:BF10"/>
    <mergeCell ref="BC15:BD15"/>
    <mergeCell ref="BS8:BT8"/>
    <mergeCell ref="BY9:BZ9"/>
    <mergeCell ref="BY10:BZ10"/>
    <mergeCell ref="BU13:BV13"/>
    <mergeCell ref="BW13:BX13"/>
    <mergeCell ref="BI13:BJ13"/>
    <mergeCell ref="BK13:BL13"/>
    <mergeCell ref="BM13:BN13"/>
    <mergeCell ref="BO13:BP13"/>
    <mergeCell ref="BQ13:BR13"/>
    <mergeCell ref="BU8:BV8"/>
    <mergeCell ref="BW8:BX8"/>
    <mergeCell ref="BC8:BD8"/>
    <mergeCell ref="BE8:BF8"/>
    <mergeCell ref="BG8:BH8"/>
    <mergeCell ref="BC9:BD9"/>
    <mergeCell ref="BE9:BF9"/>
    <mergeCell ref="BU14:BV14"/>
    <mergeCell ref="BW14:BX14"/>
    <mergeCell ref="GX5:HB6"/>
    <mergeCell ref="BI6:BJ6"/>
    <mergeCell ref="BK6:BL6"/>
    <mergeCell ref="CC5:CG6"/>
    <mergeCell ref="BU6:BV6"/>
    <mergeCell ref="BW6:BX6"/>
    <mergeCell ref="BY6:BZ6"/>
    <mergeCell ref="BG10:BH10"/>
    <mergeCell ref="BS10:BT10"/>
    <mergeCell ref="CH8:DG8"/>
    <mergeCell ref="DH8:DM8"/>
    <mergeCell ref="DH9:DM9"/>
    <mergeCell ref="CC9:CG9"/>
    <mergeCell ref="CH9:DG9"/>
    <mergeCell ref="GX7:HB7"/>
    <mergeCell ref="GS8:GW8"/>
    <mergeCell ref="GX8:HB8"/>
    <mergeCell ref="BG7:BH7"/>
    <mergeCell ref="BS7:BT7"/>
    <mergeCell ref="BO7:BP7"/>
    <mergeCell ref="BQ7:BR7"/>
    <mergeCell ref="BI8:BJ8"/>
    <mergeCell ref="BK8:BL8"/>
    <mergeCell ref="BM8:BN8"/>
    <mergeCell ref="BA10:BB10"/>
    <mergeCell ref="BA11:BB11"/>
    <mergeCell ref="BE11:BF11"/>
    <mergeCell ref="BG11:BH11"/>
    <mergeCell ref="BU10:BV10"/>
    <mergeCell ref="BW10:BX10"/>
    <mergeCell ref="BS11:BT11"/>
    <mergeCell ref="HC5:II6"/>
    <mergeCell ref="AY6:AZ6"/>
    <mergeCell ref="BC6:BD6"/>
    <mergeCell ref="BE6:BF6"/>
    <mergeCell ref="BG6:BH6"/>
    <mergeCell ref="BS6:BT6"/>
    <mergeCell ref="CH5:DG6"/>
    <mergeCell ref="DH5:EK5"/>
    <mergeCell ref="EL5:FU6"/>
    <mergeCell ref="FV5:FV6"/>
    <mergeCell ref="FW5:GR6"/>
    <mergeCell ref="GS5:GW6"/>
    <mergeCell ref="DH6:DM6"/>
    <mergeCell ref="DN6:DS6"/>
    <mergeCell ref="DT6:DY6"/>
    <mergeCell ref="DZ6:EE6"/>
    <mergeCell ref="EF6:EK6"/>
    <mergeCell ref="BQ6:BR6"/>
    <mergeCell ref="BC11:BD11"/>
    <mergeCell ref="BO10:BP10"/>
    <mergeCell ref="BQ10:BR10"/>
    <mergeCell ref="BI11:BJ11"/>
    <mergeCell ref="BK11:BL11"/>
    <mergeCell ref="BM11:BN11"/>
    <mergeCell ref="BO11:BP11"/>
    <mergeCell ref="BQ11:BR11"/>
    <mergeCell ref="BC7:BD7"/>
    <mergeCell ref="BE7:BF7"/>
    <mergeCell ref="BO8:BP8"/>
    <mergeCell ref="BQ8:BR8"/>
    <mergeCell ref="A5:A6"/>
    <mergeCell ref="S5:V6"/>
    <mergeCell ref="W5:AX6"/>
    <mergeCell ref="AY5:CB5"/>
    <mergeCell ref="CA9:CB9"/>
    <mergeCell ref="W9:AX9"/>
    <mergeCell ref="AY9:AZ9"/>
    <mergeCell ref="BU7:BV7"/>
    <mergeCell ref="BW7:BX7"/>
    <mergeCell ref="BA9:BB9"/>
    <mergeCell ref="S9:V9"/>
    <mergeCell ref="BI7:BJ7"/>
    <mergeCell ref="BK7:BL7"/>
    <mergeCell ref="BM7:BN7"/>
    <mergeCell ref="BG9:BH9"/>
    <mergeCell ref="BS9:BT9"/>
    <mergeCell ref="BW9:BX9"/>
    <mergeCell ref="BU9:BV9"/>
    <mergeCell ref="CA6:CB6"/>
    <mergeCell ref="H5:R6"/>
    <mergeCell ref="B5:G6"/>
    <mergeCell ref="BA6:BB6"/>
    <mergeCell ref="BM6:BN6"/>
    <mergeCell ref="BO6:BP6"/>
    <mergeCell ref="DT14:DY14"/>
    <mergeCell ref="DZ14:EE14"/>
    <mergeCell ref="EF14:EK14"/>
    <mergeCell ref="DT13:DY13"/>
    <mergeCell ref="DZ13:EE13"/>
    <mergeCell ref="EF13:EK13"/>
    <mergeCell ref="DH14:DM14"/>
    <mergeCell ref="DN14:DS14"/>
    <mergeCell ref="CA13:CB13"/>
    <mergeCell ref="CC13:CG13"/>
    <mergeCell ref="CH13:DG13"/>
    <mergeCell ref="DH13:DM13"/>
    <mergeCell ref="DN13:DS13"/>
    <mergeCell ref="DT8:DY8"/>
    <mergeCell ref="DZ8:EE8"/>
    <mergeCell ref="EF8:EK8"/>
    <mergeCell ref="DN9:DS9"/>
    <mergeCell ref="DT9:DY9"/>
    <mergeCell ref="DZ9:EE9"/>
    <mergeCell ref="EF9:EK9"/>
    <mergeCell ref="DT10:DY10"/>
    <mergeCell ref="BY11:BZ11"/>
    <mergeCell ref="CA11:CB11"/>
    <mergeCell ref="CC11:CG11"/>
    <mergeCell ref="CH11:DG11"/>
    <mergeCell ref="DH11:DM11"/>
    <mergeCell ref="DN11:DS11"/>
    <mergeCell ref="DT11:DY11"/>
    <mergeCell ref="CA10:CB10"/>
    <mergeCell ref="CC10:CG10"/>
    <mergeCell ref="CH10:DG10"/>
    <mergeCell ref="DH10:DM10"/>
    <mergeCell ref="DN10:DS10"/>
    <mergeCell ref="DN8:DS8"/>
    <mergeCell ref="BY8:BZ8"/>
    <mergeCell ref="CA8:CB8"/>
    <mergeCell ref="CC8:CG8"/>
    <mergeCell ref="DN12:DS12"/>
    <mergeCell ref="W18:AX18"/>
    <mergeCell ref="AY18:AZ18"/>
    <mergeCell ref="BA18:BB18"/>
    <mergeCell ref="BC18:BD18"/>
    <mergeCell ref="BE18:BF18"/>
    <mergeCell ref="BG18:BH18"/>
    <mergeCell ref="BS18:BT18"/>
    <mergeCell ref="BU18:BV18"/>
    <mergeCell ref="BW18:BX18"/>
    <mergeCell ref="BY18:BZ18"/>
    <mergeCell ref="CA18:CB18"/>
    <mergeCell ref="CC18:CG18"/>
    <mergeCell ref="CH18:DG18"/>
    <mergeCell ref="DH18:DM18"/>
    <mergeCell ref="CA12:CB12"/>
    <mergeCell ref="CC12:CG12"/>
    <mergeCell ref="BW12:BX12"/>
    <mergeCell ref="BY12:BZ12"/>
    <mergeCell ref="BY13:BZ13"/>
    <mergeCell ref="BC13:BD13"/>
    <mergeCell ref="BE13:BF13"/>
    <mergeCell ref="BG13:BH13"/>
    <mergeCell ref="BS13:BT13"/>
    <mergeCell ref="EF18:EK18"/>
    <mergeCell ref="EL18:FU18"/>
    <mergeCell ref="FW18:GR18"/>
    <mergeCell ref="GS18:GW18"/>
    <mergeCell ref="GX18:HB18"/>
    <mergeCell ref="HC8:II8"/>
    <mergeCell ref="HC11:II11"/>
    <mergeCell ref="FW11:GR11"/>
    <mergeCell ref="HC18:II18"/>
    <mergeCell ref="HC13:II13"/>
    <mergeCell ref="GX10:HB10"/>
    <mergeCell ref="GS10:GW10"/>
    <mergeCell ref="HC10:II10"/>
    <mergeCell ref="EF11:EK11"/>
    <mergeCell ref="FW10:GR10"/>
    <mergeCell ref="EL13:FU13"/>
    <mergeCell ref="FW13:GR13"/>
    <mergeCell ref="EF10:EK10"/>
    <mergeCell ref="EL10:FU10"/>
    <mergeCell ref="GS13:GW13"/>
    <mergeCell ref="GX13:HB13"/>
    <mergeCell ref="GX17:HB17"/>
    <mergeCell ref="EL8:FU8"/>
    <mergeCell ref="FW8:GR8"/>
  </mergeCells>
  <phoneticPr fontId="9"/>
  <pageMargins left="0.19685039370078741" right="0.23622047244094491" top="0.39370078740157483" bottom="0.39370078740157483" header="0" footer="0.19685039370078741"/>
  <pageSetup paperSize="9" scale="36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リスト!$F$3:$F$5</xm:f>
          </x14:formula1>
          <xm:sqref>FV23:FV25 FV7:FV21</xm:sqref>
        </x14:dataValidation>
        <x14:dataValidation type="list" allowBlank="1" showInputMessage="1" showErrorMessage="1">
          <x14:formula1>
            <xm:f>リスト!$E$3:$E$4</xm:f>
          </x14:formula1>
          <xm:sqref>S23:V25 S7:V21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I117"/>
  <sheetViews>
    <sheetView showGridLines="0" view="pageBreakPreview" zoomScale="115" zoomScaleNormal="100" zoomScaleSheetLayoutView="115" workbookViewId="0">
      <pane ySplit="4" topLeftCell="A5" activePane="bottomLeft" state="frozen"/>
      <selection sqref="A1:G2"/>
      <selection pane="bottomLeft" activeCell="P34" sqref="P34"/>
    </sheetView>
  </sheetViews>
  <sheetFormatPr defaultColWidth="2.125" defaultRowHeight="12.6" customHeight="1"/>
  <cols>
    <col min="1" max="2" width="2.125" style="5"/>
    <col min="3" max="3" width="2.125" style="5" customWidth="1"/>
    <col min="4" max="4" width="2.125" style="5"/>
    <col min="5" max="5" width="2.125" style="5" customWidth="1"/>
    <col min="6" max="8" width="2.125" style="5"/>
    <col min="9" max="9" width="2.125" style="5" customWidth="1"/>
    <col min="10" max="13" width="2.125" style="5"/>
    <col min="14" max="14" width="2.125" style="5" customWidth="1"/>
    <col min="15" max="16384" width="2.125" style="5"/>
  </cols>
  <sheetData>
    <row r="1" spans="1:87" ht="12.6" customHeight="1">
      <c r="BX1" s="35" t="s">
        <v>58</v>
      </c>
      <c r="BY1" s="35"/>
      <c r="BZ1" s="35"/>
      <c r="CA1" s="35"/>
      <c r="CB1" s="36"/>
      <c r="CC1" s="35"/>
      <c r="CD1" s="35"/>
      <c r="CE1" s="35"/>
      <c r="CF1" s="35"/>
      <c r="CG1" s="35"/>
      <c r="CH1" s="35"/>
      <c r="CI1" s="35"/>
    </row>
    <row r="2" spans="1:87" ht="12.6" customHeight="1"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</row>
    <row r="3" spans="1:87" ht="12.6" customHeight="1">
      <c r="BX3" s="454" t="s">
        <v>82</v>
      </c>
      <c r="BY3" s="455"/>
      <c r="BZ3" s="455"/>
      <c r="CA3" s="455"/>
      <c r="CB3" s="455"/>
      <c r="CC3" s="455"/>
      <c r="CD3" s="455"/>
      <c r="CE3" s="455"/>
      <c r="CF3" s="455"/>
      <c r="CG3" s="455"/>
      <c r="CH3" s="455"/>
      <c r="CI3" s="542"/>
    </row>
    <row r="4" spans="1:87" ht="12.6" customHeight="1">
      <c r="BX4" s="457"/>
      <c r="BY4" s="458"/>
      <c r="BZ4" s="458"/>
      <c r="CA4" s="458"/>
      <c r="CB4" s="458"/>
      <c r="CC4" s="458"/>
      <c r="CD4" s="458"/>
      <c r="CE4" s="458"/>
      <c r="CF4" s="458"/>
      <c r="CG4" s="458"/>
      <c r="CH4" s="458"/>
      <c r="CI4" s="543"/>
    </row>
    <row r="5" spans="1:87" ht="12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68"/>
      <c r="BN5" s="68"/>
      <c r="BO5" s="68"/>
      <c r="BP5" s="69"/>
      <c r="BX5" s="70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2"/>
    </row>
    <row r="6" spans="1:87" ht="12" customHeight="1">
      <c r="A6" s="7"/>
      <c r="B6" s="73" t="s">
        <v>281</v>
      </c>
      <c r="C6" s="5" t="s">
        <v>89</v>
      </c>
      <c r="BM6" s="74"/>
      <c r="BN6" s="74"/>
      <c r="BO6" s="74"/>
      <c r="BP6" s="75"/>
      <c r="BX6" s="76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8"/>
    </row>
    <row r="7" spans="1:87" s="42" customFormat="1" ht="12" customHeight="1">
      <c r="A7" s="46"/>
      <c r="B7" s="139"/>
      <c r="C7" s="116" t="s">
        <v>125</v>
      </c>
      <c r="D7" s="118"/>
      <c r="E7" s="117" t="s">
        <v>102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8"/>
      <c r="BM7" s="140"/>
      <c r="BN7" s="140"/>
      <c r="BO7" s="140"/>
      <c r="BP7" s="141"/>
      <c r="BX7" s="142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4"/>
    </row>
    <row r="8" spans="1:87" s="42" customFormat="1" ht="12" customHeight="1">
      <c r="A8" s="46"/>
      <c r="B8" s="139"/>
      <c r="C8" s="145" t="s">
        <v>126</v>
      </c>
      <c r="D8" s="118"/>
      <c r="E8" s="117" t="s">
        <v>297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  <c r="BM8" s="140"/>
      <c r="BN8" s="140"/>
      <c r="BO8" s="140"/>
      <c r="BP8" s="141"/>
      <c r="BX8" s="142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4"/>
    </row>
    <row r="9" spans="1:87" s="42" customFormat="1" ht="12" customHeight="1">
      <c r="A9" s="46"/>
      <c r="C9" s="105"/>
      <c r="BM9" s="140"/>
      <c r="BN9" s="140"/>
      <c r="BO9" s="140"/>
      <c r="BP9" s="141"/>
      <c r="BX9" s="142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4"/>
    </row>
    <row r="10" spans="1:87" s="42" customFormat="1" ht="12" customHeight="1">
      <c r="A10" s="46"/>
      <c r="B10" s="146"/>
      <c r="C10" s="147"/>
      <c r="BM10" s="140"/>
      <c r="BN10" s="140"/>
      <c r="BO10" s="140"/>
      <c r="BP10" s="141"/>
      <c r="BX10" s="142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4"/>
    </row>
    <row r="11" spans="1:87" s="42" customFormat="1" ht="12" customHeight="1">
      <c r="A11" s="46"/>
      <c r="B11" s="148" t="s">
        <v>282</v>
      </c>
      <c r="C11" s="42" t="s">
        <v>127</v>
      </c>
      <c r="BM11" s="140"/>
      <c r="BN11" s="140"/>
      <c r="BO11" s="140"/>
      <c r="BP11" s="141"/>
      <c r="BX11" s="142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4"/>
    </row>
    <row r="12" spans="1:87" s="42" customFormat="1" ht="12" customHeight="1">
      <c r="A12" s="46"/>
      <c r="B12" s="146"/>
      <c r="C12" s="147" t="s">
        <v>135</v>
      </c>
      <c r="D12" s="147"/>
      <c r="BM12" s="140"/>
      <c r="BN12" s="140"/>
      <c r="BO12" s="140"/>
      <c r="BP12" s="141"/>
      <c r="BX12" s="142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4"/>
    </row>
    <row r="13" spans="1:87" s="42" customFormat="1" ht="12" customHeight="1">
      <c r="A13" s="46"/>
      <c r="B13" s="146"/>
      <c r="C13" s="147"/>
      <c r="BM13" s="140"/>
      <c r="BN13" s="140"/>
      <c r="BO13" s="140"/>
      <c r="BP13" s="141"/>
      <c r="BX13" s="142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4"/>
    </row>
    <row r="14" spans="1:87" s="42" customFormat="1" ht="12" customHeight="1">
      <c r="A14" s="46"/>
      <c r="B14" s="148" t="s">
        <v>283</v>
      </c>
      <c r="C14" s="42" t="s">
        <v>128</v>
      </c>
      <c r="BM14" s="140"/>
      <c r="BN14" s="140"/>
      <c r="BO14" s="140"/>
      <c r="BP14" s="141"/>
      <c r="BX14" s="142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4"/>
    </row>
    <row r="15" spans="1:87" s="42" customFormat="1" ht="12" customHeight="1">
      <c r="A15" s="46"/>
      <c r="C15" s="42" t="s">
        <v>129</v>
      </c>
      <c r="D15" s="42" t="s">
        <v>130</v>
      </c>
      <c r="BM15" s="140"/>
      <c r="BN15" s="140"/>
      <c r="BO15" s="140"/>
      <c r="BP15" s="141"/>
      <c r="BX15" s="142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4"/>
    </row>
    <row r="16" spans="1:87" s="42" customFormat="1" ht="12" customHeight="1">
      <c r="A16" s="46"/>
      <c r="D16" s="42" t="s">
        <v>131</v>
      </c>
      <c r="J16" s="42" t="s">
        <v>132</v>
      </c>
      <c r="K16" s="42" t="s">
        <v>470</v>
      </c>
      <c r="Q16" s="42" t="s">
        <v>586</v>
      </c>
      <c r="BM16" s="140"/>
      <c r="BN16" s="140"/>
      <c r="BO16" s="140"/>
      <c r="BP16" s="141"/>
      <c r="BX16" s="142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4"/>
    </row>
    <row r="17" spans="1:87" s="42" customFormat="1" ht="12" customHeight="1">
      <c r="A17" s="46"/>
      <c r="D17" s="42" t="s">
        <v>133</v>
      </c>
      <c r="J17" s="42" t="s">
        <v>132</v>
      </c>
      <c r="K17" s="42" t="s">
        <v>472</v>
      </c>
      <c r="Q17" s="42" t="s">
        <v>471</v>
      </c>
      <c r="AA17" s="42" t="s">
        <v>562</v>
      </c>
      <c r="BM17" s="140"/>
      <c r="BN17" s="140"/>
      <c r="BO17" s="140"/>
      <c r="BP17" s="141"/>
      <c r="BX17" s="142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4"/>
    </row>
    <row r="18" spans="1:87" s="42" customFormat="1" ht="12" customHeight="1">
      <c r="A18" s="46"/>
      <c r="D18" s="42" t="s">
        <v>134</v>
      </c>
      <c r="J18" s="42" t="s">
        <v>132</v>
      </c>
      <c r="K18" s="42" t="s">
        <v>135</v>
      </c>
      <c r="BM18" s="140"/>
      <c r="BN18" s="140"/>
      <c r="BO18" s="140"/>
      <c r="BP18" s="141"/>
      <c r="BX18" s="142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4"/>
    </row>
    <row r="19" spans="1:87" s="42" customFormat="1" ht="12" customHeight="1">
      <c r="A19" s="46"/>
      <c r="BM19" s="140"/>
      <c r="BN19" s="140"/>
      <c r="BO19" s="140"/>
      <c r="BP19" s="141"/>
      <c r="BX19" s="142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4"/>
    </row>
    <row r="20" spans="1:87" s="42" customFormat="1" ht="12" customHeight="1">
      <c r="A20" s="46"/>
      <c r="C20" s="42" t="s">
        <v>136</v>
      </c>
      <c r="D20" s="42" t="s">
        <v>137</v>
      </c>
      <c r="BM20" s="140"/>
      <c r="BN20" s="140"/>
      <c r="BO20" s="140"/>
      <c r="BP20" s="141"/>
      <c r="BX20" s="142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4"/>
    </row>
    <row r="21" spans="1:87" s="42" customFormat="1" ht="12" customHeight="1">
      <c r="A21" s="46"/>
      <c r="D21" s="42" t="s">
        <v>138</v>
      </c>
      <c r="J21" s="42" t="s">
        <v>139</v>
      </c>
      <c r="K21" s="42" t="s">
        <v>135</v>
      </c>
      <c r="BM21" s="140"/>
      <c r="BN21" s="140"/>
      <c r="BO21" s="140"/>
      <c r="BP21" s="141"/>
      <c r="BX21" s="142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4"/>
    </row>
    <row r="22" spans="1:87" s="42" customFormat="1" ht="12" customHeight="1">
      <c r="A22" s="46"/>
      <c r="D22" s="42" t="s">
        <v>140</v>
      </c>
      <c r="J22" s="42" t="s">
        <v>139</v>
      </c>
      <c r="K22" s="105" t="s">
        <v>608</v>
      </c>
      <c r="BM22" s="140"/>
      <c r="BN22" s="140"/>
      <c r="BO22" s="140"/>
      <c r="BP22" s="141"/>
      <c r="BX22" s="142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4"/>
    </row>
    <row r="23" spans="1:87" s="42" customFormat="1" ht="12" customHeight="1">
      <c r="A23" s="46"/>
      <c r="E23" s="42" t="s">
        <v>89</v>
      </c>
      <c r="BM23" s="140"/>
      <c r="BN23" s="140"/>
      <c r="BO23" s="140"/>
      <c r="BP23" s="141"/>
      <c r="BX23" s="142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4"/>
    </row>
    <row r="24" spans="1:87" s="42" customFormat="1" ht="12" customHeight="1">
      <c r="A24" s="46"/>
      <c r="E24" s="116" t="s">
        <v>125</v>
      </c>
      <c r="F24" s="118"/>
      <c r="G24" s="117" t="s">
        <v>102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8"/>
      <c r="BM24" s="140"/>
      <c r="BN24" s="140"/>
      <c r="BO24" s="140"/>
      <c r="BP24" s="141"/>
      <c r="BX24" s="142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4"/>
    </row>
    <row r="25" spans="1:87" s="42" customFormat="1" ht="12" customHeight="1">
      <c r="A25" s="46"/>
      <c r="E25" s="145"/>
      <c r="F25" s="118"/>
      <c r="G25" s="149" t="s">
        <v>135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8"/>
      <c r="BM25" s="140"/>
      <c r="BN25" s="140"/>
      <c r="BO25" s="140"/>
      <c r="BP25" s="141"/>
      <c r="BX25" s="142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4"/>
    </row>
    <row r="26" spans="1:87" s="42" customFormat="1" ht="12.6" customHeight="1">
      <c r="A26" s="46"/>
      <c r="BP26" s="47"/>
      <c r="BX26" s="142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4"/>
    </row>
    <row r="27" spans="1:87" s="42" customFormat="1" ht="12.6" customHeight="1">
      <c r="A27" s="46"/>
      <c r="C27" s="42" t="s">
        <v>141</v>
      </c>
      <c r="D27" s="42" t="s">
        <v>142</v>
      </c>
      <c r="BP27" s="47"/>
      <c r="BX27" s="142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4"/>
    </row>
    <row r="28" spans="1:87" s="42" customFormat="1" ht="12.6" customHeight="1">
      <c r="A28" s="46"/>
      <c r="D28" s="105" t="s">
        <v>279</v>
      </c>
      <c r="BP28" s="47"/>
      <c r="BX28" s="142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4"/>
    </row>
    <row r="29" spans="1:87" s="42" customFormat="1" ht="12.6" customHeight="1">
      <c r="A29" s="46"/>
      <c r="D29" s="105"/>
      <c r="BP29" s="47"/>
      <c r="BX29" s="142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4"/>
    </row>
    <row r="30" spans="1:87" s="42" customFormat="1" ht="12.6" customHeight="1">
      <c r="A30" s="46"/>
      <c r="D30" s="105" t="s">
        <v>567</v>
      </c>
      <c r="BP30" s="47"/>
      <c r="BX30" s="142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4"/>
    </row>
    <row r="31" spans="1:87" s="42" customFormat="1" ht="12.75" customHeight="1">
      <c r="A31" s="46"/>
      <c r="D31" s="105"/>
      <c r="E31" s="42" t="s">
        <v>537</v>
      </c>
      <c r="BP31" s="47"/>
      <c r="BX31" s="142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4"/>
    </row>
    <row r="32" spans="1:87" s="42" customFormat="1" ht="12.75" customHeight="1">
      <c r="A32" s="46"/>
      <c r="E32" s="105"/>
      <c r="F32" s="42" t="s">
        <v>525</v>
      </c>
      <c r="BP32" s="47"/>
      <c r="BX32" s="142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4"/>
    </row>
    <row r="33" spans="1:87" s="42" customFormat="1" ht="12.75" customHeight="1">
      <c r="A33" s="46"/>
      <c r="E33" s="105"/>
      <c r="G33" s="42" t="s">
        <v>302</v>
      </c>
      <c r="BP33" s="47"/>
      <c r="BX33" s="142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4"/>
    </row>
    <row r="34" spans="1:87" s="42" customFormat="1" ht="12.75" customHeight="1">
      <c r="A34" s="46"/>
      <c r="E34" s="105"/>
      <c r="G34" s="42" t="s">
        <v>568</v>
      </c>
      <c r="BP34" s="47"/>
      <c r="BX34" s="142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4"/>
    </row>
    <row r="35" spans="1:87" s="42" customFormat="1" ht="12.75" customHeight="1">
      <c r="A35" s="46"/>
      <c r="E35" s="105"/>
      <c r="BP35" s="47"/>
      <c r="BX35" s="142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4"/>
    </row>
    <row r="36" spans="1:87" s="42" customFormat="1" ht="12.75" customHeight="1">
      <c r="A36" s="46"/>
      <c r="E36" s="105"/>
      <c r="F36" s="42" t="s">
        <v>526</v>
      </c>
      <c r="BP36" s="47"/>
      <c r="BX36" s="142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4"/>
    </row>
    <row r="37" spans="1:87" s="42" customFormat="1" ht="12.6" customHeight="1">
      <c r="A37" s="46"/>
      <c r="E37" s="105"/>
      <c r="G37" s="42" t="s">
        <v>529</v>
      </c>
      <c r="M37" s="42" t="s">
        <v>527</v>
      </c>
      <c r="N37" s="42" t="s">
        <v>530</v>
      </c>
      <c r="BP37" s="47"/>
      <c r="BX37" s="142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4"/>
    </row>
    <row r="38" spans="1:87" s="42" customFormat="1" ht="12.6" customHeight="1">
      <c r="A38" s="46"/>
      <c r="D38" s="105"/>
      <c r="BP38" s="47"/>
      <c r="BX38" s="142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4"/>
    </row>
    <row r="39" spans="1:87" s="42" customFormat="1" ht="12.6" customHeight="1">
      <c r="A39" s="46"/>
      <c r="D39" s="105"/>
      <c r="E39" s="42" t="s">
        <v>538</v>
      </c>
      <c r="BP39" s="47"/>
      <c r="BX39" s="142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4"/>
    </row>
    <row r="40" spans="1:87" s="42" customFormat="1" ht="12.6" customHeight="1">
      <c r="A40" s="46"/>
      <c r="E40" s="105"/>
      <c r="F40" s="42" t="s">
        <v>525</v>
      </c>
      <c r="BP40" s="47"/>
      <c r="BX40" s="142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4"/>
    </row>
    <row r="41" spans="1:87" s="42" customFormat="1" ht="12.6" customHeight="1">
      <c r="A41" s="46"/>
      <c r="E41" s="105"/>
      <c r="G41" s="42" t="s">
        <v>302</v>
      </c>
      <c r="BP41" s="47"/>
      <c r="BX41" s="142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4"/>
    </row>
    <row r="42" spans="1:87" s="42" customFormat="1" ht="12.6" customHeight="1">
      <c r="A42" s="46"/>
      <c r="E42" s="105"/>
      <c r="G42" s="42" t="s">
        <v>543</v>
      </c>
      <c r="BP42" s="47"/>
      <c r="BX42" s="142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4"/>
    </row>
    <row r="43" spans="1:87" s="42" customFormat="1" ht="12.6" customHeight="1">
      <c r="A43" s="46"/>
      <c r="E43" s="105"/>
      <c r="BP43" s="47"/>
      <c r="BX43" s="142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4"/>
    </row>
    <row r="44" spans="1:87" s="42" customFormat="1" ht="12.6" customHeight="1">
      <c r="A44" s="46"/>
      <c r="E44" s="105"/>
      <c r="F44" s="42" t="s">
        <v>526</v>
      </c>
      <c r="BP44" s="47"/>
      <c r="BX44" s="142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4"/>
    </row>
    <row r="45" spans="1:87" s="42" customFormat="1" ht="12.6" customHeight="1">
      <c r="A45" s="46"/>
      <c r="E45" s="105"/>
      <c r="G45" s="42" t="s">
        <v>529</v>
      </c>
      <c r="M45" s="42" t="s">
        <v>527</v>
      </c>
      <c r="N45" s="42" t="s">
        <v>530</v>
      </c>
      <c r="BP45" s="47"/>
      <c r="BX45" s="142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  <c r="CI45" s="144"/>
    </row>
    <row r="46" spans="1:87" s="42" customFormat="1" ht="12.6" customHeight="1">
      <c r="A46" s="46"/>
      <c r="D46" s="105"/>
      <c r="BP46" s="47"/>
      <c r="BX46" s="142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4"/>
    </row>
    <row r="47" spans="1:87" s="42" customFormat="1" ht="12.6" customHeight="1">
      <c r="A47" s="46"/>
      <c r="D47" s="105"/>
      <c r="F47" s="42" t="s">
        <v>539</v>
      </c>
      <c r="BP47" s="47"/>
      <c r="BX47" s="142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  <c r="CI47" s="144"/>
    </row>
    <row r="48" spans="1:87" s="42" customFormat="1" ht="12.6" customHeight="1">
      <c r="A48" s="46"/>
      <c r="D48" s="105"/>
      <c r="G48" s="150" t="s">
        <v>540</v>
      </c>
      <c r="BP48" s="47"/>
      <c r="BX48" s="142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4"/>
    </row>
    <row r="49" spans="1:87" s="42" customFormat="1" ht="12.6" customHeight="1">
      <c r="A49" s="46"/>
      <c r="D49" s="105"/>
      <c r="BP49" s="47"/>
      <c r="BX49" s="142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4"/>
    </row>
    <row r="50" spans="1:87" s="42" customFormat="1" ht="12.6" customHeight="1">
      <c r="A50" s="46"/>
      <c r="D50" s="105" t="s">
        <v>569</v>
      </c>
      <c r="BP50" s="47"/>
      <c r="BX50" s="142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  <c r="CI50" s="144"/>
    </row>
    <row r="51" spans="1:87" s="42" customFormat="1" ht="12.6" customHeight="1">
      <c r="A51" s="46"/>
      <c r="D51" s="105"/>
      <c r="E51" s="42" t="s">
        <v>528</v>
      </c>
      <c r="BP51" s="47"/>
      <c r="BX51" s="142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4"/>
    </row>
    <row r="52" spans="1:87" s="42" customFormat="1" ht="12.6" customHeight="1">
      <c r="A52" s="46"/>
      <c r="D52" s="105"/>
      <c r="F52" s="42" t="s">
        <v>525</v>
      </c>
      <c r="BP52" s="47"/>
      <c r="BX52" s="142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4"/>
    </row>
    <row r="53" spans="1:87" s="42" customFormat="1" ht="12.6" customHeight="1">
      <c r="A53" s="46"/>
      <c r="D53" s="105"/>
      <c r="G53" s="42" t="s">
        <v>396</v>
      </c>
      <c r="BP53" s="47"/>
      <c r="BX53" s="142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  <c r="CI53" s="144"/>
    </row>
    <row r="54" spans="1:87" s="42" customFormat="1" ht="12.6" customHeight="1">
      <c r="A54" s="46"/>
      <c r="D54" s="105"/>
      <c r="G54" s="42" t="s">
        <v>573</v>
      </c>
      <c r="BP54" s="47"/>
      <c r="BX54" s="142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4"/>
    </row>
    <row r="55" spans="1:87" s="42" customFormat="1" ht="12.6" customHeight="1">
      <c r="A55" s="46"/>
      <c r="D55" s="105"/>
      <c r="BP55" s="47"/>
      <c r="BX55" s="142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4"/>
    </row>
    <row r="56" spans="1:87" s="42" customFormat="1" ht="12.6" customHeight="1">
      <c r="A56" s="46"/>
      <c r="D56" s="105"/>
      <c r="F56" s="42" t="s">
        <v>526</v>
      </c>
      <c r="BP56" s="47"/>
      <c r="BX56" s="142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4"/>
    </row>
    <row r="57" spans="1:87" s="42" customFormat="1" ht="12.6" customHeight="1">
      <c r="A57" s="46"/>
      <c r="D57" s="105"/>
      <c r="G57" s="42" t="s">
        <v>529</v>
      </c>
      <c r="L57" s="42" t="s">
        <v>527</v>
      </c>
      <c r="M57" s="42" t="s">
        <v>530</v>
      </c>
      <c r="BP57" s="47"/>
      <c r="BX57" s="142"/>
      <c r="BY57" s="143"/>
      <c r="BZ57" s="143"/>
      <c r="CA57" s="143"/>
      <c r="CB57" s="143"/>
      <c r="CC57" s="143"/>
      <c r="CD57" s="143"/>
      <c r="CE57" s="143"/>
      <c r="CF57" s="143"/>
      <c r="CG57" s="143"/>
      <c r="CH57" s="143"/>
      <c r="CI57" s="144"/>
    </row>
    <row r="58" spans="1:87" s="42" customFormat="1" ht="12.6" customHeight="1">
      <c r="A58" s="46"/>
      <c r="D58" s="105"/>
      <c r="BP58" s="47"/>
      <c r="BX58" s="142"/>
      <c r="BY58" s="143"/>
      <c r="BZ58" s="143"/>
      <c r="CA58" s="143"/>
      <c r="CB58" s="143"/>
      <c r="CC58" s="143"/>
      <c r="CD58" s="143"/>
      <c r="CE58" s="143"/>
      <c r="CF58" s="143"/>
      <c r="CG58" s="143"/>
      <c r="CH58" s="143"/>
      <c r="CI58" s="144"/>
    </row>
    <row r="59" spans="1:87" s="42" customFormat="1" ht="12.6" customHeight="1">
      <c r="A59" s="46"/>
      <c r="D59" s="105"/>
      <c r="E59" s="42" t="s">
        <v>531</v>
      </c>
      <c r="BP59" s="47"/>
      <c r="BX59" s="142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4"/>
    </row>
    <row r="60" spans="1:87" s="42" customFormat="1" ht="12.6" customHeight="1">
      <c r="A60" s="46"/>
      <c r="D60" s="105"/>
      <c r="F60" s="42" t="s">
        <v>532</v>
      </c>
      <c r="BP60" s="47"/>
      <c r="BX60" s="142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4"/>
    </row>
    <row r="61" spans="1:87" s="42" customFormat="1" ht="12.6" customHeight="1">
      <c r="A61" s="46"/>
      <c r="D61" s="105"/>
      <c r="F61" s="42" t="s">
        <v>525</v>
      </c>
      <c r="BP61" s="47"/>
      <c r="BX61" s="142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4"/>
    </row>
    <row r="62" spans="1:87" s="42" customFormat="1" ht="12.6" customHeight="1">
      <c r="A62" s="46"/>
      <c r="D62" s="105"/>
      <c r="G62" s="42" t="s">
        <v>476</v>
      </c>
      <c r="BP62" s="47"/>
      <c r="BX62" s="142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4"/>
    </row>
    <row r="63" spans="1:87" s="42" customFormat="1" ht="12.6" customHeight="1">
      <c r="A63" s="46"/>
      <c r="D63" s="105"/>
      <c r="G63" s="42" t="s">
        <v>542</v>
      </c>
      <c r="BP63" s="47"/>
      <c r="BX63" s="142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4"/>
    </row>
    <row r="64" spans="1:87" s="42" customFormat="1" ht="12.6" customHeight="1">
      <c r="A64" s="46"/>
      <c r="D64" s="105"/>
      <c r="BP64" s="47"/>
      <c r="BX64" s="142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4"/>
    </row>
    <row r="65" spans="1:87" s="42" customFormat="1" ht="12.6" customHeight="1">
      <c r="A65" s="46"/>
      <c r="D65" s="105"/>
      <c r="F65" s="42" t="s">
        <v>533</v>
      </c>
      <c r="BP65" s="47"/>
      <c r="BX65" s="142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4"/>
    </row>
    <row r="66" spans="1:87" s="42" customFormat="1" ht="12.6" customHeight="1">
      <c r="A66" s="46"/>
      <c r="D66" s="105"/>
      <c r="G66" s="151" t="s">
        <v>534</v>
      </c>
      <c r="BP66" s="47"/>
      <c r="BX66" s="142"/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4"/>
    </row>
    <row r="67" spans="1:87" s="42" customFormat="1" ht="12.6" customHeight="1">
      <c r="A67" s="46"/>
      <c r="D67" s="105"/>
      <c r="BP67" s="47"/>
      <c r="BX67" s="142"/>
      <c r="BY67" s="143"/>
      <c r="BZ67" s="143"/>
      <c r="CA67" s="143"/>
      <c r="CB67" s="143"/>
      <c r="CC67" s="143"/>
      <c r="CD67" s="143"/>
      <c r="CE67" s="143"/>
      <c r="CF67" s="143"/>
      <c r="CG67" s="143"/>
      <c r="CH67" s="143"/>
      <c r="CI67" s="144"/>
    </row>
    <row r="68" spans="1:87" s="42" customFormat="1" ht="12.6" customHeight="1">
      <c r="A68" s="46"/>
      <c r="D68" s="105" t="s">
        <v>571</v>
      </c>
      <c r="BP68" s="47"/>
      <c r="BX68" s="142"/>
      <c r="BY68" s="143"/>
      <c r="BZ68" s="143"/>
      <c r="CA68" s="143"/>
      <c r="CB68" s="143"/>
      <c r="CC68" s="143"/>
      <c r="CD68" s="143"/>
      <c r="CE68" s="143"/>
      <c r="CF68" s="143"/>
      <c r="CG68" s="143"/>
      <c r="CH68" s="143"/>
      <c r="CI68" s="144"/>
    </row>
    <row r="69" spans="1:87" s="42" customFormat="1" ht="12.6" customHeight="1">
      <c r="A69" s="46"/>
      <c r="D69" s="105"/>
      <c r="E69" s="42" t="s">
        <v>570</v>
      </c>
      <c r="BP69" s="47"/>
      <c r="BX69" s="142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4"/>
    </row>
    <row r="70" spans="1:87" s="42" customFormat="1" ht="12.6" customHeight="1">
      <c r="A70" s="46"/>
      <c r="D70" s="105"/>
      <c r="F70" s="42" t="s">
        <v>544</v>
      </c>
      <c r="BP70" s="47"/>
      <c r="BX70" s="142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4"/>
    </row>
    <row r="71" spans="1:87" s="42" customFormat="1" ht="12.6" customHeight="1">
      <c r="A71" s="46"/>
      <c r="D71" s="105"/>
      <c r="F71" s="42" t="s">
        <v>545</v>
      </c>
      <c r="BP71" s="47"/>
      <c r="BX71" s="142"/>
      <c r="BY71" s="143"/>
      <c r="BZ71" s="143"/>
      <c r="CA71" s="143"/>
      <c r="CB71" s="143"/>
      <c r="CC71" s="143"/>
      <c r="CD71" s="143"/>
      <c r="CE71" s="143"/>
      <c r="CF71" s="143"/>
      <c r="CG71" s="143"/>
      <c r="CH71" s="143"/>
      <c r="CI71" s="144"/>
    </row>
    <row r="72" spans="1:87" s="42" customFormat="1" ht="12.6" customHeight="1">
      <c r="A72" s="46"/>
      <c r="D72" s="105"/>
      <c r="G72" s="42" t="s">
        <v>525</v>
      </c>
      <c r="BP72" s="47"/>
      <c r="BX72" s="142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4"/>
    </row>
    <row r="73" spans="1:87" s="42" customFormat="1" ht="12.6" customHeight="1">
      <c r="A73" s="46"/>
      <c r="D73" s="105"/>
      <c r="H73" s="42" t="s">
        <v>396</v>
      </c>
      <c r="BP73" s="47"/>
      <c r="BX73" s="142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44"/>
    </row>
    <row r="74" spans="1:87" s="42" customFormat="1" ht="12.6" customHeight="1">
      <c r="A74" s="46"/>
      <c r="D74" s="105"/>
      <c r="H74" s="42" t="s">
        <v>542</v>
      </c>
      <c r="BP74" s="47"/>
      <c r="BX74" s="142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4"/>
    </row>
    <row r="75" spans="1:87" s="42" customFormat="1" ht="12.6" customHeight="1">
      <c r="A75" s="46"/>
      <c r="D75" s="105"/>
      <c r="BP75" s="47"/>
      <c r="BX75" s="142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44"/>
    </row>
    <row r="76" spans="1:87" s="42" customFormat="1" ht="12.6" customHeight="1">
      <c r="A76" s="46"/>
      <c r="D76" s="105"/>
      <c r="G76" s="42" t="s">
        <v>533</v>
      </c>
      <c r="BP76" s="47"/>
      <c r="BX76" s="142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4"/>
    </row>
    <row r="77" spans="1:87" s="42" customFormat="1" ht="12.6" customHeight="1">
      <c r="A77" s="46"/>
      <c r="D77" s="105"/>
      <c r="H77" s="150" t="s">
        <v>546</v>
      </c>
      <c r="BP77" s="47"/>
      <c r="BX77" s="142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4"/>
    </row>
    <row r="78" spans="1:87" s="42" customFormat="1" ht="12.6" customHeight="1">
      <c r="A78" s="46"/>
      <c r="D78" s="105"/>
      <c r="BP78" s="47"/>
      <c r="BX78" s="142"/>
      <c r="BY78" s="143"/>
      <c r="BZ78" s="143"/>
      <c r="CA78" s="143"/>
      <c r="CB78" s="143"/>
      <c r="CC78" s="143"/>
      <c r="CD78" s="143"/>
      <c r="CE78" s="143"/>
      <c r="CF78" s="143"/>
      <c r="CG78" s="143"/>
      <c r="CH78" s="143"/>
      <c r="CI78" s="144"/>
    </row>
    <row r="79" spans="1:87" s="42" customFormat="1" ht="12.6" customHeight="1">
      <c r="A79" s="46"/>
      <c r="D79" s="105"/>
      <c r="F79" s="42" t="s">
        <v>547</v>
      </c>
      <c r="BP79" s="47"/>
      <c r="BX79" s="142"/>
      <c r="BY79" s="143"/>
      <c r="BZ79" s="143"/>
      <c r="CA79" s="143"/>
      <c r="CB79" s="143"/>
      <c r="CC79" s="143"/>
      <c r="CD79" s="143"/>
      <c r="CE79" s="143"/>
      <c r="CF79" s="143"/>
      <c r="CG79" s="143"/>
      <c r="CH79" s="143"/>
      <c r="CI79" s="144"/>
    </row>
    <row r="80" spans="1:87" s="42" customFormat="1" ht="12.6" customHeight="1">
      <c r="A80" s="46"/>
      <c r="D80" s="105"/>
      <c r="G80" s="42" t="s">
        <v>525</v>
      </c>
      <c r="BP80" s="47"/>
      <c r="BX80" s="142"/>
      <c r="BY80" s="143"/>
      <c r="BZ80" s="143"/>
      <c r="CA80" s="143"/>
      <c r="CB80" s="143"/>
      <c r="CC80" s="143"/>
      <c r="CD80" s="143"/>
      <c r="CE80" s="143"/>
      <c r="CF80" s="143"/>
      <c r="CG80" s="143"/>
      <c r="CH80" s="143"/>
      <c r="CI80" s="144"/>
    </row>
    <row r="81" spans="1:87" s="42" customFormat="1" ht="12.6" customHeight="1">
      <c r="A81" s="46"/>
      <c r="D81" s="105"/>
      <c r="H81" s="42" t="s">
        <v>396</v>
      </c>
      <c r="BP81" s="47"/>
      <c r="BX81" s="142"/>
      <c r="BY81" s="143"/>
      <c r="BZ81" s="143"/>
      <c r="CA81" s="143"/>
      <c r="CB81" s="143"/>
      <c r="CC81" s="143"/>
      <c r="CD81" s="143"/>
      <c r="CE81" s="143"/>
      <c r="CF81" s="143"/>
      <c r="CG81" s="143"/>
      <c r="CH81" s="143"/>
      <c r="CI81" s="144"/>
    </row>
    <row r="82" spans="1:87" s="42" customFormat="1" ht="12.6" customHeight="1">
      <c r="A82" s="46"/>
      <c r="D82" s="105"/>
      <c r="H82" s="42" t="s">
        <v>572</v>
      </c>
      <c r="BP82" s="47"/>
      <c r="BX82" s="142"/>
      <c r="BY82" s="143"/>
      <c r="BZ82" s="143"/>
      <c r="CA82" s="143"/>
      <c r="CB82" s="143"/>
      <c r="CC82" s="143"/>
      <c r="CD82" s="143"/>
      <c r="CE82" s="143"/>
      <c r="CF82" s="143"/>
      <c r="CG82" s="143"/>
      <c r="CH82" s="143"/>
      <c r="CI82" s="144"/>
    </row>
    <row r="83" spans="1:87" s="42" customFormat="1" ht="12.6" customHeight="1">
      <c r="A83" s="46"/>
      <c r="D83" s="105"/>
      <c r="BP83" s="47"/>
      <c r="BX83" s="142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4"/>
    </row>
    <row r="84" spans="1:87" s="42" customFormat="1" ht="12.6" customHeight="1">
      <c r="A84" s="46"/>
      <c r="D84" s="105"/>
      <c r="G84" s="42" t="s">
        <v>526</v>
      </c>
      <c r="BP84" s="47"/>
      <c r="BX84" s="142"/>
      <c r="BY84" s="143"/>
      <c r="BZ84" s="143"/>
      <c r="CA84" s="143"/>
      <c r="CB84" s="143"/>
      <c r="CC84" s="143"/>
      <c r="CD84" s="143"/>
      <c r="CE84" s="143"/>
      <c r="CF84" s="143"/>
      <c r="CG84" s="143"/>
      <c r="CH84" s="143"/>
      <c r="CI84" s="144"/>
    </row>
    <row r="85" spans="1:87" s="42" customFormat="1" ht="12.6" customHeight="1">
      <c r="A85" s="46"/>
      <c r="D85" s="105"/>
      <c r="H85" s="42" t="s">
        <v>529</v>
      </c>
      <c r="N85" s="42" t="s">
        <v>527</v>
      </c>
      <c r="O85" s="42" t="s">
        <v>530</v>
      </c>
      <c r="V85" s="42" t="s">
        <v>550</v>
      </c>
      <c r="BP85" s="47"/>
      <c r="BX85" s="142"/>
      <c r="BY85" s="143"/>
      <c r="BZ85" s="143"/>
      <c r="CA85" s="143"/>
      <c r="CB85" s="143"/>
      <c r="CC85" s="143"/>
      <c r="CD85" s="143"/>
      <c r="CE85" s="143"/>
      <c r="CF85" s="143"/>
      <c r="CG85" s="143"/>
      <c r="CH85" s="143"/>
      <c r="CI85" s="144"/>
    </row>
    <row r="86" spans="1:87" s="42" customFormat="1" ht="12.6" customHeight="1">
      <c r="A86" s="46"/>
      <c r="D86" s="105"/>
      <c r="H86" s="42" t="s">
        <v>548</v>
      </c>
      <c r="N86" s="42" t="s">
        <v>527</v>
      </c>
      <c r="O86" s="42" t="s">
        <v>549</v>
      </c>
      <c r="BP86" s="47"/>
      <c r="BX86" s="142"/>
      <c r="BY86" s="143"/>
      <c r="BZ86" s="143"/>
      <c r="CA86" s="143"/>
      <c r="CB86" s="143"/>
      <c r="CC86" s="143"/>
      <c r="CD86" s="143"/>
      <c r="CE86" s="143"/>
      <c r="CF86" s="143"/>
      <c r="CG86" s="143"/>
      <c r="CH86" s="143"/>
      <c r="CI86" s="144"/>
    </row>
    <row r="87" spans="1:87" s="42" customFormat="1" ht="12.6" customHeight="1">
      <c r="A87" s="46"/>
      <c r="D87" s="105"/>
      <c r="BP87" s="47"/>
      <c r="BX87" s="142"/>
      <c r="BY87" s="143"/>
      <c r="BZ87" s="143"/>
      <c r="CA87" s="143"/>
      <c r="CB87" s="143"/>
      <c r="CC87" s="143"/>
      <c r="CD87" s="143"/>
      <c r="CE87" s="143"/>
      <c r="CF87" s="143"/>
      <c r="CG87" s="143"/>
      <c r="CH87" s="143"/>
      <c r="CI87" s="144"/>
    </row>
    <row r="88" spans="1:87" s="42" customFormat="1" ht="12.6" customHeight="1">
      <c r="A88" s="46"/>
      <c r="D88" s="105"/>
      <c r="F88" s="42" t="s">
        <v>551</v>
      </c>
      <c r="BP88" s="47"/>
      <c r="BX88" s="142"/>
      <c r="BY88" s="143"/>
      <c r="BZ88" s="143"/>
      <c r="CA88" s="143"/>
      <c r="CB88" s="143"/>
      <c r="CC88" s="143"/>
      <c r="CD88" s="143"/>
      <c r="CE88" s="143"/>
      <c r="CF88" s="143"/>
      <c r="CG88" s="143"/>
      <c r="CH88" s="143"/>
      <c r="CI88" s="144"/>
    </row>
    <row r="89" spans="1:87" s="42" customFormat="1" ht="12.6" customHeight="1">
      <c r="A89" s="46"/>
      <c r="D89" s="105"/>
      <c r="G89" s="42" t="s">
        <v>525</v>
      </c>
      <c r="BP89" s="47"/>
      <c r="BX89" s="142"/>
      <c r="BY89" s="143"/>
      <c r="BZ89" s="143"/>
      <c r="CA89" s="143"/>
      <c r="CB89" s="143"/>
      <c r="CC89" s="143"/>
      <c r="CD89" s="143"/>
      <c r="CE89" s="143"/>
      <c r="CF89" s="143"/>
      <c r="CG89" s="143"/>
      <c r="CH89" s="143"/>
      <c r="CI89" s="144"/>
    </row>
    <row r="90" spans="1:87" s="42" customFormat="1" ht="12.6" customHeight="1">
      <c r="A90" s="46"/>
      <c r="D90" s="105"/>
      <c r="H90" s="42" t="s">
        <v>396</v>
      </c>
      <c r="BP90" s="47"/>
      <c r="BX90" s="142"/>
      <c r="BY90" s="143"/>
      <c r="BZ90" s="143"/>
      <c r="CA90" s="143"/>
      <c r="CB90" s="143"/>
      <c r="CC90" s="143"/>
      <c r="CD90" s="143"/>
      <c r="CE90" s="143"/>
      <c r="CF90" s="143"/>
      <c r="CG90" s="143"/>
      <c r="CH90" s="143"/>
      <c r="CI90" s="144"/>
    </row>
    <row r="91" spans="1:87" s="42" customFormat="1" ht="12.6" customHeight="1">
      <c r="A91" s="46"/>
      <c r="D91" s="105"/>
      <c r="H91" s="42" t="s">
        <v>543</v>
      </c>
      <c r="BP91" s="47"/>
      <c r="BX91" s="142"/>
      <c r="BY91" s="143"/>
      <c r="BZ91" s="143"/>
      <c r="CA91" s="143"/>
      <c r="CB91" s="143"/>
      <c r="CC91" s="143"/>
      <c r="CD91" s="143"/>
      <c r="CE91" s="143"/>
      <c r="CF91" s="143"/>
      <c r="CG91" s="143"/>
      <c r="CH91" s="143"/>
      <c r="CI91" s="144"/>
    </row>
    <row r="92" spans="1:87" s="42" customFormat="1" ht="12.6" customHeight="1">
      <c r="A92" s="46"/>
      <c r="D92" s="105"/>
      <c r="BP92" s="47"/>
      <c r="BX92" s="142"/>
      <c r="BY92" s="143"/>
      <c r="BZ92" s="143"/>
      <c r="CA92" s="143"/>
      <c r="CB92" s="143"/>
      <c r="CC92" s="143"/>
      <c r="CD92" s="143"/>
      <c r="CE92" s="143"/>
      <c r="CF92" s="143"/>
      <c r="CG92" s="143"/>
      <c r="CH92" s="143"/>
      <c r="CI92" s="144"/>
    </row>
    <row r="93" spans="1:87" s="42" customFormat="1" ht="12.6" customHeight="1">
      <c r="A93" s="46"/>
      <c r="D93" s="105"/>
      <c r="G93" s="42" t="s">
        <v>526</v>
      </c>
      <c r="BP93" s="47"/>
      <c r="BX93" s="142"/>
      <c r="BY93" s="143"/>
      <c r="BZ93" s="143"/>
      <c r="CA93" s="143"/>
      <c r="CB93" s="143"/>
      <c r="CC93" s="143"/>
      <c r="CD93" s="143"/>
      <c r="CE93" s="143"/>
      <c r="CF93" s="143"/>
      <c r="CG93" s="143"/>
      <c r="CH93" s="143"/>
      <c r="CI93" s="144"/>
    </row>
    <row r="94" spans="1:87" s="42" customFormat="1" ht="12.6" customHeight="1">
      <c r="A94" s="46"/>
      <c r="D94" s="105"/>
      <c r="H94" s="42" t="s">
        <v>529</v>
      </c>
      <c r="N94" s="42" t="s">
        <v>527</v>
      </c>
      <c r="O94" s="42" t="s">
        <v>530</v>
      </c>
      <c r="V94" s="42" t="s">
        <v>550</v>
      </c>
      <c r="BP94" s="47"/>
      <c r="BX94" s="142"/>
      <c r="BY94" s="143"/>
      <c r="BZ94" s="143"/>
      <c r="CA94" s="143"/>
      <c r="CB94" s="143"/>
      <c r="CC94" s="143"/>
      <c r="CD94" s="143"/>
      <c r="CE94" s="143"/>
      <c r="CF94" s="143"/>
      <c r="CG94" s="143"/>
      <c r="CH94" s="143"/>
      <c r="CI94" s="144"/>
    </row>
    <row r="95" spans="1:87" s="42" customFormat="1" ht="12.6" customHeight="1">
      <c r="A95" s="46"/>
      <c r="D95" s="105"/>
      <c r="H95" s="42" t="s">
        <v>548</v>
      </c>
      <c r="N95" s="42" t="s">
        <v>527</v>
      </c>
      <c r="O95" s="42" t="s">
        <v>549</v>
      </c>
      <c r="BP95" s="47"/>
      <c r="BX95" s="142"/>
      <c r="BY95" s="143"/>
      <c r="BZ95" s="143"/>
      <c r="CA95" s="143"/>
      <c r="CB95" s="143"/>
      <c r="CC95" s="143"/>
      <c r="CD95" s="143"/>
      <c r="CE95" s="143"/>
      <c r="CF95" s="143"/>
      <c r="CG95" s="143"/>
      <c r="CH95" s="143"/>
      <c r="CI95" s="144"/>
    </row>
    <row r="96" spans="1:87" s="42" customFormat="1" ht="12.6" customHeight="1">
      <c r="A96" s="46"/>
      <c r="D96" s="105"/>
      <c r="BP96" s="47"/>
      <c r="BX96" s="142"/>
      <c r="BY96" s="143"/>
      <c r="BZ96" s="143"/>
      <c r="CA96" s="143"/>
      <c r="CB96" s="143"/>
      <c r="CC96" s="143"/>
      <c r="CD96" s="143"/>
      <c r="CE96" s="143"/>
      <c r="CF96" s="143"/>
      <c r="CG96" s="143"/>
      <c r="CH96" s="143"/>
      <c r="CI96" s="144"/>
    </row>
    <row r="97" spans="1:87" s="42" customFormat="1" ht="12.6" customHeight="1">
      <c r="A97" s="46"/>
      <c r="D97" s="105"/>
      <c r="G97" s="42" t="s">
        <v>539</v>
      </c>
      <c r="BP97" s="47"/>
      <c r="BX97" s="142"/>
      <c r="BY97" s="143"/>
      <c r="BZ97" s="143"/>
      <c r="CA97" s="143"/>
      <c r="CB97" s="143"/>
      <c r="CC97" s="143"/>
      <c r="CD97" s="143"/>
      <c r="CE97" s="143"/>
      <c r="CF97" s="143"/>
      <c r="CG97" s="143"/>
      <c r="CH97" s="143"/>
      <c r="CI97" s="144"/>
    </row>
    <row r="98" spans="1:87" s="42" customFormat="1" ht="12.6" customHeight="1">
      <c r="A98" s="46"/>
      <c r="D98" s="105"/>
      <c r="H98" s="150" t="s">
        <v>546</v>
      </c>
      <c r="BP98" s="47"/>
      <c r="BX98" s="142"/>
      <c r="BY98" s="143"/>
      <c r="BZ98" s="143"/>
      <c r="CA98" s="143"/>
      <c r="CB98" s="143"/>
      <c r="CC98" s="143"/>
      <c r="CD98" s="143"/>
      <c r="CE98" s="143"/>
      <c r="CF98" s="143"/>
      <c r="CG98" s="143"/>
      <c r="CH98" s="143"/>
      <c r="CI98" s="144"/>
    </row>
    <row r="99" spans="1:87" s="42" customFormat="1" ht="12.6" customHeight="1">
      <c r="A99" s="46"/>
      <c r="D99" s="105"/>
      <c r="BP99" s="47"/>
      <c r="BX99" s="142"/>
      <c r="BY99" s="143"/>
      <c r="BZ99" s="143"/>
      <c r="CA99" s="143"/>
      <c r="CB99" s="143"/>
      <c r="CC99" s="143"/>
      <c r="CD99" s="143"/>
      <c r="CE99" s="143"/>
      <c r="CF99" s="143"/>
      <c r="CG99" s="143"/>
      <c r="CH99" s="143"/>
      <c r="CI99" s="144"/>
    </row>
    <row r="100" spans="1:87" s="42" customFormat="1" ht="12.6" customHeight="1">
      <c r="A100" s="46"/>
      <c r="B100" s="105" t="s">
        <v>284</v>
      </c>
      <c r="C100" s="42" t="s">
        <v>266</v>
      </c>
      <c r="D100" s="105"/>
      <c r="BP100" s="47"/>
      <c r="BX100" s="142"/>
      <c r="BY100" s="143"/>
      <c r="BZ100" s="143"/>
      <c r="CA100" s="143"/>
      <c r="CB100" s="143"/>
      <c r="CC100" s="143"/>
      <c r="CD100" s="143"/>
      <c r="CE100" s="143"/>
      <c r="CF100" s="143"/>
      <c r="CG100" s="143"/>
      <c r="CH100" s="143"/>
      <c r="CI100" s="144"/>
    </row>
    <row r="101" spans="1:87" s="42" customFormat="1" ht="12.6" customHeight="1">
      <c r="A101" s="46"/>
      <c r="C101" s="42" t="s">
        <v>267</v>
      </c>
      <c r="D101" s="105" t="s">
        <v>268</v>
      </c>
      <c r="BP101" s="47"/>
      <c r="BX101" s="142"/>
      <c r="BY101" s="143"/>
      <c r="BZ101" s="143"/>
      <c r="CA101" s="143"/>
      <c r="CB101" s="143"/>
      <c r="CC101" s="143"/>
      <c r="CD101" s="143"/>
      <c r="CE101" s="143"/>
      <c r="CF101" s="143"/>
      <c r="CG101" s="143"/>
      <c r="CH101" s="143"/>
      <c r="CI101" s="144"/>
    </row>
    <row r="102" spans="1:87" s="42" customFormat="1" ht="12.6" customHeight="1">
      <c r="A102" s="46"/>
      <c r="D102" s="105" t="s">
        <v>131</v>
      </c>
      <c r="J102" s="42" t="s">
        <v>132</v>
      </c>
      <c r="K102" s="42" t="s">
        <v>269</v>
      </c>
      <c r="BP102" s="47"/>
      <c r="BX102" s="142"/>
      <c r="BY102" s="143"/>
      <c r="BZ102" s="143"/>
      <c r="CA102" s="143"/>
      <c r="CB102" s="143"/>
      <c r="CC102" s="143"/>
      <c r="CD102" s="143"/>
      <c r="CE102" s="143"/>
      <c r="CF102" s="143"/>
      <c r="CG102" s="143"/>
      <c r="CH102" s="143"/>
      <c r="CI102" s="144"/>
    </row>
    <row r="103" spans="1:87" s="42" customFormat="1" ht="12.6" customHeight="1">
      <c r="A103" s="46"/>
      <c r="D103" s="105" t="s">
        <v>270</v>
      </c>
      <c r="J103" s="42" t="s">
        <v>132</v>
      </c>
      <c r="K103" s="42" t="s">
        <v>269</v>
      </c>
      <c r="BP103" s="47"/>
      <c r="BX103" s="142"/>
      <c r="BY103" s="143"/>
      <c r="BZ103" s="143"/>
      <c r="CA103" s="143"/>
      <c r="CB103" s="143"/>
      <c r="CC103" s="143"/>
      <c r="CD103" s="143"/>
      <c r="CE103" s="143"/>
      <c r="CF103" s="143"/>
      <c r="CG103" s="143"/>
      <c r="CH103" s="143"/>
      <c r="CI103" s="144"/>
    </row>
    <row r="104" spans="1:87" s="42" customFormat="1" ht="12.6" customHeight="1">
      <c r="A104" s="46"/>
      <c r="D104" s="105" t="s">
        <v>271</v>
      </c>
      <c r="J104" s="42" t="s">
        <v>132</v>
      </c>
      <c r="K104" s="42" t="s">
        <v>269</v>
      </c>
      <c r="BP104" s="47"/>
      <c r="BX104" s="142"/>
      <c r="BY104" s="143"/>
      <c r="BZ104" s="143"/>
      <c r="CA104" s="143"/>
      <c r="CB104" s="143"/>
      <c r="CC104" s="143"/>
      <c r="CD104" s="143"/>
      <c r="CE104" s="143"/>
      <c r="CF104" s="143"/>
      <c r="CG104" s="143"/>
      <c r="CH104" s="143"/>
      <c r="CI104" s="144"/>
    </row>
    <row r="105" spans="1:87" s="42" customFormat="1" ht="12.6" customHeight="1">
      <c r="A105" s="46"/>
      <c r="D105" s="105"/>
      <c r="BP105" s="47"/>
      <c r="BX105" s="142"/>
      <c r="BY105" s="143"/>
      <c r="BZ105" s="143"/>
      <c r="CA105" s="143"/>
      <c r="CB105" s="143"/>
      <c r="CC105" s="143"/>
      <c r="CD105" s="143"/>
      <c r="CE105" s="143"/>
      <c r="CF105" s="143"/>
      <c r="CG105" s="143"/>
      <c r="CH105" s="143"/>
      <c r="CI105" s="144"/>
    </row>
    <row r="106" spans="1:87" s="42" customFormat="1" ht="12.6" customHeight="1">
      <c r="A106" s="46"/>
      <c r="C106" s="42" t="s">
        <v>272</v>
      </c>
      <c r="D106" s="105" t="s">
        <v>273</v>
      </c>
      <c r="BP106" s="47"/>
      <c r="BX106" s="142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4"/>
    </row>
    <row r="107" spans="1:87" s="42" customFormat="1" ht="12.6" customHeight="1">
      <c r="A107" s="46"/>
      <c r="D107" s="105" t="s">
        <v>274</v>
      </c>
      <c r="J107" s="42" t="s">
        <v>132</v>
      </c>
      <c r="K107" s="42" t="s">
        <v>275</v>
      </c>
      <c r="BP107" s="47"/>
      <c r="BX107" s="142"/>
      <c r="BY107" s="143"/>
      <c r="BZ107" s="143"/>
      <c r="CA107" s="143"/>
      <c r="CB107" s="143"/>
      <c r="CC107" s="143"/>
      <c r="CD107" s="143"/>
      <c r="CE107" s="143"/>
      <c r="CF107" s="143"/>
      <c r="CG107" s="143"/>
      <c r="CH107" s="143"/>
      <c r="CI107" s="144"/>
    </row>
    <row r="108" spans="1:87" s="42" customFormat="1" ht="12.6" customHeight="1">
      <c r="A108" s="46"/>
      <c r="D108" s="105" t="s">
        <v>276</v>
      </c>
      <c r="J108" s="42" t="s">
        <v>132</v>
      </c>
      <c r="K108" s="105" t="s">
        <v>608</v>
      </c>
      <c r="X108" s="152"/>
      <c r="BP108" s="47"/>
      <c r="BX108" s="142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4"/>
    </row>
    <row r="109" spans="1:87" s="42" customFormat="1" ht="12.6" customHeight="1">
      <c r="A109" s="46"/>
      <c r="E109" s="42" t="s">
        <v>89</v>
      </c>
      <c r="BP109" s="47"/>
      <c r="BX109" s="142"/>
      <c r="BY109" s="143"/>
      <c r="BZ109" s="143"/>
      <c r="CA109" s="143"/>
      <c r="CB109" s="143"/>
      <c r="CC109" s="143"/>
      <c r="CD109" s="143"/>
      <c r="CE109" s="143"/>
      <c r="CF109" s="143"/>
      <c r="CG109" s="143"/>
      <c r="CH109" s="143"/>
      <c r="CI109" s="144"/>
    </row>
    <row r="110" spans="1:87" s="42" customFormat="1" ht="12.6" customHeight="1">
      <c r="A110" s="46"/>
      <c r="E110" s="116" t="s">
        <v>125</v>
      </c>
      <c r="F110" s="118"/>
      <c r="G110" s="117" t="s">
        <v>102</v>
      </c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8"/>
      <c r="BP110" s="47"/>
      <c r="BX110" s="142"/>
      <c r="BY110" s="143"/>
      <c r="BZ110" s="143"/>
      <c r="CA110" s="143"/>
      <c r="CB110" s="143"/>
      <c r="CC110" s="143"/>
      <c r="CD110" s="143"/>
      <c r="CE110" s="143"/>
      <c r="CF110" s="143"/>
      <c r="CG110" s="143"/>
      <c r="CH110" s="143"/>
      <c r="CI110" s="144"/>
    </row>
    <row r="111" spans="1:87" s="42" customFormat="1" ht="12.6" customHeight="1">
      <c r="A111" s="46"/>
      <c r="E111" s="145"/>
      <c r="F111" s="118"/>
      <c r="G111" s="117" t="s">
        <v>143</v>
      </c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8"/>
      <c r="BP111" s="47"/>
      <c r="BX111" s="142"/>
      <c r="BY111" s="143"/>
      <c r="BZ111" s="143"/>
      <c r="CA111" s="143"/>
      <c r="CB111" s="143"/>
      <c r="CC111" s="143"/>
      <c r="CD111" s="143"/>
      <c r="CE111" s="143"/>
      <c r="CF111" s="143"/>
      <c r="CG111" s="143"/>
      <c r="CH111" s="143"/>
      <c r="CI111" s="144"/>
    </row>
    <row r="112" spans="1:87" s="42" customFormat="1" ht="12.6" customHeight="1">
      <c r="A112" s="46"/>
      <c r="D112" s="105"/>
      <c r="BP112" s="47"/>
      <c r="BX112" s="142"/>
      <c r="BY112" s="143"/>
      <c r="BZ112" s="143"/>
      <c r="CA112" s="143"/>
      <c r="CB112" s="143"/>
      <c r="CC112" s="143"/>
      <c r="CD112" s="143"/>
      <c r="CE112" s="143"/>
      <c r="CF112" s="143"/>
      <c r="CG112" s="143"/>
      <c r="CH112" s="143"/>
      <c r="CI112" s="144"/>
    </row>
    <row r="113" spans="1:87" s="42" customFormat="1" ht="12.6" customHeight="1">
      <c r="A113" s="46"/>
      <c r="C113" s="42" t="s">
        <v>277</v>
      </c>
      <c r="D113" s="105" t="s">
        <v>278</v>
      </c>
      <c r="BP113" s="47"/>
      <c r="BX113" s="142"/>
      <c r="BY113" s="143"/>
      <c r="BZ113" s="143"/>
      <c r="CA113" s="143"/>
      <c r="CB113" s="143"/>
      <c r="CC113" s="143"/>
      <c r="CD113" s="143"/>
      <c r="CE113" s="143"/>
      <c r="CF113" s="143"/>
      <c r="CG113" s="143"/>
      <c r="CH113" s="143"/>
      <c r="CI113" s="144"/>
    </row>
    <row r="114" spans="1:87" s="42" customFormat="1" ht="12.6" customHeight="1">
      <c r="A114" s="46"/>
      <c r="D114" s="105" t="s">
        <v>269</v>
      </c>
      <c r="BP114" s="47"/>
      <c r="BX114" s="142"/>
      <c r="BY114" s="143"/>
      <c r="BZ114" s="143"/>
      <c r="CA114" s="143"/>
      <c r="CB114" s="143"/>
      <c r="CC114" s="143"/>
      <c r="CD114" s="143"/>
      <c r="CE114" s="143"/>
      <c r="CF114" s="143"/>
      <c r="CG114" s="143"/>
      <c r="CH114" s="143"/>
      <c r="CI114" s="144"/>
    </row>
    <row r="115" spans="1:87" s="42" customFormat="1" ht="12.6" customHeight="1">
      <c r="A115" s="46"/>
      <c r="D115" s="105"/>
      <c r="BP115" s="47"/>
      <c r="BX115" s="142"/>
      <c r="BY115" s="143"/>
      <c r="BZ115" s="143"/>
      <c r="CA115" s="143"/>
      <c r="CB115" s="143"/>
      <c r="CC115" s="143"/>
      <c r="CD115" s="143"/>
      <c r="CE115" s="143"/>
      <c r="CF115" s="143"/>
      <c r="CG115" s="143"/>
      <c r="CH115" s="143"/>
      <c r="CI115" s="144"/>
    </row>
    <row r="116" spans="1:87" s="42" customFormat="1" ht="12.6" customHeight="1">
      <c r="A116" s="46"/>
      <c r="D116" s="105"/>
      <c r="BP116" s="47"/>
      <c r="BX116" s="142"/>
      <c r="BY116" s="143"/>
      <c r="BZ116" s="143"/>
      <c r="CA116" s="143"/>
      <c r="CB116" s="143"/>
      <c r="CC116" s="143"/>
      <c r="CD116" s="143"/>
      <c r="CE116" s="143"/>
      <c r="CF116" s="143"/>
      <c r="CG116" s="143"/>
      <c r="CH116" s="143"/>
      <c r="CI116" s="144"/>
    </row>
    <row r="117" spans="1:87" s="42" customFormat="1" ht="12" customHeight="1">
      <c r="A117" s="133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153"/>
      <c r="BN117" s="153"/>
      <c r="BO117" s="153"/>
      <c r="BP117" s="154"/>
      <c r="BX117" s="155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7"/>
    </row>
  </sheetData>
  <mergeCells count="1">
    <mergeCell ref="BX3:CI4"/>
  </mergeCells>
  <phoneticPr fontId="9"/>
  <hyperlinks>
    <hyperlink ref="G66" location="'DB設定項目定義_汎用マスタ（履歴）'!A1" display="'DB設定項目定義_汎用マスタ（履歴）'!A1"/>
    <hyperlink ref="H77" location="DB設定項目定義_汎用マスタ!A1" display="DB設定項目定義_汎用マスタ!A1"/>
    <hyperlink ref="H98" location="DB設定項目定義_汎用マスタ!A1" display="DB設定項目定義_汎用マスタ!A1"/>
    <hyperlink ref="G48" location="DB設定項目定義_汎用マスタ制御マスタ!A1" display="DB設定項目定義_汎用マスタ制御マスタ!A1"/>
  </hyperlinks>
  <pageMargins left="0.19685039370078741" right="0.23622047244094491" top="0.39370078740157483" bottom="0.39370078740157483" header="0" footer="0.19685039370078741"/>
  <pageSetup paperSize="9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W16"/>
  <sheetViews>
    <sheetView showGridLines="0" view="pageBreakPreview" zoomScaleNormal="100" zoomScaleSheetLayoutView="100" workbookViewId="0">
      <pane ySplit="9" topLeftCell="A10" activePane="bottomLeft" state="frozen"/>
      <selection activeCell="AA62" sqref="AA62"/>
      <selection pane="bottomLeft" activeCell="BI54" sqref="BI54"/>
    </sheetView>
  </sheetViews>
  <sheetFormatPr defaultColWidth="2.125" defaultRowHeight="12.6" customHeight="1"/>
  <cols>
    <col min="1" max="16384" width="2.125" style="5"/>
  </cols>
  <sheetData>
    <row r="1" spans="1:75" ht="12.6" customHeight="1">
      <c r="BW1" s="9"/>
    </row>
    <row r="5" spans="1:75" ht="5.2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spans="1:75" ht="12" customHeight="1">
      <c r="A6" s="547" t="s">
        <v>103</v>
      </c>
      <c r="B6" s="548"/>
      <c r="C6" s="548"/>
      <c r="D6" s="548"/>
      <c r="E6" s="548"/>
      <c r="F6" s="549"/>
      <c r="G6" s="550" t="s">
        <v>302</v>
      </c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2"/>
      <c r="AA6" s="552"/>
      <c r="AB6" s="552"/>
      <c r="AC6" s="552"/>
      <c r="AD6" s="552"/>
      <c r="AE6" s="553"/>
      <c r="AF6" s="547" t="s">
        <v>104</v>
      </c>
      <c r="AG6" s="548"/>
      <c r="AH6" s="548"/>
      <c r="AI6" s="548"/>
      <c r="AJ6" s="548"/>
      <c r="AK6" s="549"/>
      <c r="AL6" s="550" t="s">
        <v>397</v>
      </c>
      <c r="AM6" s="551"/>
      <c r="AN6" s="551"/>
      <c r="AO6" s="554"/>
      <c r="AP6" s="554"/>
      <c r="AQ6" s="554"/>
      <c r="AR6" s="554"/>
      <c r="AS6" s="554"/>
      <c r="AT6" s="554"/>
      <c r="AU6" s="554"/>
      <c r="AV6" s="554"/>
      <c r="AW6" s="554"/>
      <c r="AX6" s="554"/>
      <c r="AY6" s="554"/>
      <c r="AZ6" s="554"/>
      <c r="BA6" s="554"/>
      <c r="BB6" s="554"/>
      <c r="BC6" s="554"/>
      <c r="BD6" s="554"/>
      <c r="BE6" s="554"/>
      <c r="BF6" s="554"/>
      <c r="BG6" s="554"/>
      <c r="BH6" s="554"/>
      <c r="BI6" s="554"/>
      <c r="BJ6" s="554"/>
      <c r="BK6" s="554"/>
      <c r="BL6" s="554"/>
      <c r="BM6" s="554"/>
      <c r="BN6" s="554"/>
      <c r="BO6" s="554"/>
      <c r="BP6" s="555"/>
    </row>
    <row r="7" spans="1:75" ht="12" customHeight="1">
      <c r="A7" s="544" t="s">
        <v>122</v>
      </c>
      <c r="B7" s="545"/>
      <c r="C7" s="545"/>
      <c r="D7" s="545"/>
      <c r="E7" s="545"/>
      <c r="F7" s="546"/>
      <c r="G7" s="556" t="s">
        <v>398</v>
      </c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8"/>
      <c r="AF7" s="547" t="s">
        <v>123</v>
      </c>
      <c r="AG7" s="548"/>
      <c r="AH7" s="548"/>
      <c r="AI7" s="548"/>
      <c r="AJ7" s="548"/>
      <c r="AK7" s="549"/>
      <c r="AL7" s="559" t="s">
        <v>541</v>
      </c>
      <c r="AM7" s="560"/>
      <c r="AN7" s="560"/>
      <c r="AO7" s="560"/>
      <c r="AP7" s="560"/>
      <c r="AQ7" s="560"/>
      <c r="AR7" s="560"/>
      <c r="AS7" s="560"/>
      <c r="AT7" s="560"/>
      <c r="AU7" s="560"/>
      <c r="AV7" s="560"/>
      <c r="AW7" s="560"/>
      <c r="AX7" s="560"/>
      <c r="AY7" s="560"/>
      <c r="AZ7" s="560"/>
      <c r="BA7" s="560"/>
      <c r="BB7" s="560"/>
      <c r="BC7" s="560"/>
      <c r="BD7" s="560"/>
      <c r="BE7" s="560"/>
      <c r="BF7" s="560"/>
      <c r="BG7" s="560"/>
      <c r="BH7" s="560"/>
      <c r="BI7" s="560"/>
      <c r="BJ7" s="560"/>
      <c r="BK7" s="560"/>
      <c r="BL7" s="560"/>
      <c r="BM7" s="560"/>
      <c r="BN7" s="560"/>
      <c r="BO7" s="560"/>
      <c r="BP7" s="561"/>
    </row>
    <row r="8" spans="1:75" ht="12" customHeight="1">
      <c r="A8" s="544" t="s">
        <v>105</v>
      </c>
      <c r="B8" s="545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5"/>
      <c r="AS8" s="545"/>
      <c r="AT8" s="545"/>
      <c r="AU8" s="545"/>
      <c r="AV8" s="545"/>
      <c r="AW8" s="545"/>
      <c r="AX8" s="545"/>
      <c r="AY8" s="545"/>
      <c r="AZ8" s="545"/>
      <c r="BA8" s="545"/>
      <c r="BB8" s="545"/>
      <c r="BC8" s="545"/>
      <c r="BD8" s="545"/>
      <c r="BE8" s="545"/>
      <c r="BF8" s="545"/>
      <c r="BG8" s="545"/>
      <c r="BH8" s="545"/>
      <c r="BI8" s="545"/>
      <c r="BJ8" s="545"/>
      <c r="BK8" s="545"/>
      <c r="BL8" s="545"/>
      <c r="BM8" s="545"/>
      <c r="BN8" s="545"/>
      <c r="BO8" s="545"/>
      <c r="BP8" s="546"/>
    </row>
    <row r="9" spans="1:75" ht="12" customHeight="1">
      <c r="A9" s="39" t="s">
        <v>102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39" t="s">
        <v>106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1"/>
      <c r="AU9" s="39" t="s">
        <v>67</v>
      </c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1"/>
    </row>
    <row r="10" spans="1:75" ht="12" customHeight="1">
      <c r="A10" s="60" t="s">
        <v>400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44" t="s">
        <v>410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103" t="s">
        <v>421</v>
      </c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8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2"/>
    </row>
    <row r="11" spans="1:75" ht="12" customHeight="1">
      <c r="A11" s="60" t="s">
        <v>401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44" t="s">
        <v>411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103" t="s">
        <v>422</v>
      </c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8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2"/>
    </row>
    <row r="12" spans="1:75" ht="12" customHeight="1">
      <c r="A12" s="60" t="s">
        <v>402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44" t="s">
        <v>412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/>
      <c r="AA12" s="103" t="s">
        <v>423</v>
      </c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8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2"/>
    </row>
    <row r="13" spans="1:75" ht="12" customHeight="1">
      <c r="A13" s="60" t="s">
        <v>406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44" t="s">
        <v>416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103" t="s">
        <v>421</v>
      </c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8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2"/>
    </row>
    <row r="14" spans="1:75" ht="12" customHeight="1">
      <c r="A14" s="60" t="s">
        <v>407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44" t="s">
        <v>417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/>
      <c r="AA14" s="103" t="s">
        <v>422</v>
      </c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8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2"/>
    </row>
    <row r="15" spans="1:75" ht="12" customHeight="1">
      <c r="A15" s="60" t="s">
        <v>408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44" t="s">
        <v>418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103" t="s">
        <v>423</v>
      </c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8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2"/>
    </row>
    <row r="16" spans="1:75" ht="12" customHeight="1">
      <c r="A16" s="104" t="s">
        <v>409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1" t="s">
        <v>419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3"/>
      <c r="AA16" s="109" t="s">
        <v>466</v>
      </c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1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3"/>
    </row>
  </sheetData>
  <mergeCells count="9">
    <mergeCell ref="A8:BP8"/>
    <mergeCell ref="A6:F6"/>
    <mergeCell ref="G6:AE6"/>
    <mergeCell ref="AF6:AK6"/>
    <mergeCell ref="AL6:BP6"/>
    <mergeCell ref="A7:F7"/>
    <mergeCell ref="G7:AE7"/>
    <mergeCell ref="AF7:AK7"/>
    <mergeCell ref="AL7:BP7"/>
  </mergeCells>
  <phoneticPr fontId="9"/>
  <pageMargins left="0.19685039370078741" right="0.23622047244094491" top="0.39370078740157483" bottom="0.39370078740157483" header="0" footer="0.19685039370078741"/>
  <pageSetup paperSize="9" fitToHeight="0" orientation="landscape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W68"/>
  <sheetViews>
    <sheetView showGridLines="0" view="pageBreakPreview" zoomScaleNormal="100" zoomScaleSheetLayoutView="100" workbookViewId="0">
      <pane ySplit="5" topLeftCell="A6" activePane="bottomLeft" state="frozen"/>
      <selection activeCell="AA62" sqref="AA62"/>
      <selection pane="bottomLeft" activeCell="X46" sqref="X46"/>
    </sheetView>
  </sheetViews>
  <sheetFormatPr defaultColWidth="2.125" defaultRowHeight="12.6" customHeight="1"/>
  <cols>
    <col min="1" max="16384" width="2.125" style="5"/>
  </cols>
  <sheetData>
    <row r="1" spans="1:75" ht="12.6" customHeight="1">
      <c r="BW1" s="9"/>
    </row>
    <row r="5" spans="1:75" ht="5.2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spans="1:75" ht="12" customHeight="1">
      <c r="A6" s="547" t="s">
        <v>103</v>
      </c>
      <c r="B6" s="548"/>
      <c r="C6" s="548"/>
      <c r="D6" s="548"/>
      <c r="E6" s="548"/>
      <c r="F6" s="549"/>
      <c r="G6" s="550" t="s">
        <v>396</v>
      </c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2"/>
      <c r="AA6" s="552"/>
      <c r="AB6" s="552"/>
      <c r="AC6" s="552"/>
      <c r="AD6" s="552"/>
      <c r="AE6" s="553"/>
      <c r="AF6" s="547" t="s">
        <v>104</v>
      </c>
      <c r="AG6" s="548"/>
      <c r="AH6" s="548"/>
      <c r="AI6" s="548"/>
      <c r="AJ6" s="548"/>
      <c r="AK6" s="549"/>
      <c r="AL6" s="550" t="s">
        <v>444</v>
      </c>
      <c r="AM6" s="551"/>
      <c r="AN6" s="551"/>
      <c r="AO6" s="554"/>
      <c r="AP6" s="554"/>
      <c r="AQ6" s="554"/>
      <c r="AR6" s="554"/>
      <c r="AS6" s="554"/>
      <c r="AT6" s="554"/>
      <c r="AU6" s="554"/>
      <c r="AV6" s="554"/>
      <c r="AW6" s="554"/>
      <c r="AX6" s="554"/>
      <c r="AY6" s="554"/>
      <c r="AZ6" s="554"/>
      <c r="BA6" s="554"/>
      <c r="BB6" s="554"/>
      <c r="BC6" s="554"/>
      <c r="BD6" s="554"/>
      <c r="BE6" s="554"/>
      <c r="BF6" s="554"/>
      <c r="BG6" s="554"/>
      <c r="BH6" s="554"/>
      <c r="BI6" s="554"/>
      <c r="BJ6" s="554"/>
      <c r="BK6" s="554"/>
      <c r="BL6" s="554"/>
      <c r="BM6" s="554"/>
      <c r="BN6" s="554"/>
      <c r="BO6" s="554"/>
      <c r="BP6" s="555"/>
    </row>
    <row r="7" spans="1:75" ht="12" customHeight="1">
      <c r="A7" s="544" t="s">
        <v>122</v>
      </c>
      <c r="B7" s="545"/>
      <c r="C7" s="545"/>
      <c r="D7" s="545"/>
      <c r="E7" s="545"/>
      <c r="F7" s="546"/>
      <c r="G7" s="556" t="s">
        <v>446</v>
      </c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8"/>
      <c r="AF7" s="547" t="s">
        <v>123</v>
      </c>
      <c r="AG7" s="548"/>
      <c r="AH7" s="548"/>
      <c r="AI7" s="548"/>
      <c r="AJ7" s="548"/>
      <c r="AK7" s="549"/>
      <c r="AL7" s="559" t="s">
        <v>445</v>
      </c>
      <c r="AM7" s="560"/>
      <c r="AN7" s="560"/>
      <c r="AO7" s="560"/>
      <c r="AP7" s="560"/>
      <c r="AQ7" s="560"/>
      <c r="AR7" s="560"/>
      <c r="AS7" s="560"/>
      <c r="AT7" s="560"/>
      <c r="AU7" s="560"/>
      <c r="AV7" s="560"/>
      <c r="AW7" s="560"/>
      <c r="AX7" s="560"/>
      <c r="AY7" s="560"/>
      <c r="AZ7" s="560"/>
      <c r="BA7" s="560"/>
      <c r="BB7" s="560"/>
      <c r="BC7" s="560"/>
      <c r="BD7" s="560"/>
      <c r="BE7" s="560"/>
      <c r="BF7" s="560"/>
      <c r="BG7" s="560"/>
      <c r="BH7" s="560"/>
      <c r="BI7" s="560"/>
      <c r="BJ7" s="560"/>
      <c r="BK7" s="560"/>
      <c r="BL7" s="560"/>
      <c r="BM7" s="560"/>
      <c r="BN7" s="560"/>
      <c r="BO7" s="560"/>
      <c r="BP7" s="561"/>
    </row>
    <row r="8" spans="1:75" ht="12" customHeight="1">
      <c r="A8" s="544" t="s">
        <v>105</v>
      </c>
      <c r="B8" s="545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5"/>
      <c r="AS8" s="545"/>
      <c r="AT8" s="545"/>
      <c r="AU8" s="545"/>
      <c r="AV8" s="545"/>
      <c r="AW8" s="545"/>
      <c r="AX8" s="545"/>
      <c r="AY8" s="545"/>
      <c r="AZ8" s="545"/>
      <c r="BA8" s="545"/>
      <c r="BB8" s="545"/>
      <c r="BC8" s="545"/>
      <c r="BD8" s="545"/>
      <c r="BE8" s="545"/>
      <c r="BF8" s="545"/>
      <c r="BG8" s="545"/>
      <c r="BH8" s="545"/>
      <c r="BI8" s="545"/>
      <c r="BJ8" s="545"/>
      <c r="BK8" s="545"/>
      <c r="BL8" s="545"/>
      <c r="BM8" s="545"/>
      <c r="BN8" s="545"/>
      <c r="BO8" s="545"/>
      <c r="BP8" s="546"/>
    </row>
    <row r="9" spans="1:75" ht="12" customHeight="1">
      <c r="A9" s="39" t="s">
        <v>102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39" t="s">
        <v>106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1"/>
      <c r="AU9" s="39" t="s">
        <v>67</v>
      </c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1"/>
    </row>
    <row r="10" spans="1:75" ht="12" customHeight="1">
      <c r="A10" s="60" t="s">
        <v>153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43" t="s">
        <v>399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60" t="s">
        <v>420</v>
      </c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2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2"/>
    </row>
    <row r="11" spans="1:75" ht="12" customHeight="1">
      <c r="A11" s="60" t="s">
        <v>223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44" t="s">
        <v>425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60" t="s">
        <v>465</v>
      </c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2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2"/>
    </row>
    <row r="12" spans="1:75" ht="12" customHeight="1">
      <c r="A12" s="60" t="s">
        <v>184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44" t="s">
        <v>426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/>
      <c r="AA12" s="60" t="s">
        <v>447</v>
      </c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2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2"/>
    </row>
    <row r="13" spans="1:75" ht="12" customHeight="1">
      <c r="A13" s="60" t="s">
        <v>185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44" t="s">
        <v>427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60" t="s">
        <v>448</v>
      </c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2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2"/>
    </row>
    <row r="14" spans="1:75" ht="12" customHeight="1">
      <c r="A14" s="60" t="s">
        <v>186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44" t="s">
        <v>428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/>
      <c r="AA14" s="60" t="s">
        <v>449</v>
      </c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2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2"/>
    </row>
    <row r="15" spans="1:75" ht="12" customHeight="1">
      <c r="A15" s="60" t="s">
        <v>187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44" t="s">
        <v>429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0" t="s">
        <v>450</v>
      </c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2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2"/>
    </row>
    <row r="16" spans="1:75" ht="12" customHeight="1">
      <c r="A16" s="60" t="s">
        <v>190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44" t="s">
        <v>430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0" t="s">
        <v>451</v>
      </c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2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2"/>
    </row>
    <row r="17" spans="1:68" ht="12" customHeight="1">
      <c r="A17" s="60" t="s">
        <v>193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44" t="s">
        <v>431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60" t="s">
        <v>452</v>
      </c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2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2"/>
    </row>
    <row r="18" spans="1:68" ht="12" customHeight="1">
      <c r="A18" s="60" t="s">
        <v>196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44" t="s">
        <v>432</v>
      </c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0" t="s">
        <v>453</v>
      </c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2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2"/>
    </row>
    <row r="19" spans="1:68" ht="12" customHeight="1">
      <c r="A19" s="60" t="s">
        <v>199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44" t="s">
        <v>433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0" t="s">
        <v>454</v>
      </c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2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2"/>
    </row>
    <row r="20" spans="1:68" ht="12" customHeight="1">
      <c r="A20" s="60" t="s">
        <v>189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44" t="s">
        <v>434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0" t="s">
        <v>455</v>
      </c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2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2"/>
    </row>
    <row r="21" spans="1:68" ht="12" customHeight="1">
      <c r="A21" s="60" t="s">
        <v>192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44" t="s">
        <v>435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0" t="s">
        <v>456</v>
      </c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2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2"/>
    </row>
    <row r="22" spans="1:68" ht="12" customHeight="1">
      <c r="A22" s="60" t="s">
        <v>195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44" t="s">
        <v>436</v>
      </c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0" t="s">
        <v>457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2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2"/>
    </row>
    <row r="23" spans="1:68" ht="12" customHeight="1">
      <c r="A23" s="60" t="s">
        <v>198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44" t="s">
        <v>437</v>
      </c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  <c r="AA23" s="60" t="s">
        <v>458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2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2"/>
    </row>
    <row r="24" spans="1:68" ht="12" customHeight="1">
      <c r="A24" s="60" t="s">
        <v>201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44" t="s">
        <v>438</v>
      </c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0" t="s">
        <v>459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2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2"/>
    </row>
    <row r="25" spans="1:68" ht="12" customHeight="1">
      <c r="A25" s="60" t="s">
        <v>188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44" t="s">
        <v>439</v>
      </c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2"/>
      <c r="AA25" s="60" t="s">
        <v>460</v>
      </c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2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2"/>
    </row>
    <row r="26" spans="1:68" ht="12" customHeight="1">
      <c r="A26" s="60" t="s">
        <v>191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44" t="s">
        <v>440</v>
      </c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0" t="s">
        <v>461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2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2"/>
    </row>
    <row r="27" spans="1:68" ht="12" customHeight="1">
      <c r="A27" s="112" t="s">
        <v>194</v>
      </c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4" t="s">
        <v>441</v>
      </c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5"/>
      <c r="AA27" s="112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5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5"/>
    </row>
    <row r="28" spans="1:68" ht="12" customHeight="1">
      <c r="A28" s="112" t="s">
        <v>197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4" t="s">
        <v>442</v>
      </c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5"/>
      <c r="AA28" s="112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5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5"/>
    </row>
    <row r="29" spans="1:68" ht="12" customHeight="1">
      <c r="A29" s="112" t="s">
        <v>200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4" t="s">
        <v>443</v>
      </c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5"/>
      <c r="AA29" s="112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5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5"/>
    </row>
    <row r="30" spans="1:68" ht="12" customHeight="1">
      <c r="A30" s="60" t="s">
        <v>400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44" t="s">
        <v>410</v>
      </c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2"/>
      <c r="AA30" s="103" t="s">
        <v>421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2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2"/>
    </row>
    <row r="31" spans="1:68" ht="12" customHeight="1">
      <c r="A31" s="60" t="s">
        <v>401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44" t="s">
        <v>411</v>
      </c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  <c r="AA31" s="103" t="s">
        <v>422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2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2"/>
    </row>
    <row r="32" spans="1:68" ht="12" customHeight="1">
      <c r="A32" s="60" t="s">
        <v>402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44" t="s">
        <v>412</v>
      </c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103" t="s">
        <v>423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2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2"/>
    </row>
    <row r="33" spans="1:68" ht="12" customHeight="1">
      <c r="A33" s="60" t="s">
        <v>403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44" t="s">
        <v>413</v>
      </c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103" t="s">
        <v>421</v>
      </c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2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2"/>
    </row>
    <row r="34" spans="1:68" ht="12" customHeight="1">
      <c r="A34" s="60" t="s">
        <v>404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44" t="s">
        <v>414</v>
      </c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103" t="s">
        <v>422</v>
      </c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2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2"/>
    </row>
    <row r="35" spans="1:68" ht="12" customHeight="1">
      <c r="A35" s="60" t="s">
        <v>405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44" t="s">
        <v>415</v>
      </c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103" t="s">
        <v>423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2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2"/>
    </row>
    <row r="36" spans="1:68" ht="12" customHeight="1">
      <c r="A36" s="60" t="s">
        <v>406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44" t="s">
        <v>416</v>
      </c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2"/>
      <c r="AA36" s="103" t="s">
        <v>421</v>
      </c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2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2"/>
    </row>
    <row r="37" spans="1:68" ht="12" customHeight="1">
      <c r="A37" s="60" t="s">
        <v>407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44" t="s">
        <v>417</v>
      </c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2"/>
      <c r="AA37" s="103" t="s">
        <v>422</v>
      </c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2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2"/>
    </row>
    <row r="38" spans="1:68" ht="12" customHeight="1">
      <c r="A38" s="60" t="s">
        <v>408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44" t="s">
        <v>418</v>
      </c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2"/>
      <c r="AA38" s="103" t="s">
        <v>423</v>
      </c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2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2"/>
    </row>
    <row r="39" spans="1:68" ht="12" customHeight="1">
      <c r="A39" s="104" t="s">
        <v>409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1" t="s">
        <v>419</v>
      </c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3"/>
      <c r="AA39" s="104" t="s">
        <v>536</v>
      </c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3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3"/>
    </row>
    <row r="40" spans="1:68" ht="12" customHeight="1">
      <c r="A40" s="547" t="s">
        <v>103</v>
      </c>
      <c r="B40" s="548"/>
      <c r="C40" s="548"/>
      <c r="D40" s="548"/>
      <c r="E40" s="548"/>
      <c r="F40" s="549"/>
      <c r="G40" s="550" t="s">
        <v>396</v>
      </c>
      <c r="H40" s="551"/>
      <c r="I40" s="551"/>
      <c r="J40" s="551"/>
      <c r="K40" s="551"/>
      <c r="L40" s="551"/>
      <c r="M40" s="551"/>
      <c r="N40" s="551"/>
      <c r="O40" s="551"/>
      <c r="P40" s="551"/>
      <c r="Q40" s="551"/>
      <c r="R40" s="551"/>
      <c r="S40" s="551"/>
      <c r="T40" s="551"/>
      <c r="U40" s="551"/>
      <c r="V40" s="551"/>
      <c r="W40" s="551"/>
      <c r="X40" s="551"/>
      <c r="Y40" s="551"/>
      <c r="Z40" s="552"/>
      <c r="AA40" s="552"/>
      <c r="AB40" s="552"/>
      <c r="AC40" s="552"/>
      <c r="AD40" s="552"/>
      <c r="AE40" s="553"/>
      <c r="AF40" s="547" t="s">
        <v>104</v>
      </c>
      <c r="AG40" s="548"/>
      <c r="AH40" s="548"/>
      <c r="AI40" s="548"/>
      <c r="AJ40" s="548"/>
      <c r="AK40" s="549"/>
      <c r="AL40" s="550" t="s">
        <v>397</v>
      </c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  <c r="BG40" s="551"/>
      <c r="BH40" s="551"/>
      <c r="BI40" s="551"/>
      <c r="BJ40" s="551"/>
      <c r="BK40" s="551"/>
      <c r="BL40" s="551"/>
      <c r="BM40" s="551"/>
      <c r="BN40" s="551"/>
      <c r="BO40" s="551"/>
      <c r="BP40" s="562"/>
    </row>
    <row r="41" spans="1:68" ht="12" customHeight="1">
      <c r="A41" s="544" t="s">
        <v>122</v>
      </c>
      <c r="B41" s="545"/>
      <c r="C41" s="545"/>
      <c r="D41" s="545"/>
      <c r="E41" s="545"/>
      <c r="F41" s="546"/>
      <c r="G41" s="556" t="s">
        <v>398</v>
      </c>
      <c r="H41" s="557"/>
      <c r="I41" s="557"/>
      <c r="J41" s="557"/>
      <c r="K41" s="557"/>
      <c r="L41" s="557"/>
      <c r="M41" s="557"/>
      <c r="N41" s="557"/>
      <c r="O41" s="557"/>
      <c r="P41" s="557"/>
      <c r="Q41" s="557"/>
      <c r="R41" s="557"/>
      <c r="S41" s="557"/>
      <c r="T41" s="557"/>
      <c r="U41" s="557"/>
      <c r="V41" s="557"/>
      <c r="W41" s="557"/>
      <c r="X41" s="557"/>
      <c r="Y41" s="557"/>
      <c r="Z41" s="557"/>
      <c r="AA41" s="557"/>
      <c r="AB41" s="557"/>
      <c r="AC41" s="557"/>
      <c r="AD41" s="557"/>
      <c r="AE41" s="558"/>
      <c r="AF41" s="547" t="s">
        <v>123</v>
      </c>
      <c r="AG41" s="548"/>
      <c r="AH41" s="548"/>
      <c r="AI41" s="548"/>
      <c r="AJ41" s="548"/>
      <c r="AK41" s="549"/>
      <c r="AL41" s="559" t="s">
        <v>424</v>
      </c>
      <c r="AM41" s="560"/>
      <c r="AN41" s="560"/>
      <c r="AO41" s="560"/>
      <c r="AP41" s="560"/>
      <c r="AQ41" s="560"/>
      <c r="AR41" s="560"/>
      <c r="AS41" s="560"/>
      <c r="AT41" s="560"/>
      <c r="AU41" s="560"/>
      <c r="AV41" s="560"/>
      <c r="AW41" s="560"/>
      <c r="AX41" s="560"/>
      <c r="AY41" s="560"/>
      <c r="AZ41" s="560"/>
      <c r="BA41" s="560"/>
      <c r="BB41" s="560"/>
      <c r="BC41" s="560"/>
      <c r="BD41" s="560"/>
      <c r="BE41" s="560"/>
      <c r="BF41" s="560"/>
      <c r="BG41" s="560"/>
      <c r="BH41" s="560"/>
      <c r="BI41" s="560"/>
      <c r="BJ41" s="560"/>
      <c r="BK41" s="560"/>
      <c r="BL41" s="560"/>
      <c r="BM41" s="560"/>
      <c r="BN41" s="560"/>
      <c r="BO41" s="560"/>
      <c r="BP41" s="561"/>
    </row>
    <row r="42" spans="1:68" ht="12" customHeight="1">
      <c r="A42" s="544" t="s">
        <v>105</v>
      </c>
      <c r="B42" s="545"/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5"/>
      <c r="N42" s="545"/>
      <c r="O42" s="545"/>
      <c r="P42" s="545"/>
      <c r="Q42" s="545"/>
      <c r="R42" s="545"/>
      <c r="S42" s="545"/>
      <c r="T42" s="545"/>
      <c r="U42" s="545"/>
      <c r="V42" s="545"/>
      <c r="W42" s="545"/>
      <c r="X42" s="545"/>
      <c r="Y42" s="545"/>
      <c r="Z42" s="545"/>
      <c r="AA42" s="545"/>
      <c r="AB42" s="545"/>
      <c r="AC42" s="545"/>
      <c r="AD42" s="545"/>
      <c r="AE42" s="545"/>
      <c r="AF42" s="545"/>
      <c r="AG42" s="545"/>
      <c r="AH42" s="545"/>
      <c r="AI42" s="545"/>
      <c r="AJ42" s="545"/>
      <c r="AK42" s="545"/>
      <c r="AL42" s="545"/>
      <c r="AM42" s="545"/>
      <c r="AN42" s="545"/>
      <c r="AO42" s="545"/>
      <c r="AP42" s="545"/>
      <c r="AQ42" s="545"/>
      <c r="AR42" s="545"/>
      <c r="AS42" s="545"/>
      <c r="AT42" s="545"/>
      <c r="AU42" s="545"/>
      <c r="AV42" s="545"/>
      <c r="AW42" s="545"/>
      <c r="AX42" s="545"/>
      <c r="AY42" s="545"/>
      <c r="AZ42" s="545"/>
      <c r="BA42" s="545"/>
      <c r="BB42" s="545"/>
      <c r="BC42" s="545"/>
      <c r="BD42" s="545"/>
      <c r="BE42" s="545"/>
      <c r="BF42" s="545"/>
      <c r="BG42" s="545"/>
      <c r="BH42" s="545"/>
      <c r="BI42" s="545"/>
      <c r="BJ42" s="545"/>
      <c r="BK42" s="545"/>
      <c r="BL42" s="545"/>
      <c r="BM42" s="545"/>
      <c r="BN42" s="545"/>
      <c r="BO42" s="545"/>
      <c r="BP42" s="546"/>
    </row>
    <row r="43" spans="1:68" ht="12" customHeight="1">
      <c r="A43" s="39" t="s">
        <v>102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39" t="s">
        <v>106</v>
      </c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1"/>
      <c r="AU43" s="39" t="s">
        <v>67</v>
      </c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1"/>
    </row>
    <row r="44" spans="1:68" ht="12" customHeight="1">
      <c r="A44" s="60" t="s">
        <v>184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44" t="s">
        <v>426</v>
      </c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2"/>
      <c r="AA44" s="60" t="s">
        <v>447</v>
      </c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2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2"/>
    </row>
    <row r="45" spans="1:68" ht="12" customHeight="1">
      <c r="A45" s="60" t="s">
        <v>185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44" t="s">
        <v>427</v>
      </c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2"/>
      <c r="AA45" s="60" t="s">
        <v>448</v>
      </c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2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2"/>
    </row>
    <row r="46" spans="1:68" ht="12" customHeight="1">
      <c r="A46" s="60" t="s">
        <v>186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44" t="s">
        <v>428</v>
      </c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2"/>
      <c r="AA46" s="60" t="s">
        <v>449</v>
      </c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2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2"/>
    </row>
    <row r="47" spans="1:68" ht="12" customHeight="1">
      <c r="A47" s="60" t="s">
        <v>187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44" t="s">
        <v>429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2"/>
      <c r="AA47" s="60" t="s">
        <v>450</v>
      </c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2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2"/>
    </row>
    <row r="48" spans="1:68" ht="12" customHeight="1">
      <c r="A48" s="60" t="s">
        <v>190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44" t="s">
        <v>430</v>
      </c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2"/>
      <c r="AA48" s="60" t="s">
        <v>451</v>
      </c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2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2"/>
    </row>
    <row r="49" spans="1:68" ht="12" customHeight="1">
      <c r="A49" s="60" t="s">
        <v>193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44" t="s">
        <v>431</v>
      </c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2"/>
      <c r="AA49" s="60" t="s">
        <v>452</v>
      </c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2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2"/>
    </row>
    <row r="50" spans="1:68" ht="12" customHeight="1">
      <c r="A50" s="60" t="s">
        <v>196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44" t="s">
        <v>432</v>
      </c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2"/>
      <c r="AA50" s="60" t="s">
        <v>453</v>
      </c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2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2"/>
    </row>
    <row r="51" spans="1:68" ht="12" customHeight="1">
      <c r="A51" s="60" t="s">
        <v>199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44" t="s">
        <v>433</v>
      </c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2"/>
      <c r="AA51" s="60" t="s">
        <v>454</v>
      </c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2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2"/>
    </row>
    <row r="52" spans="1:68" ht="12" customHeight="1">
      <c r="A52" s="60" t="s">
        <v>189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44" t="s">
        <v>434</v>
      </c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2"/>
      <c r="AA52" s="60" t="s">
        <v>455</v>
      </c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2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2"/>
    </row>
    <row r="53" spans="1:68" ht="12" customHeight="1">
      <c r="A53" s="60" t="s">
        <v>192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44" t="s">
        <v>435</v>
      </c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2"/>
      <c r="AA53" s="60" t="s">
        <v>456</v>
      </c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2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2"/>
    </row>
    <row r="54" spans="1:68" ht="12" customHeight="1">
      <c r="A54" s="60" t="s">
        <v>195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44" t="s">
        <v>436</v>
      </c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2"/>
      <c r="AA54" s="60" t="s">
        <v>457</v>
      </c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2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2"/>
    </row>
    <row r="55" spans="1:68" ht="12" customHeight="1">
      <c r="A55" s="60" t="s">
        <v>198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44" t="s">
        <v>437</v>
      </c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2"/>
      <c r="AA55" s="60" t="s">
        <v>458</v>
      </c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2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2"/>
    </row>
    <row r="56" spans="1:68" ht="12" customHeight="1">
      <c r="A56" s="60" t="s">
        <v>201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44" t="s">
        <v>438</v>
      </c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2"/>
      <c r="AA56" s="60" t="s">
        <v>459</v>
      </c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2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2"/>
    </row>
    <row r="57" spans="1:68" ht="12" customHeight="1">
      <c r="A57" s="60" t="s">
        <v>188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44" t="s">
        <v>439</v>
      </c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2"/>
      <c r="AA57" s="60" t="s">
        <v>460</v>
      </c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2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2"/>
    </row>
    <row r="58" spans="1:68" ht="12" customHeight="1">
      <c r="A58" s="60" t="s">
        <v>191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44" t="s">
        <v>440</v>
      </c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2"/>
      <c r="AA58" s="60" t="s">
        <v>461</v>
      </c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2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2"/>
    </row>
    <row r="59" spans="1:68" ht="12" customHeight="1">
      <c r="A59" s="60" t="s">
        <v>194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44" t="s">
        <v>441</v>
      </c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2"/>
      <c r="AA59" s="60" t="s">
        <v>462</v>
      </c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2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2"/>
    </row>
    <row r="60" spans="1:68" ht="12" customHeight="1">
      <c r="A60" s="60" t="s">
        <v>197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44" t="s">
        <v>442</v>
      </c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0" t="s">
        <v>463</v>
      </c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2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2"/>
    </row>
    <row r="61" spans="1:68" ht="12" customHeight="1">
      <c r="A61" s="60" t="s">
        <v>200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44" t="s">
        <v>443</v>
      </c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2"/>
      <c r="AA61" s="60" t="s">
        <v>464</v>
      </c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2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2"/>
    </row>
    <row r="62" spans="1:68" ht="12" customHeight="1">
      <c r="A62" s="60" t="s">
        <v>400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44" t="s">
        <v>410</v>
      </c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2"/>
      <c r="AA62" s="103" t="s">
        <v>421</v>
      </c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2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2"/>
    </row>
    <row r="63" spans="1:68" ht="12" customHeight="1">
      <c r="A63" s="60" t="s">
        <v>401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44" t="s">
        <v>411</v>
      </c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2"/>
      <c r="AA63" s="103" t="s">
        <v>422</v>
      </c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2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2"/>
    </row>
    <row r="64" spans="1:68" ht="12" customHeight="1">
      <c r="A64" s="60" t="s">
        <v>402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44" t="s">
        <v>412</v>
      </c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/>
      <c r="AA64" s="103" t="s">
        <v>423</v>
      </c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2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2"/>
    </row>
    <row r="65" spans="1:68" ht="12" customHeight="1">
      <c r="A65" s="60" t="s">
        <v>406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44" t="s">
        <v>416</v>
      </c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/>
      <c r="AA65" s="103" t="s">
        <v>421</v>
      </c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2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2"/>
    </row>
    <row r="66" spans="1:68" ht="12" customHeight="1">
      <c r="A66" s="60" t="s">
        <v>407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44" t="s">
        <v>417</v>
      </c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/>
      <c r="AA66" s="103" t="s">
        <v>422</v>
      </c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2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2"/>
    </row>
    <row r="67" spans="1:68" ht="12" customHeight="1">
      <c r="A67" s="60" t="s">
        <v>408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44" t="s">
        <v>418</v>
      </c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/>
      <c r="AA67" s="103" t="s">
        <v>423</v>
      </c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2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2"/>
    </row>
    <row r="68" spans="1:68" ht="12" customHeight="1">
      <c r="A68" s="104" t="s">
        <v>409</v>
      </c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1" t="s">
        <v>419</v>
      </c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3"/>
      <c r="AA68" s="104" t="s">
        <v>466</v>
      </c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3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3"/>
    </row>
  </sheetData>
  <mergeCells count="18">
    <mergeCell ref="A42:BP42"/>
    <mergeCell ref="A40:F40"/>
    <mergeCell ref="G40:AE40"/>
    <mergeCell ref="AF40:AK40"/>
    <mergeCell ref="AL40:BP40"/>
    <mergeCell ref="A41:F41"/>
    <mergeCell ref="G41:AE41"/>
    <mergeCell ref="AF41:AK41"/>
    <mergeCell ref="AL41:BP41"/>
    <mergeCell ref="A8:BP8"/>
    <mergeCell ref="A6:F6"/>
    <mergeCell ref="G6:AE6"/>
    <mergeCell ref="AF6:AK6"/>
    <mergeCell ref="AL6:BP6"/>
    <mergeCell ref="A7:F7"/>
    <mergeCell ref="AF7:AK7"/>
    <mergeCell ref="G7:AE7"/>
    <mergeCell ref="AL7:BP7"/>
  </mergeCells>
  <phoneticPr fontId="9"/>
  <pageMargins left="0.19685039370078741" right="0.23622047244094491" top="0.39370078740157483" bottom="0.39370078740157483" header="0" footer="0.19685039370078741"/>
  <pageSetup paperSize="9" fitToHeight="0" orientation="landscape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W44"/>
  <sheetViews>
    <sheetView showGridLines="0" view="pageBreakPreview" zoomScaleNormal="100" zoomScaleSheetLayoutView="100" workbookViewId="0">
      <pane ySplit="5" topLeftCell="A6" activePane="bottomLeft" state="frozen"/>
      <selection activeCell="A10" sqref="A10"/>
      <selection pane="bottomLeft" activeCell="AN40" sqref="AN40"/>
    </sheetView>
  </sheetViews>
  <sheetFormatPr defaultColWidth="2.125" defaultRowHeight="12.6" customHeight="1"/>
  <cols>
    <col min="1" max="16384" width="2.125" style="5"/>
  </cols>
  <sheetData>
    <row r="1" spans="1:75" ht="12.6" customHeight="1">
      <c r="BW1" s="9"/>
    </row>
    <row r="5" spans="1:75" ht="5.2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spans="1:75" ht="12" customHeight="1">
      <c r="A6" s="547" t="s">
        <v>103</v>
      </c>
      <c r="B6" s="548"/>
      <c r="C6" s="548"/>
      <c r="D6" s="548"/>
      <c r="E6" s="548"/>
      <c r="F6" s="549"/>
      <c r="G6" s="550" t="s">
        <v>476</v>
      </c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2"/>
      <c r="AA6" s="552"/>
      <c r="AB6" s="552"/>
      <c r="AC6" s="552"/>
      <c r="AD6" s="552"/>
      <c r="AE6" s="553"/>
      <c r="AF6" s="547" t="s">
        <v>104</v>
      </c>
      <c r="AG6" s="548"/>
      <c r="AH6" s="548"/>
      <c r="AI6" s="548"/>
      <c r="AJ6" s="548"/>
      <c r="AK6" s="549"/>
      <c r="AL6" s="550" t="s">
        <v>444</v>
      </c>
      <c r="AM6" s="551"/>
      <c r="AN6" s="551"/>
      <c r="AO6" s="554"/>
      <c r="AP6" s="554"/>
      <c r="AQ6" s="554"/>
      <c r="AR6" s="554"/>
      <c r="AS6" s="554"/>
      <c r="AT6" s="554"/>
      <c r="AU6" s="554"/>
      <c r="AV6" s="554"/>
      <c r="AW6" s="554"/>
      <c r="AX6" s="554"/>
      <c r="AY6" s="554"/>
      <c r="AZ6" s="554"/>
      <c r="BA6" s="554"/>
      <c r="BB6" s="554"/>
      <c r="BC6" s="554"/>
      <c r="BD6" s="554"/>
      <c r="BE6" s="554"/>
      <c r="BF6" s="554"/>
      <c r="BG6" s="554"/>
      <c r="BH6" s="554"/>
      <c r="BI6" s="554"/>
      <c r="BJ6" s="554"/>
      <c r="BK6" s="554"/>
      <c r="BL6" s="554"/>
      <c r="BM6" s="554"/>
      <c r="BN6" s="554"/>
      <c r="BO6" s="554"/>
      <c r="BP6" s="555"/>
    </row>
    <row r="7" spans="1:75" ht="12" customHeight="1">
      <c r="A7" s="544" t="s">
        <v>122</v>
      </c>
      <c r="B7" s="545"/>
      <c r="C7" s="545"/>
      <c r="D7" s="545"/>
      <c r="E7" s="545"/>
      <c r="F7" s="546"/>
      <c r="G7" s="556" t="s">
        <v>446</v>
      </c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8"/>
      <c r="AF7" s="547" t="s">
        <v>123</v>
      </c>
      <c r="AG7" s="548"/>
      <c r="AH7" s="548"/>
      <c r="AI7" s="548"/>
      <c r="AJ7" s="548"/>
      <c r="AK7" s="549"/>
      <c r="AL7" s="559" t="s">
        <v>445</v>
      </c>
      <c r="AM7" s="560"/>
      <c r="AN7" s="560"/>
      <c r="AO7" s="560"/>
      <c r="AP7" s="560"/>
      <c r="AQ7" s="560"/>
      <c r="AR7" s="560"/>
      <c r="AS7" s="560"/>
      <c r="AT7" s="560"/>
      <c r="AU7" s="560"/>
      <c r="AV7" s="560"/>
      <c r="AW7" s="560"/>
      <c r="AX7" s="560"/>
      <c r="AY7" s="560"/>
      <c r="AZ7" s="560"/>
      <c r="BA7" s="560"/>
      <c r="BB7" s="560"/>
      <c r="BC7" s="560"/>
      <c r="BD7" s="560"/>
      <c r="BE7" s="560"/>
      <c r="BF7" s="560"/>
      <c r="BG7" s="560"/>
      <c r="BH7" s="560"/>
      <c r="BI7" s="560"/>
      <c r="BJ7" s="560"/>
      <c r="BK7" s="560"/>
      <c r="BL7" s="560"/>
      <c r="BM7" s="560"/>
      <c r="BN7" s="560"/>
      <c r="BO7" s="560"/>
      <c r="BP7" s="561"/>
    </row>
    <row r="8" spans="1:75" ht="12" customHeight="1">
      <c r="A8" s="544" t="s">
        <v>105</v>
      </c>
      <c r="B8" s="545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5"/>
      <c r="AS8" s="545"/>
      <c r="AT8" s="545"/>
      <c r="AU8" s="545"/>
      <c r="AV8" s="545"/>
      <c r="AW8" s="545"/>
      <c r="AX8" s="545"/>
      <c r="AY8" s="545"/>
      <c r="AZ8" s="545"/>
      <c r="BA8" s="545"/>
      <c r="BB8" s="545"/>
      <c r="BC8" s="545"/>
      <c r="BD8" s="545"/>
      <c r="BE8" s="545"/>
      <c r="BF8" s="545"/>
      <c r="BG8" s="545"/>
      <c r="BH8" s="545"/>
      <c r="BI8" s="545"/>
      <c r="BJ8" s="545"/>
      <c r="BK8" s="545"/>
      <c r="BL8" s="545"/>
      <c r="BM8" s="545"/>
      <c r="BN8" s="545"/>
      <c r="BO8" s="545"/>
      <c r="BP8" s="546"/>
    </row>
    <row r="9" spans="1:75" ht="12" customHeight="1">
      <c r="A9" s="39" t="s">
        <v>102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39" t="s">
        <v>106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1"/>
      <c r="AU9" s="39" t="s">
        <v>67</v>
      </c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1"/>
    </row>
    <row r="10" spans="1:75" ht="12" customHeight="1">
      <c r="A10" s="60" t="s">
        <v>477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43" t="s">
        <v>482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60" t="s">
        <v>520</v>
      </c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2"/>
      <c r="AU10" s="61" t="s">
        <v>519</v>
      </c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2"/>
    </row>
    <row r="11" spans="1:75" ht="12" customHeight="1">
      <c r="A11" s="60" t="s">
        <v>478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44" t="s">
        <v>483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60" t="s">
        <v>521</v>
      </c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2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2"/>
    </row>
    <row r="12" spans="1:75" ht="12" customHeight="1">
      <c r="A12" s="60" t="s">
        <v>479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44" t="s">
        <v>484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/>
      <c r="AA12" s="60" t="s">
        <v>522</v>
      </c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2"/>
      <c r="AU12" s="61" t="s">
        <v>518</v>
      </c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2"/>
    </row>
    <row r="13" spans="1:75" ht="12" customHeight="1">
      <c r="A13" s="60" t="s">
        <v>480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44" t="s">
        <v>485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60" t="s">
        <v>523</v>
      </c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2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2"/>
    </row>
    <row r="14" spans="1:75" ht="12" customHeight="1">
      <c r="A14" s="60" t="s">
        <v>153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44" t="s">
        <v>399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/>
      <c r="AA14" s="60" t="s">
        <v>487</v>
      </c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2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2"/>
    </row>
    <row r="15" spans="1:75" ht="12" customHeight="1">
      <c r="A15" s="60" t="s">
        <v>481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44" t="s">
        <v>486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0" t="s">
        <v>488</v>
      </c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2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2"/>
    </row>
    <row r="16" spans="1:75" ht="12" customHeight="1">
      <c r="A16" s="60" t="s">
        <v>223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44" t="s">
        <v>425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0" t="s">
        <v>489</v>
      </c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2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2"/>
    </row>
    <row r="17" spans="1:68" ht="12" customHeight="1">
      <c r="A17" s="60" t="s">
        <v>184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44" t="s">
        <v>426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60" t="s">
        <v>490</v>
      </c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2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2"/>
    </row>
    <row r="18" spans="1:68" ht="12" customHeight="1">
      <c r="A18" s="60" t="s">
        <v>185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44" t="s">
        <v>427</v>
      </c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0" t="s">
        <v>491</v>
      </c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2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2"/>
    </row>
    <row r="19" spans="1:68" ht="12" customHeight="1">
      <c r="A19" s="60" t="s">
        <v>186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44" t="s">
        <v>428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0" t="s">
        <v>492</v>
      </c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2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2"/>
    </row>
    <row r="20" spans="1:68" ht="12" customHeight="1">
      <c r="A20" s="60" t="s">
        <v>187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44" t="s">
        <v>429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0" t="s">
        <v>493</v>
      </c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2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2"/>
    </row>
    <row r="21" spans="1:68" ht="12" customHeight="1">
      <c r="A21" s="60" t="s">
        <v>190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44" t="s">
        <v>430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0" t="s">
        <v>494</v>
      </c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2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2"/>
    </row>
    <row r="22" spans="1:68" ht="12" customHeight="1">
      <c r="A22" s="60" t="s">
        <v>193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44" t="s">
        <v>431</v>
      </c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0" t="s">
        <v>495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2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2"/>
    </row>
    <row r="23" spans="1:68" ht="12" customHeight="1">
      <c r="A23" s="60" t="s">
        <v>196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44" t="s">
        <v>432</v>
      </c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  <c r="AA23" s="60" t="s">
        <v>496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2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2"/>
    </row>
    <row r="24" spans="1:68" ht="12" customHeight="1">
      <c r="A24" s="60" t="s">
        <v>199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44" t="s">
        <v>433</v>
      </c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0" t="s">
        <v>497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2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2"/>
    </row>
    <row r="25" spans="1:68" ht="12" customHeight="1">
      <c r="A25" s="60" t="s">
        <v>189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44" t="s">
        <v>434</v>
      </c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2"/>
      <c r="AA25" s="60" t="s">
        <v>498</v>
      </c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2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2"/>
    </row>
    <row r="26" spans="1:68" ht="12" customHeight="1">
      <c r="A26" s="60" t="s">
        <v>192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44" t="s">
        <v>435</v>
      </c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0" t="s">
        <v>499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2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2"/>
    </row>
    <row r="27" spans="1:68" ht="12" customHeight="1">
      <c r="A27" s="60" t="s">
        <v>195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44" t="s">
        <v>436</v>
      </c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2"/>
      <c r="AA27" s="60" t="s">
        <v>500</v>
      </c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2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2"/>
    </row>
    <row r="28" spans="1:68" ht="12" customHeight="1">
      <c r="A28" s="60" t="s">
        <v>198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44" t="s">
        <v>437</v>
      </c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2"/>
      <c r="AA28" s="60" t="s">
        <v>501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2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2"/>
    </row>
    <row r="29" spans="1:68" ht="12" customHeight="1">
      <c r="A29" s="60" t="s">
        <v>201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44" t="s">
        <v>438</v>
      </c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0" t="s">
        <v>502</v>
      </c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2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2"/>
    </row>
    <row r="30" spans="1:68" ht="12" customHeight="1">
      <c r="A30" s="60" t="s">
        <v>188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44" t="s">
        <v>439</v>
      </c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2"/>
      <c r="AA30" s="60" t="s">
        <v>503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2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2"/>
    </row>
    <row r="31" spans="1:68" ht="12" customHeight="1">
      <c r="A31" s="60" t="s">
        <v>191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44" t="s">
        <v>440</v>
      </c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  <c r="AA31" s="60" t="s">
        <v>504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2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2"/>
    </row>
    <row r="32" spans="1:68" ht="12" customHeight="1">
      <c r="A32" s="60" t="s">
        <v>194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44" t="s">
        <v>441</v>
      </c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0" t="s">
        <v>505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2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2"/>
    </row>
    <row r="33" spans="1:68" ht="12" customHeight="1">
      <c r="A33" s="60" t="s">
        <v>197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44" t="s">
        <v>442</v>
      </c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0" t="s">
        <v>506</v>
      </c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2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2"/>
    </row>
    <row r="34" spans="1:68" ht="12" customHeight="1">
      <c r="A34" s="60" t="s">
        <v>200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44" t="s">
        <v>443</v>
      </c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0" t="s">
        <v>507</v>
      </c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2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2"/>
    </row>
    <row r="35" spans="1:68" ht="12" customHeight="1">
      <c r="A35" s="60" t="s">
        <v>400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44" t="s">
        <v>410</v>
      </c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60" t="s">
        <v>508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2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2"/>
    </row>
    <row r="36" spans="1:68" ht="12" customHeight="1">
      <c r="A36" s="60" t="s">
        <v>401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44" t="s">
        <v>411</v>
      </c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2"/>
      <c r="AA36" s="60" t="s">
        <v>509</v>
      </c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2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2"/>
    </row>
    <row r="37" spans="1:68" ht="12" customHeight="1">
      <c r="A37" s="60" t="s">
        <v>402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44" t="s">
        <v>412</v>
      </c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2"/>
      <c r="AA37" s="60" t="s">
        <v>510</v>
      </c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2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2"/>
    </row>
    <row r="38" spans="1:68" ht="12" customHeight="1">
      <c r="A38" s="60" t="s">
        <v>403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44" t="s">
        <v>413</v>
      </c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2"/>
      <c r="AA38" s="60" t="s">
        <v>511</v>
      </c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2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2"/>
    </row>
    <row r="39" spans="1:68" ht="12" customHeight="1">
      <c r="A39" s="60" t="s">
        <v>404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44" t="s">
        <v>414</v>
      </c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2"/>
      <c r="AA39" s="60" t="s">
        <v>512</v>
      </c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2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2"/>
    </row>
    <row r="40" spans="1:68" ht="12" customHeight="1">
      <c r="A40" s="60" t="s">
        <v>405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44" t="s">
        <v>415</v>
      </c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2"/>
      <c r="AA40" s="60" t="s">
        <v>513</v>
      </c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2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2"/>
    </row>
    <row r="41" spans="1:68" ht="12" customHeight="1">
      <c r="A41" s="60" t="s">
        <v>406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44" t="s">
        <v>416</v>
      </c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2"/>
      <c r="AA41" s="60" t="s">
        <v>514</v>
      </c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2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2"/>
    </row>
    <row r="42" spans="1:68" ht="12" customHeight="1">
      <c r="A42" s="60" t="s">
        <v>407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44" t="s">
        <v>417</v>
      </c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2"/>
      <c r="AA42" s="60" t="s">
        <v>515</v>
      </c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2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2"/>
    </row>
    <row r="43" spans="1:68" ht="12" customHeight="1">
      <c r="A43" s="60" t="s">
        <v>408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44" t="s">
        <v>418</v>
      </c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2"/>
      <c r="AA43" s="60" t="s">
        <v>516</v>
      </c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2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2"/>
    </row>
    <row r="44" spans="1:68" ht="12" customHeight="1">
      <c r="A44" s="104" t="s">
        <v>409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1" t="s">
        <v>419</v>
      </c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3"/>
      <c r="AA44" s="104" t="s">
        <v>517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3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3"/>
    </row>
  </sheetData>
  <mergeCells count="9">
    <mergeCell ref="A8:BP8"/>
    <mergeCell ref="A6:F6"/>
    <mergeCell ref="G6:AE6"/>
    <mergeCell ref="AF6:AK6"/>
    <mergeCell ref="AL6:BP6"/>
    <mergeCell ref="A7:F7"/>
    <mergeCell ref="G7:AE7"/>
    <mergeCell ref="AF7:AK7"/>
    <mergeCell ref="AL7:BP7"/>
  </mergeCells>
  <phoneticPr fontId="9"/>
  <pageMargins left="0.19685039370078741" right="0.23622047244094491" top="0.39370078740157483" bottom="0.39370078740157483" header="0" footer="0.19685039370078741"/>
  <pageSetup paperSize="9" fitToHeight="0" orientation="landscape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W76"/>
  <sheetViews>
    <sheetView showGridLines="0" view="pageBreakPreview" zoomScaleNormal="100" zoomScaleSheetLayoutView="100" workbookViewId="0">
      <pane ySplit="5" topLeftCell="A6" activePane="bottomLeft" state="frozen"/>
      <selection sqref="A1:G2"/>
      <selection pane="bottomLeft" activeCell="AX49" sqref="AX49"/>
    </sheetView>
  </sheetViews>
  <sheetFormatPr defaultColWidth="2.25" defaultRowHeight="12.6" customHeight="1"/>
  <cols>
    <col min="1" max="16384" width="2.25" style="5"/>
  </cols>
  <sheetData>
    <row r="1" spans="1:75" ht="12.6" customHeight="1">
      <c r="BW1" s="9"/>
    </row>
    <row r="5" spans="1:75" ht="12.6" customHeight="1">
      <c r="A5" s="233" t="s">
        <v>107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4"/>
      <c r="BL5" s="234"/>
      <c r="BM5" s="234"/>
      <c r="BN5" s="234"/>
      <c r="BO5" s="234"/>
      <c r="BP5" s="235"/>
    </row>
    <row r="6" spans="1:75" ht="12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26"/>
    </row>
    <row r="7" spans="1:75" ht="12" customHeight="1">
      <c r="A7" s="7"/>
      <c r="BP7" s="6"/>
    </row>
    <row r="8" spans="1:75" ht="12" customHeight="1">
      <c r="A8" s="7"/>
      <c r="BP8" s="6"/>
    </row>
    <row r="9" spans="1:75" ht="12" customHeight="1">
      <c r="A9" s="7"/>
      <c r="BP9" s="6"/>
    </row>
    <row r="10" spans="1:75" ht="12" customHeight="1">
      <c r="A10" s="7"/>
      <c r="BP10" s="6"/>
    </row>
    <row r="11" spans="1:75" ht="12" customHeight="1">
      <c r="A11" s="7"/>
      <c r="BP11" s="6"/>
    </row>
    <row r="12" spans="1:75" ht="12" customHeight="1">
      <c r="A12" s="7"/>
      <c r="BP12" s="6"/>
    </row>
    <row r="13" spans="1:75" ht="13.5" customHeight="1">
      <c r="A13" s="7"/>
      <c r="BP13" s="6"/>
    </row>
    <row r="14" spans="1:75" ht="13.5" customHeight="1">
      <c r="A14" s="7"/>
      <c r="BP14" s="6"/>
    </row>
    <row r="15" spans="1:75" ht="13.5" customHeight="1">
      <c r="A15" s="7"/>
      <c r="BP15" s="6"/>
    </row>
    <row r="16" spans="1:75" ht="13.5" customHeight="1">
      <c r="A16" s="7"/>
      <c r="BP16" s="6"/>
    </row>
    <row r="17" spans="1:68" ht="13.5" customHeight="1">
      <c r="A17" s="7"/>
      <c r="BP17" s="6"/>
    </row>
    <row r="18" spans="1:68" ht="13.5" customHeight="1">
      <c r="A18" s="7"/>
      <c r="BP18" s="6"/>
    </row>
    <row r="19" spans="1:68" ht="13.5" customHeight="1">
      <c r="A19" s="7"/>
      <c r="BP19" s="6"/>
    </row>
    <row r="20" spans="1:68" ht="13.5" customHeight="1">
      <c r="A20" s="7"/>
      <c r="BP20" s="6"/>
    </row>
    <row r="21" spans="1:68" ht="13.5" customHeight="1">
      <c r="A21" s="7"/>
      <c r="BP21" s="6"/>
    </row>
    <row r="22" spans="1:68" ht="12" customHeight="1">
      <c r="A22" s="7"/>
      <c r="BP22" s="6"/>
    </row>
    <row r="23" spans="1:68" ht="12" customHeight="1">
      <c r="A23" s="7"/>
      <c r="BP23" s="6"/>
    </row>
    <row r="24" spans="1:68" ht="12" customHeight="1">
      <c r="A24" s="7"/>
      <c r="BP24" s="6"/>
    </row>
    <row r="25" spans="1:68" ht="12" customHeight="1">
      <c r="A25" s="7"/>
      <c r="BP25" s="6"/>
    </row>
    <row r="26" spans="1:68" ht="13.5" customHeight="1">
      <c r="A26" s="7"/>
      <c r="BP26" s="6"/>
    </row>
    <row r="27" spans="1:68" ht="13.5" customHeight="1">
      <c r="A27" s="7"/>
      <c r="BP27" s="6"/>
    </row>
    <row r="28" spans="1:68" ht="13.5" customHeight="1">
      <c r="A28" s="7"/>
      <c r="BP28" s="6"/>
    </row>
    <row r="29" spans="1:68" ht="13.5" customHeight="1">
      <c r="A29" s="7"/>
      <c r="BP29" s="6"/>
    </row>
    <row r="30" spans="1:68" ht="13.5" customHeight="1">
      <c r="A30" s="7"/>
      <c r="BP30" s="6"/>
    </row>
    <row r="31" spans="1:68" ht="13.5" customHeight="1">
      <c r="A31" s="7"/>
      <c r="BP31" s="6"/>
    </row>
    <row r="32" spans="1:68" ht="13.5" customHeight="1">
      <c r="A32" s="7"/>
      <c r="BP32" s="6"/>
    </row>
    <row r="33" spans="1:68" ht="13.5" customHeight="1">
      <c r="A33" s="7"/>
      <c r="BP33" s="6"/>
    </row>
    <row r="34" spans="1:68" ht="13.5" customHeight="1">
      <c r="A34" s="7"/>
      <c r="BP34" s="6"/>
    </row>
    <row r="35" spans="1:68" ht="12" customHeight="1">
      <c r="A35" s="7"/>
      <c r="BP35" s="6"/>
    </row>
    <row r="36" spans="1:68" ht="12" customHeight="1">
      <c r="A36" s="7"/>
      <c r="BP36" s="6"/>
    </row>
    <row r="37" spans="1:68" ht="12" customHeight="1">
      <c r="A37" s="7"/>
      <c r="F37" s="10"/>
      <c r="G37" s="10"/>
      <c r="H37" s="10"/>
      <c r="I37" s="10"/>
      <c r="J37" s="10"/>
      <c r="BP37" s="6"/>
    </row>
    <row r="38" spans="1:68" ht="12" customHeight="1">
      <c r="A38" s="7"/>
      <c r="F38" s="10"/>
      <c r="G38" s="10"/>
      <c r="H38" s="10"/>
      <c r="I38" s="10"/>
      <c r="J38" s="10"/>
      <c r="BP38" s="6"/>
    </row>
    <row r="39" spans="1:68" ht="12" customHeight="1">
      <c r="A39" s="7"/>
      <c r="F39" s="10"/>
      <c r="G39" s="10"/>
      <c r="H39" s="10"/>
      <c r="I39" s="10"/>
      <c r="J39" s="10"/>
      <c r="BP39" s="6"/>
    </row>
    <row r="40" spans="1:68" ht="12" customHeight="1">
      <c r="A40" s="7"/>
      <c r="F40" s="10"/>
      <c r="G40" s="10"/>
      <c r="H40" s="10"/>
      <c r="I40" s="10"/>
      <c r="J40" s="10"/>
      <c r="BP40" s="6"/>
    </row>
    <row r="41" spans="1:68" ht="12" customHeight="1">
      <c r="A41" s="7"/>
      <c r="F41" s="10"/>
      <c r="G41" s="10"/>
      <c r="H41" s="10"/>
      <c r="I41" s="10"/>
      <c r="J41" s="10"/>
      <c r="BP41" s="6"/>
    </row>
    <row r="42" spans="1:68" ht="12" customHeight="1">
      <c r="A42" s="7"/>
      <c r="F42" s="10"/>
      <c r="G42" s="10"/>
      <c r="H42" s="10"/>
      <c r="I42" s="10"/>
      <c r="J42" s="10"/>
      <c r="BP42" s="6"/>
    </row>
    <row r="43" spans="1:68" ht="12" customHeight="1">
      <c r="A43" s="7"/>
      <c r="F43" s="10"/>
      <c r="G43" s="10"/>
      <c r="H43" s="10"/>
      <c r="I43" s="10"/>
      <c r="J43" s="10"/>
      <c r="BP43" s="6"/>
    </row>
    <row r="44" spans="1:68" ht="12" customHeight="1">
      <c r="A44" s="7"/>
      <c r="F44" s="10"/>
      <c r="G44" s="10"/>
      <c r="H44" s="10"/>
      <c r="I44" s="10"/>
      <c r="J44" s="10"/>
      <c r="BP44" s="6"/>
    </row>
    <row r="45" spans="1:68" ht="12" customHeight="1">
      <c r="A45" s="7"/>
      <c r="F45" s="10"/>
      <c r="G45" s="10"/>
      <c r="H45" s="10"/>
      <c r="I45" s="10"/>
      <c r="J45" s="10"/>
      <c r="BP45" s="6"/>
    </row>
    <row r="46" spans="1:68" ht="12" customHeight="1">
      <c r="A46" s="7"/>
      <c r="F46" s="10"/>
      <c r="G46" s="10"/>
      <c r="H46" s="10"/>
      <c r="I46" s="10"/>
      <c r="J46" s="10"/>
      <c r="BP46" s="6"/>
    </row>
    <row r="47" spans="1:68" ht="12" customHeight="1">
      <c r="A47" s="7"/>
      <c r="F47" s="10"/>
      <c r="G47" s="10"/>
      <c r="H47" s="10"/>
      <c r="I47" s="10"/>
      <c r="J47" s="10"/>
      <c r="BP47" s="6"/>
    </row>
    <row r="48" spans="1:68" ht="12" customHeight="1">
      <c r="A48" s="7"/>
      <c r="F48" s="10"/>
      <c r="G48" s="10"/>
      <c r="H48" s="10"/>
      <c r="I48" s="10"/>
      <c r="J48" s="10"/>
      <c r="BP48" s="6"/>
    </row>
    <row r="49" spans="1:68" ht="12" customHeight="1">
      <c r="A49" s="7"/>
      <c r="F49" s="10"/>
      <c r="G49" s="10"/>
      <c r="H49" s="10"/>
      <c r="I49" s="10"/>
      <c r="J49" s="10"/>
      <c r="BP49" s="6"/>
    </row>
    <row r="50" spans="1:68" ht="12" customHeight="1">
      <c r="A50" s="7"/>
      <c r="F50" s="10"/>
      <c r="G50" s="10"/>
      <c r="H50" s="10"/>
      <c r="I50" s="10"/>
      <c r="J50" s="10"/>
      <c r="BP50" s="6"/>
    </row>
    <row r="51" spans="1:68" ht="12" customHeight="1">
      <c r="A51" s="7"/>
      <c r="F51" s="10"/>
      <c r="G51" s="10"/>
      <c r="H51" s="10"/>
      <c r="I51" s="10"/>
      <c r="J51" s="10"/>
      <c r="BP51" s="6"/>
    </row>
    <row r="52" spans="1:68" ht="12" customHeight="1">
      <c r="A52" s="7"/>
      <c r="F52" s="10"/>
      <c r="G52" s="10"/>
      <c r="H52" s="10"/>
      <c r="I52" s="10"/>
      <c r="J52" s="10"/>
      <c r="BP52" s="6"/>
    </row>
    <row r="53" spans="1:68" ht="12" customHeight="1">
      <c r="A53" s="7"/>
      <c r="F53" s="10"/>
      <c r="G53" s="10"/>
      <c r="H53" s="10"/>
      <c r="I53" s="10"/>
      <c r="J53" s="10"/>
      <c r="BP53" s="6"/>
    </row>
    <row r="54" spans="1:68" ht="12" customHeight="1">
      <c r="A54" s="7"/>
      <c r="F54" s="10"/>
      <c r="G54" s="10"/>
      <c r="H54" s="10"/>
      <c r="I54" s="10"/>
      <c r="J54" s="10"/>
      <c r="BP54" s="6"/>
    </row>
    <row r="55" spans="1:68" ht="12" customHeight="1">
      <c r="A55" s="7"/>
      <c r="F55" s="10"/>
      <c r="G55" s="10"/>
      <c r="H55" s="10"/>
      <c r="I55" s="10"/>
      <c r="J55" s="10"/>
      <c r="BP55" s="6"/>
    </row>
    <row r="56" spans="1:68" ht="12" customHeight="1">
      <c r="A56" s="7"/>
      <c r="BP56" s="6"/>
    </row>
    <row r="57" spans="1:68" ht="12" customHeight="1">
      <c r="A57" s="7"/>
      <c r="BP57" s="6"/>
    </row>
    <row r="58" spans="1:68" ht="12" customHeight="1">
      <c r="A58" s="7"/>
      <c r="BP58" s="6"/>
    </row>
    <row r="59" spans="1:68" ht="12" customHeight="1">
      <c r="A59" s="7"/>
      <c r="BP59" s="6"/>
    </row>
    <row r="60" spans="1:68" ht="12" customHeight="1">
      <c r="A60" s="7"/>
      <c r="BP60" s="6"/>
    </row>
    <row r="61" spans="1:68" ht="12">
      <c r="A61" s="7"/>
      <c r="BP61" s="6"/>
    </row>
    <row r="62" spans="1:68" ht="12">
      <c r="A62" s="7"/>
      <c r="BP62" s="6"/>
    </row>
    <row r="63" spans="1:68" ht="12">
      <c r="A63" s="7"/>
      <c r="BP63" s="6"/>
    </row>
    <row r="64" spans="1:68" ht="12" customHeight="1">
      <c r="A64" s="7"/>
      <c r="BP64" s="6"/>
    </row>
    <row r="65" spans="1:68" ht="12" customHeight="1">
      <c r="A65" s="7"/>
      <c r="BP65" s="6"/>
    </row>
    <row r="66" spans="1:68" ht="12" customHeight="1">
      <c r="A66" s="7"/>
      <c r="BP66" s="6"/>
    </row>
    <row r="67" spans="1:68" ht="12" customHeight="1">
      <c r="A67" s="7"/>
      <c r="BP67" s="6"/>
    </row>
    <row r="68" spans="1:68" ht="12" customHeight="1">
      <c r="A68" s="7"/>
      <c r="BP68" s="6"/>
    </row>
    <row r="69" spans="1:68" ht="12" customHeight="1">
      <c r="A69" s="7"/>
      <c r="BP69" s="6"/>
    </row>
    <row r="70" spans="1:68" ht="12" customHeight="1">
      <c r="A70" s="7"/>
      <c r="BP70" s="6"/>
    </row>
    <row r="71" spans="1:68" ht="12" customHeight="1">
      <c r="A71" s="7"/>
      <c r="BP71" s="6"/>
    </row>
    <row r="72" spans="1:68" ht="12" customHeight="1">
      <c r="A72" s="7"/>
      <c r="BP72" s="6"/>
    </row>
    <row r="73" spans="1:68" ht="12" customHeight="1">
      <c r="A73" s="7"/>
      <c r="BP73" s="6"/>
    </row>
    <row r="74" spans="1:68" ht="12" customHeight="1">
      <c r="A74" s="7"/>
      <c r="B74" s="49"/>
      <c r="C74" s="49"/>
      <c r="D74" s="49"/>
      <c r="E74" s="49"/>
      <c r="F74" s="48"/>
      <c r="G74" s="48"/>
      <c r="H74" s="48"/>
      <c r="I74" s="48"/>
      <c r="J74" s="48"/>
      <c r="K74" s="49"/>
      <c r="L74" s="48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BP74" s="6"/>
    </row>
    <row r="75" spans="1:68" ht="12" customHeight="1">
      <c r="A75" s="7"/>
      <c r="B75" s="49"/>
      <c r="C75" s="49"/>
      <c r="D75" s="49"/>
      <c r="E75" s="49"/>
      <c r="F75" s="48"/>
      <c r="G75" s="48"/>
      <c r="H75" s="48"/>
      <c r="I75" s="48"/>
      <c r="J75" s="48"/>
      <c r="K75" s="49"/>
      <c r="L75" s="48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BP75" s="6"/>
    </row>
    <row r="76" spans="1:68" ht="12" customHeight="1">
      <c r="A76" s="27"/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30"/>
    </row>
  </sheetData>
  <mergeCells count="1">
    <mergeCell ref="A5:BP5"/>
  </mergeCells>
  <phoneticPr fontId="9"/>
  <pageMargins left="0.19685039370078741" right="0.23622047244094491" top="0.39370078740157483" bottom="0.39370078740157483" header="0" footer="0.19685039370078741"/>
  <pageSetup paperSize="9" scale="95" fitToHeight="0" orientation="landscape" verticalDpi="300" r:id="rId1"/>
  <headerFooter>
    <oddFooter>&amp;L&amp;"Meiryo UI,標準"&amp;9&amp;F&amp;C&amp;"Meiryo UI,標準"&amp;9&amp;P/&amp;N&amp;R&amp;"Meiryo UI,標準"&amp;9キヤノンITソリューションズ株式会社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4"/>
  <sheetViews>
    <sheetView topLeftCell="A6" workbookViewId="0">
      <selection activeCell="A6" sqref="A6:CA9"/>
    </sheetView>
  </sheetViews>
  <sheetFormatPr defaultColWidth="2.125" defaultRowHeight="12" customHeight="1"/>
  <cols>
    <col min="14" max="14" width="2.125" customWidth="1"/>
    <col min="25" max="25" width="2.125" customWidth="1"/>
    <col min="36" max="37" width="2.125" customWidth="1"/>
  </cols>
  <sheetData>
    <row r="1" spans="1:79" ht="12" customHeight="1" thickBot="1">
      <c r="A1" s="217" t="s">
        <v>0</v>
      </c>
      <c r="B1" s="217"/>
      <c r="C1" s="217"/>
      <c r="D1" s="217"/>
      <c r="E1" s="217"/>
      <c r="F1" s="207" t="s">
        <v>1</v>
      </c>
      <c r="G1" s="207"/>
      <c r="H1" s="207"/>
      <c r="I1" s="207"/>
      <c r="J1" s="207"/>
      <c r="K1" s="207" t="s">
        <v>2</v>
      </c>
      <c r="L1" s="207"/>
      <c r="M1" s="207"/>
      <c r="N1" s="207"/>
      <c r="O1" s="207"/>
      <c r="P1" s="221" t="s">
        <v>3</v>
      </c>
      <c r="Q1" s="221"/>
      <c r="R1" s="221"/>
      <c r="S1" s="221"/>
      <c r="T1" s="221"/>
      <c r="U1" s="221"/>
      <c r="V1" s="221" t="s">
        <v>108</v>
      </c>
      <c r="W1" s="221"/>
      <c r="X1" s="221"/>
      <c r="Y1" s="221"/>
      <c r="Z1" s="221"/>
      <c r="AA1" s="221"/>
      <c r="AB1" s="221" t="s">
        <v>4</v>
      </c>
      <c r="AC1" s="222"/>
      <c r="AD1" s="222"/>
      <c r="AE1" s="222"/>
      <c r="AF1" s="222"/>
      <c r="AG1" s="223"/>
      <c r="AH1" s="221" t="s">
        <v>5</v>
      </c>
      <c r="AI1" s="222"/>
      <c r="AJ1" s="222"/>
      <c r="AK1" s="222"/>
      <c r="AL1" s="223"/>
      <c r="AM1" s="221" t="s">
        <v>109</v>
      </c>
      <c r="AN1" s="222"/>
      <c r="AO1" s="222"/>
      <c r="AP1" s="222"/>
      <c r="AQ1" s="222"/>
      <c r="AR1" s="222"/>
      <c r="AS1" s="223"/>
      <c r="AT1" s="221" t="s">
        <v>7</v>
      </c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3"/>
      <c r="BQ1" s="205" t="s">
        <v>8</v>
      </c>
      <c r="BR1" s="205"/>
      <c r="BS1" s="205"/>
      <c r="BT1" s="205"/>
      <c r="BU1" s="206" t="str">
        <f>改版履歴!$CM$1</f>
        <v>CITS李（佳）</v>
      </c>
      <c r="BV1" s="206"/>
      <c r="BW1" s="206"/>
      <c r="BX1" s="206"/>
      <c r="BY1" s="207" t="s">
        <v>9</v>
      </c>
      <c r="BZ1" s="207"/>
      <c r="CA1" s="588"/>
    </row>
    <row r="2" spans="1:79" ht="12" customHeight="1">
      <c r="A2" s="217"/>
      <c r="B2" s="217"/>
      <c r="C2" s="217"/>
      <c r="D2" s="217"/>
      <c r="E2" s="21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7"/>
      <c r="AC2" s="228"/>
      <c r="AD2" s="228"/>
      <c r="AE2" s="228"/>
      <c r="AF2" s="228"/>
      <c r="AG2" s="229"/>
      <c r="AH2" s="227"/>
      <c r="AI2" s="228"/>
      <c r="AJ2" s="228"/>
      <c r="AK2" s="228"/>
      <c r="AL2" s="229"/>
      <c r="AM2" s="227"/>
      <c r="AN2" s="228"/>
      <c r="AO2" s="228"/>
      <c r="AP2" s="228"/>
      <c r="AQ2" s="228"/>
      <c r="AR2" s="228"/>
      <c r="AS2" s="229"/>
      <c r="AT2" s="227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9"/>
      <c r="BQ2" s="213" t="s">
        <v>10</v>
      </c>
      <c r="BR2" s="213"/>
      <c r="BS2" s="213"/>
      <c r="BT2" s="213"/>
      <c r="BU2" s="216">
        <f>改版履歴!$CM$2</f>
        <v>45918</v>
      </c>
      <c r="BV2" s="216"/>
      <c r="BW2" s="216"/>
      <c r="BX2" s="216"/>
      <c r="BY2" s="207"/>
      <c r="BZ2" s="207"/>
      <c r="CA2" s="588"/>
    </row>
    <row r="3" spans="1:79" ht="12" customHeight="1">
      <c r="A3" s="565" t="str">
        <f>改版履歴!$A$3</f>
        <v>NICCS</v>
      </c>
      <c r="B3" s="565"/>
      <c r="C3" s="565"/>
      <c r="D3" s="565"/>
      <c r="E3" s="565"/>
      <c r="F3" s="567" t="str">
        <f>改版履歴!$H$3</f>
        <v>マスタ</v>
      </c>
      <c r="G3" s="567"/>
      <c r="H3" s="567"/>
      <c r="I3" s="567"/>
      <c r="J3" s="567"/>
      <c r="K3" s="567" t="str">
        <f>改版履歴!$O$3</f>
        <v>内部設計</v>
      </c>
      <c r="L3" s="567"/>
      <c r="M3" s="567"/>
      <c r="N3" s="567"/>
      <c r="O3" s="567"/>
      <c r="P3" s="569" t="str">
        <f>改版履歴!$W$3</f>
        <v>画面設計書</v>
      </c>
      <c r="Q3" s="570"/>
      <c r="R3" s="570"/>
      <c r="S3" s="570"/>
      <c r="T3" s="570"/>
      <c r="U3" s="571"/>
      <c r="V3" s="199" t="s">
        <v>110</v>
      </c>
      <c r="W3" s="199"/>
      <c r="X3" s="199"/>
      <c r="Y3" s="199"/>
      <c r="Z3" s="199"/>
      <c r="AA3" s="199"/>
      <c r="AB3" s="576" t="str">
        <f>改版履歴!$AF$3</f>
        <v>一般マスタ管理</v>
      </c>
      <c r="AC3" s="577"/>
      <c r="AD3" s="577"/>
      <c r="AE3" s="577"/>
      <c r="AF3" s="577"/>
      <c r="AG3" s="578"/>
      <c r="AH3" s="576" t="str">
        <f>改版履歴!$AU$3</f>
        <v>MTI350</v>
      </c>
      <c r="AI3" s="577"/>
      <c r="AJ3" s="577"/>
      <c r="AK3" s="577"/>
      <c r="AL3" s="578"/>
      <c r="AM3" s="582" t="str">
        <f>改版履歴!$BB$3</f>
        <v>MTI350S01B02</v>
      </c>
      <c r="AN3" s="583"/>
      <c r="AO3" s="583"/>
      <c r="AP3" s="583"/>
      <c r="AQ3" s="583"/>
      <c r="AR3" s="583"/>
      <c r="AS3" s="584"/>
      <c r="AT3" s="582" t="str">
        <f>改版履歴!$BL$3</f>
        <v>汎用テーブル詳細（登録）</v>
      </c>
      <c r="AU3" s="583"/>
      <c r="AV3" s="583"/>
      <c r="AW3" s="583"/>
      <c r="AX3" s="583"/>
      <c r="AY3" s="583"/>
      <c r="AZ3" s="583"/>
      <c r="BA3" s="583"/>
      <c r="BB3" s="583"/>
      <c r="BC3" s="583"/>
      <c r="BD3" s="583"/>
      <c r="BE3" s="583"/>
      <c r="BF3" s="583"/>
      <c r="BG3" s="583"/>
      <c r="BH3" s="583"/>
      <c r="BI3" s="583"/>
      <c r="BJ3" s="583"/>
      <c r="BK3" s="583"/>
      <c r="BL3" s="583"/>
      <c r="BM3" s="583"/>
      <c r="BN3" s="583"/>
      <c r="BO3" s="583"/>
      <c r="BP3" s="584"/>
      <c r="BQ3" s="185" t="s">
        <v>13</v>
      </c>
      <c r="BR3" s="185"/>
      <c r="BS3" s="185"/>
      <c r="BT3" s="185"/>
      <c r="BU3" s="186" t="str">
        <f ca="1">改版履歴!$CM$3</f>
        <v>CITS佐藤</v>
      </c>
      <c r="BV3" s="186"/>
      <c r="BW3" s="186"/>
      <c r="BX3" s="186"/>
      <c r="BY3" s="187">
        <f ca="1">改版履歴!$CQ$3</f>
        <v>1</v>
      </c>
      <c r="BZ3" s="187"/>
      <c r="CA3" s="188"/>
    </row>
    <row r="4" spans="1:79" ht="12" customHeight="1" thickBot="1">
      <c r="A4" s="566"/>
      <c r="B4" s="566"/>
      <c r="C4" s="566"/>
      <c r="D4" s="566"/>
      <c r="E4" s="566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72"/>
      <c r="Q4" s="573"/>
      <c r="R4" s="573"/>
      <c r="S4" s="573"/>
      <c r="T4" s="573"/>
      <c r="U4" s="574"/>
      <c r="V4" s="575"/>
      <c r="W4" s="575"/>
      <c r="X4" s="575"/>
      <c r="Y4" s="575"/>
      <c r="Z4" s="575"/>
      <c r="AA4" s="575"/>
      <c r="AB4" s="579"/>
      <c r="AC4" s="580"/>
      <c r="AD4" s="580"/>
      <c r="AE4" s="580"/>
      <c r="AF4" s="580"/>
      <c r="AG4" s="581"/>
      <c r="AH4" s="579"/>
      <c r="AI4" s="580"/>
      <c r="AJ4" s="580"/>
      <c r="AK4" s="580"/>
      <c r="AL4" s="581"/>
      <c r="AM4" s="585"/>
      <c r="AN4" s="586"/>
      <c r="AO4" s="586"/>
      <c r="AP4" s="586"/>
      <c r="AQ4" s="586"/>
      <c r="AR4" s="586"/>
      <c r="AS4" s="587"/>
      <c r="AT4" s="585"/>
      <c r="AU4" s="586"/>
      <c r="AV4" s="586"/>
      <c r="AW4" s="586"/>
      <c r="AX4" s="586"/>
      <c r="AY4" s="586"/>
      <c r="AZ4" s="586"/>
      <c r="BA4" s="586"/>
      <c r="BB4" s="586"/>
      <c r="BC4" s="586"/>
      <c r="BD4" s="586"/>
      <c r="BE4" s="586"/>
      <c r="BF4" s="586"/>
      <c r="BG4" s="586"/>
      <c r="BH4" s="586"/>
      <c r="BI4" s="586"/>
      <c r="BJ4" s="586"/>
      <c r="BK4" s="586"/>
      <c r="BL4" s="586"/>
      <c r="BM4" s="586"/>
      <c r="BN4" s="586"/>
      <c r="BO4" s="586"/>
      <c r="BP4" s="587"/>
      <c r="BQ4" s="191" t="s">
        <v>14</v>
      </c>
      <c r="BR4" s="191"/>
      <c r="BS4" s="191"/>
      <c r="BT4" s="191"/>
      <c r="BU4" s="192">
        <f ca="1">改版履歴!$CM$4</f>
        <v>46055</v>
      </c>
      <c r="BV4" s="192"/>
      <c r="BW4" s="192"/>
      <c r="BX4" s="192"/>
      <c r="BY4" s="563"/>
      <c r="BZ4" s="563"/>
      <c r="CA4" s="564"/>
    </row>
    <row r="5" spans="1:79" ht="12" customHeight="1" thickBot="1"/>
    <row r="6" spans="1:79" ht="12" customHeight="1" thickBot="1">
      <c r="A6" s="217" t="s">
        <v>0</v>
      </c>
      <c r="B6" s="217"/>
      <c r="C6" s="217"/>
      <c r="D6" s="217"/>
      <c r="E6" s="217"/>
      <c r="F6" s="207" t="s">
        <v>1</v>
      </c>
      <c r="G6" s="207"/>
      <c r="H6" s="207"/>
      <c r="I6" s="207"/>
      <c r="J6" s="207"/>
      <c r="K6" s="207" t="s">
        <v>2</v>
      </c>
      <c r="L6" s="207"/>
      <c r="M6" s="207"/>
      <c r="N6" s="207"/>
      <c r="O6" s="207"/>
      <c r="P6" s="221" t="s">
        <v>3</v>
      </c>
      <c r="Q6" s="221"/>
      <c r="R6" s="221"/>
      <c r="S6" s="221"/>
      <c r="T6" s="221"/>
      <c r="U6" s="221"/>
      <c r="V6" s="221" t="s">
        <v>108</v>
      </c>
      <c r="W6" s="221"/>
      <c r="X6" s="221"/>
      <c r="Y6" s="221"/>
      <c r="Z6" s="221"/>
      <c r="AA6" s="221"/>
      <c r="AB6" s="221" t="s">
        <v>4</v>
      </c>
      <c r="AC6" s="222"/>
      <c r="AD6" s="222"/>
      <c r="AE6" s="222"/>
      <c r="AF6" s="222"/>
      <c r="AG6" s="223"/>
      <c r="AH6" s="221" t="s">
        <v>5</v>
      </c>
      <c r="AI6" s="222"/>
      <c r="AJ6" s="222"/>
      <c r="AK6" s="222"/>
      <c r="AL6" s="223"/>
      <c r="AM6" s="221" t="s">
        <v>109</v>
      </c>
      <c r="AN6" s="222"/>
      <c r="AO6" s="222"/>
      <c r="AP6" s="222"/>
      <c r="AQ6" s="222"/>
      <c r="AR6" s="222"/>
      <c r="AS6" s="223"/>
      <c r="AT6" s="221" t="s">
        <v>7</v>
      </c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3"/>
      <c r="BQ6" s="205" t="s">
        <v>8</v>
      </c>
      <c r="BR6" s="205"/>
      <c r="BS6" s="205"/>
      <c r="BT6" s="205"/>
      <c r="BU6" s="206" t="str">
        <f>改版履歴!$CM$1</f>
        <v>CITS李（佳）</v>
      </c>
      <c r="BV6" s="206"/>
      <c r="BW6" s="206"/>
      <c r="BX6" s="206"/>
      <c r="BY6" s="207" t="s">
        <v>9</v>
      </c>
      <c r="BZ6" s="207"/>
      <c r="CA6" s="588"/>
    </row>
    <row r="7" spans="1:79" ht="12" customHeight="1">
      <c r="A7" s="217"/>
      <c r="B7" s="217"/>
      <c r="C7" s="217"/>
      <c r="D7" s="217"/>
      <c r="E7" s="21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7"/>
      <c r="AC7" s="228"/>
      <c r="AD7" s="228"/>
      <c r="AE7" s="228"/>
      <c r="AF7" s="228"/>
      <c r="AG7" s="229"/>
      <c r="AH7" s="227"/>
      <c r="AI7" s="228"/>
      <c r="AJ7" s="228"/>
      <c r="AK7" s="228"/>
      <c r="AL7" s="229"/>
      <c r="AM7" s="227"/>
      <c r="AN7" s="228"/>
      <c r="AO7" s="228"/>
      <c r="AP7" s="228"/>
      <c r="AQ7" s="228"/>
      <c r="AR7" s="228"/>
      <c r="AS7" s="229"/>
      <c r="AT7" s="227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9"/>
      <c r="BQ7" s="213" t="s">
        <v>10</v>
      </c>
      <c r="BR7" s="213"/>
      <c r="BS7" s="213"/>
      <c r="BT7" s="213"/>
      <c r="BU7" s="216">
        <f>改版履歴!$CM$2</f>
        <v>45918</v>
      </c>
      <c r="BV7" s="216"/>
      <c r="BW7" s="216"/>
      <c r="BX7" s="216"/>
      <c r="BY7" s="207"/>
      <c r="BZ7" s="207"/>
      <c r="CA7" s="588"/>
    </row>
    <row r="8" spans="1:79" ht="12" customHeight="1">
      <c r="A8" s="565" t="str">
        <f>改版履歴!$A$3</f>
        <v>NICCS</v>
      </c>
      <c r="B8" s="565"/>
      <c r="C8" s="565"/>
      <c r="D8" s="565"/>
      <c r="E8" s="565"/>
      <c r="F8" s="567" t="str">
        <f>改版履歴!$H$3</f>
        <v>マスタ</v>
      </c>
      <c r="G8" s="567"/>
      <c r="H8" s="567"/>
      <c r="I8" s="567"/>
      <c r="J8" s="567"/>
      <c r="K8" s="567" t="str">
        <f>改版履歴!$O$3</f>
        <v>内部設計</v>
      </c>
      <c r="L8" s="567"/>
      <c r="M8" s="567"/>
      <c r="N8" s="567"/>
      <c r="O8" s="567"/>
      <c r="P8" s="569" t="str">
        <f>改版履歴!$W$3</f>
        <v>画面設計書</v>
      </c>
      <c r="Q8" s="570"/>
      <c r="R8" s="570"/>
      <c r="S8" s="570"/>
      <c r="T8" s="570"/>
      <c r="U8" s="571"/>
      <c r="V8" s="199" t="s">
        <v>111</v>
      </c>
      <c r="W8" s="199"/>
      <c r="X8" s="199"/>
      <c r="Y8" s="199"/>
      <c r="Z8" s="199"/>
      <c r="AA8" s="199"/>
      <c r="AB8" s="576" t="str">
        <f>改版履歴!$AF$3</f>
        <v>一般マスタ管理</v>
      </c>
      <c r="AC8" s="577"/>
      <c r="AD8" s="577"/>
      <c r="AE8" s="577"/>
      <c r="AF8" s="577"/>
      <c r="AG8" s="578"/>
      <c r="AH8" s="576" t="str">
        <f>改版履歴!$AU$3</f>
        <v>MTI350</v>
      </c>
      <c r="AI8" s="577"/>
      <c r="AJ8" s="577"/>
      <c r="AK8" s="577"/>
      <c r="AL8" s="578"/>
      <c r="AM8" s="582" t="str">
        <f>改版履歴!$BB$3</f>
        <v>MTI350S01B02</v>
      </c>
      <c r="AN8" s="583"/>
      <c r="AO8" s="583"/>
      <c r="AP8" s="583"/>
      <c r="AQ8" s="583"/>
      <c r="AR8" s="583"/>
      <c r="AS8" s="584"/>
      <c r="AT8" s="582" t="str">
        <f>改版履歴!$BL$3</f>
        <v>汎用テーブル詳細（登録）</v>
      </c>
      <c r="AU8" s="583"/>
      <c r="AV8" s="583"/>
      <c r="AW8" s="583"/>
      <c r="AX8" s="583"/>
      <c r="AY8" s="583"/>
      <c r="AZ8" s="583"/>
      <c r="BA8" s="583"/>
      <c r="BB8" s="583"/>
      <c r="BC8" s="583"/>
      <c r="BD8" s="583"/>
      <c r="BE8" s="583"/>
      <c r="BF8" s="583"/>
      <c r="BG8" s="583"/>
      <c r="BH8" s="583"/>
      <c r="BI8" s="583"/>
      <c r="BJ8" s="583"/>
      <c r="BK8" s="583"/>
      <c r="BL8" s="583"/>
      <c r="BM8" s="583"/>
      <c r="BN8" s="583"/>
      <c r="BO8" s="583"/>
      <c r="BP8" s="584"/>
      <c r="BQ8" s="185" t="s">
        <v>13</v>
      </c>
      <c r="BR8" s="185"/>
      <c r="BS8" s="185"/>
      <c r="BT8" s="185"/>
      <c r="BU8" s="186" t="str">
        <f ca="1">改版履歴!$CM$3</f>
        <v>CITS佐藤</v>
      </c>
      <c r="BV8" s="186"/>
      <c r="BW8" s="186"/>
      <c r="BX8" s="186"/>
      <c r="BY8" s="187">
        <f ca="1">改版履歴!$CQ$3</f>
        <v>1</v>
      </c>
      <c r="BZ8" s="187"/>
      <c r="CA8" s="188"/>
    </row>
    <row r="9" spans="1:79" ht="12" customHeight="1" thickBot="1">
      <c r="A9" s="566"/>
      <c r="B9" s="566"/>
      <c r="C9" s="566"/>
      <c r="D9" s="566"/>
      <c r="E9" s="566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72"/>
      <c r="Q9" s="573"/>
      <c r="R9" s="573"/>
      <c r="S9" s="573"/>
      <c r="T9" s="573"/>
      <c r="U9" s="574"/>
      <c r="V9" s="575"/>
      <c r="W9" s="575"/>
      <c r="X9" s="575"/>
      <c r="Y9" s="575"/>
      <c r="Z9" s="575"/>
      <c r="AA9" s="575"/>
      <c r="AB9" s="579"/>
      <c r="AC9" s="580"/>
      <c r="AD9" s="580"/>
      <c r="AE9" s="580"/>
      <c r="AF9" s="580"/>
      <c r="AG9" s="581"/>
      <c r="AH9" s="579"/>
      <c r="AI9" s="580"/>
      <c r="AJ9" s="580"/>
      <c r="AK9" s="580"/>
      <c r="AL9" s="581"/>
      <c r="AM9" s="585"/>
      <c r="AN9" s="586"/>
      <c r="AO9" s="586"/>
      <c r="AP9" s="586"/>
      <c r="AQ9" s="586"/>
      <c r="AR9" s="586"/>
      <c r="AS9" s="587"/>
      <c r="AT9" s="585"/>
      <c r="AU9" s="586"/>
      <c r="AV9" s="586"/>
      <c r="AW9" s="586"/>
      <c r="AX9" s="586"/>
      <c r="AY9" s="586"/>
      <c r="AZ9" s="586"/>
      <c r="BA9" s="586"/>
      <c r="BB9" s="586"/>
      <c r="BC9" s="586"/>
      <c r="BD9" s="586"/>
      <c r="BE9" s="586"/>
      <c r="BF9" s="586"/>
      <c r="BG9" s="586"/>
      <c r="BH9" s="586"/>
      <c r="BI9" s="586"/>
      <c r="BJ9" s="586"/>
      <c r="BK9" s="586"/>
      <c r="BL9" s="586"/>
      <c r="BM9" s="586"/>
      <c r="BN9" s="586"/>
      <c r="BO9" s="586"/>
      <c r="BP9" s="587"/>
      <c r="BQ9" s="191" t="s">
        <v>14</v>
      </c>
      <c r="BR9" s="191"/>
      <c r="BS9" s="191"/>
      <c r="BT9" s="191"/>
      <c r="BU9" s="192">
        <f ca="1">改版履歴!$CM$4</f>
        <v>46055</v>
      </c>
      <c r="BV9" s="192"/>
      <c r="BW9" s="192"/>
      <c r="BX9" s="192"/>
      <c r="BY9" s="563"/>
      <c r="BZ9" s="563"/>
      <c r="CA9" s="564"/>
    </row>
    <row r="10" spans="1:79" ht="12" customHeight="1" thickBot="1"/>
    <row r="11" spans="1:79" ht="12" customHeight="1" thickBot="1">
      <c r="A11" s="217" t="s">
        <v>0</v>
      </c>
      <c r="B11" s="217"/>
      <c r="C11" s="217"/>
      <c r="D11" s="217"/>
      <c r="E11" s="217"/>
      <c r="F11" s="207" t="s">
        <v>1</v>
      </c>
      <c r="G11" s="207"/>
      <c r="H11" s="207"/>
      <c r="I11" s="207"/>
      <c r="J11" s="207"/>
      <c r="K11" s="207" t="s">
        <v>2</v>
      </c>
      <c r="L11" s="207"/>
      <c r="M11" s="207"/>
      <c r="N11" s="207"/>
      <c r="O11" s="207"/>
      <c r="P11" s="221" t="s">
        <v>3</v>
      </c>
      <c r="Q11" s="221"/>
      <c r="R11" s="221"/>
      <c r="S11" s="221"/>
      <c r="T11" s="221"/>
      <c r="U11" s="221"/>
      <c r="V11" s="221" t="s">
        <v>108</v>
      </c>
      <c r="W11" s="221"/>
      <c r="X11" s="221"/>
      <c r="Y11" s="221"/>
      <c r="Z11" s="221"/>
      <c r="AA11" s="221"/>
      <c r="AB11" s="221" t="s">
        <v>4</v>
      </c>
      <c r="AC11" s="222"/>
      <c r="AD11" s="222"/>
      <c r="AE11" s="222"/>
      <c r="AF11" s="222"/>
      <c r="AG11" s="223"/>
      <c r="AH11" s="221" t="s">
        <v>5</v>
      </c>
      <c r="AI11" s="222"/>
      <c r="AJ11" s="222"/>
      <c r="AK11" s="222"/>
      <c r="AL11" s="223"/>
      <c r="AM11" s="221" t="s">
        <v>109</v>
      </c>
      <c r="AN11" s="222"/>
      <c r="AO11" s="222"/>
      <c r="AP11" s="222"/>
      <c r="AQ11" s="222"/>
      <c r="AR11" s="222"/>
      <c r="AS11" s="223"/>
      <c r="AT11" s="221" t="s">
        <v>7</v>
      </c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3"/>
      <c r="BQ11" s="205" t="s">
        <v>8</v>
      </c>
      <c r="BR11" s="205"/>
      <c r="BS11" s="205"/>
      <c r="BT11" s="205"/>
      <c r="BU11" s="206" t="str">
        <f>改版履歴!$CM$1</f>
        <v>CITS李（佳）</v>
      </c>
      <c r="BV11" s="206"/>
      <c r="BW11" s="206"/>
      <c r="BX11" s="206"/>
      <c r="BY11" s="207" t="s">
        <v>9</v>
      </c>
      <c r="BZ11" s="207"/>
      <c r="CA11" s="588"/>
    </row>
    <row r="12" spans="1:79" ht="12" customHeight="1">
      <c r="A12" s="217"/>
      <c r="B12" s="217"/>
      <c r="C12" s="217"/>
      <c r="D12" s="217"/>
      <c r="E12" s="21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7"/>
      <c r="AC12" s="228"/>
      <c r="AD12" s="228"/>
      <c r="AE12" s="228"/>
      <c r="AF12" s="228"/>
      <c r="AG12" s="229"/>
      <c r="AH12" s="227"/>
      <c r="AI12" s="228"/>
      <c r="AJ12" s="228"/>
      <c r="AK12" s="228"/>
      <c r="AL12" s="229"/>
      <c r="AM12" s="227"/>
      <c r="AN12" s="228"/>
      <c r="AO12" s="228"/>
      <c r="AP12" s="228"/>
      <c r="AQ12" s="228"/>
      <c r="AR12" s="228"/>
      <c r="AS12" s="229"/>
      <c r="AT12" s="227"/>
      <c r="AU12" s="228"/>
      <c r="AV12" s="228"/>
      <c r="AW12" s="228"/>
      <c r="AX12" s="228"/>
      <c r="AY12" s="228"/>
      <c r="AZ12" s="228"/>
      <c r="BA12" s="228"/>
      <c r="BB12" s="228"/>
      <c r="BC12" s="228"/>
      <c r="BD12" s="228"/>
      <c r="BE12" s="228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9"/>
      <c r="BQ12" s="213" t="s">
        <v>10</v>
      </c>
      <c r="BR12" s="213"/>
      <c r="BS12" s="213"/>
      <c r="BT12" s="213"/>
      <c r="BU12" s="216">
        <f>改版履歴!$CM$2</f>
        <v>45918</v>
      </c>
      <c r="BV12" s="216"/>
      <c r="BW12" s="216"/>
      <c r="BX12" s="216"/>
      <c r="BY12" s="207"/>
      <c r="BZ12" s="207"/>
      <c r="CA12" s="588"/>
    </row>
    <row r="13" spans="1:79" ht="12" customHeight="1">
      <c r="A13" s="565" t="str">
        <f>改版履歴!$A$3</f>
        <v>NICCS</v>
      </c>
      <c r="B13" s="565"/>
      <c r="C13" s="565"/>
      <c r="D13" s="565"/>
      <c r="E13" s="565"/>
      <c r="F13" s="567" t="str">
        <f>改版履歴!$H$3</f>
        <v>マスタ</v>
      </c>
      <c r="G13" s="567"/>
      <c r="H13" s="567"/>
      <c r="I13" s="567"/>
      <c r="J13" s="567"/>
      <c r="K13" s="567" t="str">
        <f>改版履歴!$O$3</f>
        <v>内部設計</v>
      </c>
      <c r="L13" s="567"/>
      <c r="M13" s="567"/>
      <c r="N13" s="567"/>
      <c r="O13" s="567"/>
      <c r="P13" s="569" t="str">
        <f>改版履歴!$W$3</f>
        <v>画面設計書</v>
      </c>
      <c r="Q13" s="570"/>
      <c r="R13" s="570"/>
      <c r="S13" s="570"/>
      <c r="T13" s="570"/>
      <c r="U13" s="571"/>
      <c r="V13" s="199" t="s">
        <v>112</v>
      </c>
      <c r="W13" s="199"/>
      <c r="X13" s="199"/>
      <c r="Y13" s="199"/>
      <c r="Z13" s="199"/>
      <c r="AA13" s="199"/>
      <c r="AB13" s="576" t="str">
        <f>改版履歴!$AF$3</f>
        <v>一般マスタ管理</v>
      </c>
      <c r="AC13" s="577"/>
      <c r="AD13" s="577"/>
      <c r="AE13" s="577"/>
      <c r="AF13" s="577"/>
      <c r="AG13" s="578"/>
      <c r="AH13" s="576" t="str">
        <f>改版履歴!$AU$3</f>
        <v>MTI350</v>
      </c>
      <c r="AI13" s="577"/>
      <c r="AJ13" s="577"/>
      <c r="AK13" s="577"/>
      <c r="AL13" s="578"/>
      <c r="AM13" s="582" t="str">
        <f>改版履歴!$BB$3</f>
        <v>MTI350S01B02</v>
      </c>
      <c r="AN13" s="583"/>
      <c r="AO13" s="583"/>
      <c r="AP13" s="583"/>
      <c r="AQ13" s="583"/>
      <c r="AR13" s="583"/>
      <c r="AS13" s="584"/>
      <c r="AT13" s="582" t="str">
        <f>改版履歴!$BL$3</f>
        <v>汎用テーブル詳細（登録）</v>
      </c>
      <c r="AU13" s="583"/>
      <c r="AV13" s="583"/>
      <c r="AW13" s="583"/>
      <c r="AX13" s="583"/>
      <c r="AY13" s="583"/>
      <c r="AZ13" s="583"/>
      <c r="BA13" s="583"/>
      <c r="BB13" s="583"/>
      <c r="BC13" s="583"/>
      <c r="BD13" s="583"/>
      <c r="BE13" s="583"/>
      <c r="BF13" s="583"/>
      <c r="BG13" s="583"/>
      <c r="BH13" s="583"/>
      <c r="BI13" s="583"/>
      <c r="BJ13" s="583"/>
      <c r="BK13" s="583"/>
      <c r="BL13" s="583"/>
      <c r="BM13" s="583"/>
      <c r="BN13" s="583"/>
      <c r="BO13" s="583"/>
      <c r="BP13" s="584"/>
      <c r="BQ13" s="185" t="s">
        <v>13</v>
      </c>
      <c r="BR13" s="185"/>
      <c r="BS13" s="185"/>
      <c r="BT13" s="185"/>
      <c r="BU13" s="186" t="str">
        <f ca="1">改版履歴!$CM$3</f>
        <v>CITS佐藤</v>
      </c>
      <c r="BV13" s="186"/>
      <c r="BW13" s="186"/>
      <c r="BX13" s="186"/>
      <c r="BY13" s="187">
        <f ca="1">改版履歴!$CQ$3</f>
        <v>1</v>
      </c>
      <c r="BZ13" s="187"/>
      <c r="CA13" s="188"/>
    </row>
    <row r="14" spans="1:79" ht="12" customHeight="1" thickBot="1">
      <c r="A14" s="566"/>
      <c r="B14" s="566"/>
      <c r="C14" s="566"/>
      <c r="D14" s="566"/>
      <c r="E14" s="566"/>
      <c r="F14" s="568"/>
      <c r="G14" s="568"/>
      <c r="H14" s="568"/>
      <c r="I14" s="568"/>
      <c r="J14" s="568"/>
      <c r="K14" s="568"/>
      <c r="L14" s="568"/>
      <c r="M14" s="568"/>
      <c r="N14" s="568"/>
      <c r="O14" s="568"/>
      <c r="P14" s="572"/>
      <c r="Q14" s="573"/>
      <c r="R14" s="573"/>
      <c r="S14" s="573"/>
      <c r="T14" s="573"/>
      <c r="U14" s="574"/>
      <c r="V14" s="575"/>
      <c r="W14" s="575"/>
      <c r="X14" s="575"/>
      <c r="Y14" s="575"/>
      <c r="Z14" s="575"/>
      <c r="AA14" s="575"/>
      <c r="AB14" s="579"/>
      <c r="AC14" s="580"/>
      <c r="AD14" s="580"/>
      <c r="AE14" s="580"/>
      <c r="AF14" s="580"/>
      <c r="AG14" s="581"/>
      <c r="AH14" s="579"/>
      <c r="AI14" s="580"/>
      <c r="AJ14" s="580"/>
      <c r="AK14" s="580"/>
      <c r="AL14" s="581"/>
      <c r="AM14" s="585"/>
      <c r="AN14" s="586"/>
      <c r="AO14" s="586"/>
      <c r="AP14" s="586"/>
      <c r="AQ14" s="586"/>
      <c r="AR14" s="586"/>
      <c r="AS14" s="587"/>
      <c r="AT14" s="585"/>
      <c r="AU14" s="586"/>
      <c r="AV14" s="586"/>
      <c r="AW14" s="586"/>
      <c r="AX14" s="586"/>
      <c r="AY14" s="586"/>
      <c r="AZ14" s="586"/>
      <c r="BA14" s="586"/>
      <c r="BB14" s="586"/>
      <c r="BC14" s="586"/>
      <c r="BD14" s="586"/>
      <c r="BE14" s="586"/>
      <c r="BF14" s="586"/>
      <c r="BG14" s="586"/>
      <c r="BH14" s="586"/>
      <c r="BI14" s="586"/>
      <c r="BJ14" s="586"/>
      <c r="BK14" s="586"/>
      <c r="BL14" s="586"/>
      <c r="BM14" s="586"/>
      <c r="BN14" s="586"/>
      <c r="BO14" s="586"/>
      <c r="BP14" s="587"/>
      <c r="BQ14" s="191" t="s">
        <v>14</v>
      </c>
      <c r="BR14" s="191"/>
      <c r="BS14" s="191"/>
      <c r="BT14" s="191"/>
      <c r="BU14" s="192">
        <f ca="1">改版履歴!$CM$4</f>
        <v>46055</v>
      </c>
      <c r="BV14" s="192"/>
      <c r="BW14" s="192"/>
      <c r="BX14" s="192"/>
      <c r="BY14" s="563"/>
      <c r="BZ14" s="563"/>
      <c r="CA14" s="564"/>
    </row>
    <row r="15" spans="1:79" ht="12" customHeight="1" thickBot="1"/>
    <row r="16" spans="1:79" ht="12" customHeight="1" thickBot="1">
      <c r="A16" s="217" t="s">
        <v>0</v>
      </c>
      <c r="B16" s="217"/>
      <c r="C16" s="217"/>
      <c r="D16" s="217"/>
      <c r="E16" s="217"/>
      <c r="F16" s="207" t="s">
        <v>1</v>
      </c>
      <c r="G16" s="207"/>
      <c r="H16" s="207"/>
      <c r="I16" s="207"/>
      <c r="J16" s="207"/>
      <c r="K16" s="207" t="s">
        <v>2</v>
      </c>
      <c r="L16" s="207"/>
      <c r="M16" s="207"/>
      <c r="N16" s="207"/>
      <c r="O16" s="207"/>
      <c r="P16" s="221" t="s">
        <v>3</v>
      </c>
      <c r="Q16" s="221"/>
      <c r="R16" s="221"/>
      <c r="S16" s="221"/>
      <c r="T16" s="221"/>
      <c r="U16" s="221"/>
      <c r="V16" s="221" t="s">
        <v>108</v>
      </c>
      <c r="W16" s="221"/>
      <c r="X16" s="221"/>
      <c r="Y16" s="221"/>
      <c r="Z16" s="221"/>
      <c r="AA16" s="221"/>
      <c r="AB16" s="221" t="s">
        <v>4</v>
      </c>
      <c r="AC16" s="222"/>
      <c r="AD16" s="222"/>
      <c r="AE16" s="222"/>
      <c r="AF16" s="222"/>
      <c r="AG16" s="223"/>
      <c r="AH16" s="221" t="s">
        <v>5</v>
      </c>
      <c r="AI16" s="222"/>
      <c r="AJ16" s="222"/>
      <c r="AK16" s="222"/>
      <c r="AL16" s="223"/>
      <c r="AM16" s="221" t="s">
        <v>109</v>
      </c>
      <c r="AN16" s="222"/>
      <c r="AO16" s="222"/>
      <c r="AP16" s="222"/>
      <c r="AQ16" s="222"/>
      <c r="AR16" s="222"/>
      <c r="AS16" s="223"/>
      <c r="AT16" s="221" t="s">
        <v>7</v>
      </c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3"/>
      <c r="BQ16" s="205" t="s">
        <v>8</v>
      </c>
      <c r="BR16" s="205"/>
      <c r="BS16" s="205"/>
      <c r="BT16" s="205"/>
      <c r="BU16" s="206" t="str">
        <f>改版履歴!$CM$1</f>
        <v>CITS李（佳）</v>
      </c>
      <c r="BV16" s="206"/>
      <c r="BW16" s="206"/>
      <c r="BX16" s="206"/>
      <c r="BY16" s="207" t="s">
        <v>9</v>
      </c>
      <c r="BZ16" s="207"/>
      <c r="CA16" s="588"/>
    </row>
    <row r="17" spans="1:79" ht="12" customHeight="1">
      <c r="A17" s="217"/>
      <c r="B17" s="217"/>
      <c r="C17" s="217"/>
      <c r="D17" s="217"/>
      <c r="E17" s="21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7"/>
      <c r="AC17" s="228"/>
      <c r="AD17" s="228"/>
      <c r="AE17" s="228"/>
      <c r="AF17" s="228"/>
      <c r="AG17" s="229"/>
      <c r="AH17" s="227"/>
      <c r="AI17" s="228"/>
      <c r="AJ17" s="228"/>
      <c r="AK17" s="228"/>
      <c r="AL17" s="229"/>
      <c r="AM17" s="227"/>
      <c r="AN17" s="228"/>
      <c r="AO17" s="228"/>
      <c r="AP17" s="228"/>
      <c r="AQ17" s="228"/>
      <c r="AR17" s="228"/>
      <c r="AS17" s="229"/>
      <c r="AT17" s="227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9"/>
      <c r="BQ17" s="213" t="s">
        <v>10</v>
      </c>
      <c r="BR17" s="213"/>
      <c r="BS17" s="213"/>
      <c r="BT17" s="213"/>
      <c r="BU17" s="216">
        <f>改版履歴!$CM$2</f>
        <v>45918</v>
      </c>
      <c r="BV17" s="216"/>
      <c r="BW17" s="216"/>
      <c r="BX17" s="216"/>
      <c r="BY17" s="207"/>
      <c r="BZ17" s="207"/>
      <c r="CA17" s="588"/>
    </row>
    <row r="18" spans="1:79" ht="12" customHeight="1">
      <c r="A18" s="565" t="str">
        <f>改版履歴!$A$3</f>
        <v>NICCS</v>
      </c>
      <c r="B18" s="565"/>
      <c r="C18" s="565"/>
      <c r="D18" s="565"/>
      <c r="E18" s="565"/>
      <c r="F18" s="567" t="str">
        <f>改版履歴!$H$3</f>
        <v>マスタ</v>
      </c>
      <c r="G18" s="567"/>
      <c r="H18" s="567"/>
      <c r="I18" s="567"/>
      <c r="J18" s="567"/>
      <c r="K18" s="567" t="str">
        <f>改版履歴!$O$3</f>
        <v>内部設計</v>
      </c>
      <c r="L18" s="567"/>
      <c r="M18" s="567"/>
      <c r="N18" s="567"/>
      <c r="O18" s="567"/>
      <c r="P18" s="569" t="str">
        <f>改版履歴!$W$3</f>
        <v>画面設計書</v>
      </c>
      <c r="Q18" s="570"/>
      <c r="R18" s="570"/>
      <c r="S18" s="570"/>
      <c r="T18" s="570"/>
      <c r="U18" s="571"/>
      <c r="V18" s="199" t="s">
        <v>113</v>
      </c>
      <c r="W18" s="199"/>
      <c r="X18" s="199"/>
      <c r="Y18" s="199"/>
      <c r="Z18" s="199"/>
      <c r="AA18" s="199"/>
      <c r="AB18" s="576" t="str">
        <f>改版履歴!$AF$3</f>
        <v>一般マスタ管理</v>
      </c>
      <c r="AC18" s="577"/>
      <c r="AD18" s="577"/>
      <c r="AE18" s="577"/>
      <c r="AF18" s="577"/>
      <c r="AG18" s="578"/>
      <c r="AH18" s="576" t="str">
        <f>改版履歴!$AU$3</f>
        <v>MTI350</v>
      </c>
      <c r="AI18" s="577"/>
      <c r="AJ18" s="577"/>
      <c r="AK18" s="577"/>
      <c r="AL18" s="578"/>
      <c r="AM18" s="582" t="str">
        <f>改版履歴!$BB$3</f>
        <v>MTI350S01B02</v>
      </c>
      <c r="AN18" s="583"/>
      <c r="AO18" s="583"/>
      <c r="AP18" s="583"/>
      <c r="AQ18" s="583"/>
      <c r="AR18" s="583"/>
      <c r="AS18" s="584"/>
      <c r="AT18" s="582" t="str">
        <f>改版履歴!$BL$3</f>
        <v>汎用テーブル詳細（登録）</v>
      </c>
      <c r="AU18" s="583"/>
      <c r="AV18" s="583"/>
      <c r="AW18" s="583"/>
      <c r="AX18" s="583"/>
      <c r="AY18" s="583"/>
      <c r="AZ18" s="583"/>
      <c r="BA18" s="583"/>
      <c r="BB18" s="583"/>
      <c r="BC18" s="583"/>
      <c r="BD18" s="583"/>
      <c r="BE18" s="583"/>
      <c r="BF18" s="583"/>
      <c r="BG18" s="583"/>
      <c r="BH18" s="583"/>
      <c r="BI18" s="583"/>
      <c r="BJ18" s="583"/>
      <c r="BK18" s="583"/>
      <c r="BL18" s="583"/>
      <c r="BM18" s="583"/>
      <c r="BN18" s="583"/>
      <c r="BO18" s="583"/>
      <c r="BP18" s="584"/>
      <c r="BQ18" s="185" t="s">
        <v>13</v>
      </c>
      <c r="BR18" s="185"/>
      <c r="BS18" s="185"/>
      <c r="BT18" s="185"/>
      <c r="BU18" s="186" t="str">
        <f ca="1">改版履歴!$CM$3</f>
        <v>CITS佐藤</v>
      </c>
      <c r="BV18" s="186"/>
      <c r="BW18" s="186"/>
      <c r="BX18" s="186"/>
      <c r="BY18" s="187">
        <f ca="1">改版履歴!$CQ$3</f>
        <v>1</v>
      </c>
      <c r="BZ18" s="187"/>
      <c r="CA18" s="188"/>
    </row>
    <row r="19" spans="1:79" ht="12" customHeight="1" thickBot="1">
      <c r="A19" s="566"/>
      <c r="B19" s="566"/>
      <c r="C19" s="566"/>
      <c r="D19" s="566"/>
      <c r="E19" s="566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72"/>
      <c r="Q19" s="573"/>
      <c r="R19" s="573"/>
      <c r="S19" s="573"/>
      <c r="T19" s="573"/>
      <c r="U19" s="574"/>
      <c r="V19" s="575"/>
      <c r="W19" s="575"/>
      <c r="X19" s="575"/>
      <c r="Y19" s="575"/>
      <c r="Z19" s="575"/>
      <c r="AA19" s="575"/>
      <c r="AB19" s="579"/>
      <c r="AC19" s="580"/>
      <c r="AD19" s="580"/>
      <c r="AE19" s="580"/>
      <c r="AF19" s="580"/>
      <c r="AG19" s="581"/>
      <c r="AH19" s="579"/>
      <c r="AI19" s="580"/>
      <c r="AJ19" s="580"/>
      <c r="AK19" s="580"/>
      <c r="AL19" s="581"/>
      <c r="AM19" s="585"/>
      <c r="AN19" s="586"/>
      <c r="AO19" s="586"/>
      <c r="AP19" s="586"/>
      <c r="AQ19" s="586"/>
      <c r="AR19" s="586"/>
      <c r="AS19" s="587"/>
      <c r="AT19" s="585"/>
      <c r="AU19" s="586"/>
      <c r="AV19" s="586"/>
      <c r="AW19" s="586"/>
      <c r="AX19" s="586"/>
      <c r="AY19" s="586"/>
      <c r="AZ19" s="586"/>
      <c r="BA19" s="586"/>
      <c r="BB19" s="586"/>
      <c r="BC19" s="586"/>
      <c r="BD19" s="586"/>
      <c r="BE19" s="586"/>
      <c r="BF19" s="586"/>
      <c r="BG19" s="586"/>
      <c r="BH19" s="586"/>
      <c r="BI19" s="586"/>
      <c r="BJ19" s="586"/>
      <c r="BK19" s="586"/>
      <c r="BL19" s="586"/>
      <c r="BM19" s="586"/>
      <c r="BN19" s="586"/>
      <c r="BO19" s="586"/>
      <c r="BP19" s="587"/>
      <c r="BQ19" s="191" t="s">
        <v>14</v>
      </c>
      <c r="BR19" s="191"/>
      <c r="BS19" s="191"/>
      <c r="BT19" s="191"/>
      <c r="BU19" s="192">
        <f ca="1">改版履歴!$CM$4</f>
        <v>46055</v>
      </c>
      <c r="BV19" s="192"/>
      <c r="BW19" s="192"/>
      <c r="BX19" s="192"/>
      <c r="BY19" s="563"/>
      <c r="BZ19" s="563"/>
      <c r="CA19" s="564"/>
    </row>
    <row r="20" spans="1:79" ht="12" customHeight="1" thickBot="1"/>
    <row r="21" spans="1:79" ht="12" customHeight="1" thickBot="1">
      <c r="A21" s="217" t="s">
        <v>0</v>
      </c>
      <c r="B21" s="217"/>
      <c r="C21" s="217"/>
      <c r="D21" s="217"/>
      <c r="E21" s="217"/>
      <c r="F21" s="207" t="s">
        <v>1</v>
      </c>
      <c r="G21" s="207"/>
      <c r="H21" s="207"/>
      <c r="I21" s="207"/>
      <c r="J21" s="207"/>
      <c r="K21" s="207" t="s">
        <v>2</v>
      </c>
      <c r="L21" s="207"/>
      <c r="M21" s="207"/>
      <c r="N21" s="207"/>
      <c r="O21" s="207"/>
      <c r="P21" s="221" t="s">
        <v>3</v>
      </c>
      <c r="Q21" s="221"/>
      <c r="R21" s="221"/>
      <c r="S21" s="221"/>
      <c r="T21" s="221"/>
      <c r="U21" s="221"/>
      <c r="V21" s="221" t="s">
        <v>108</v>
      </c>
      <c r="W21" s="221"/>
      <c r="X21" s="221"/>
      <c r="Y21" s="221"/>
      <c r="Z21" s="221"/>
      <c r="AA21" s="221"/>
      <c r="AB21" s="221" t="s">
        <v>4</v>
      </c>
      <c r="AC21" s="222"/>
      <c r="AD21" s="222"/>
      <c r="AE21" s="222"/>
      <c r="AF21" s="222"/>
      <c r="AG21" s="223"/>
      <c r="AH21" s="221" t="s">
        <v>5</v>
      </c>
      <c r="AI21" s="222"/>
      <c r="AJ21" s="222"/>
      <c r="AK21" s="222"/>
      <c r="AL21" s="223"/>
      <c r="AM21" s="221" t="s">
        <v>109</v>
      </c>
      <c r="AN21" s="222"/>
      <c r="AO21" s="222"/>
      <c r="AP21" s="222"/>
      <c r="AQ21" s="222"/>
      <c r="AR21" s="222"/>
      <c r="AS21" s="223"/>
      <c r="AT21" s="221" t="s">
        <v>7</v>
      </c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3"/>
      <c r="BQ21" s="205" t="s">
        <v>8</v>
      </c>
      <c r="BR21" s="205"/>
      <c r="BS21" s="205"/>
      <c r="BT21" s="205"/>
      <c r="BU21" s="206" t="str">
        <f>改版履歴!$CM$1</f>
        <v>CITS李（佳）</v>
      </c>
      <c r="BV21" s="206"/>
      <c r="BW21" s="206"/>
      <c r="BX21" s="206"/>
      <c r="BY21" s="207" t="s">
        <v>9</v>
      </c>
      <c r="BZ21" s="207"/>
      <c r="CA21" s="588"/>
    </row>
    <row r="22" spans="1:79" ht="12" customHeight="1">
      <c r="A22" s="217"/>
      <c r="B22" s="217"/>
      <c r="C22" s="217"/>
      <c r="D22" s="217"/>
      <c r="E22" s="21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7"/>
      <c r="AC22" s="228"/>
      <c r="AD22" s="228"/>
      <c r="AE22" s="228"/>
      <c r="AF22" s="228"/>
      <c r="AG22" s="229"/>
      <c r="AH22" s="227"/>
      <c r="AI22" s="228"/>
      <c r="AJ22" s="228"/>
      <c r="AK22" s="228"/>
      <c r="AL22" s="229"/>
      <c r="AM22" s="227"/>
      <c r="AN22" s="228"/>
      <c r="AO22" s="228"/>
      <c r="AP22" s="228"/>
      <c r="AQ22" s="228"/>
      <c r="AR22" s="228"/>
      <c r="AS22" s="229"/>
      <c r="AT22" s="227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8"/>
      <c r="BK22" s="228"/>
      <c r="BL22" s="228"/>
      <c r="BM22" s="228"/>
      <c r="BN22" s="228"/>
      <c r="BO22" s="228"/>
      <c r="BP22" s="229"/>
      <c r="BQ22" s="213" t="s">
        <v>10</v>
      </c>
      <c r="BR22" s="213"/>
      <c r="BS22" s="213"/>
      <c r="BT22" s="213"/>
      <c r="BU22" s="216">
        <f>改版履歴!$CM$2</f>
        <v>45918</v>
      </c>
      <c r="BV22" s="216"/>
      <c r="BW22" s="216"/>
      <c r="BX22" s="216"/>
      <c r="BY22" s="207"/>
      <c r="BZ22" s="207"/>
      <c r="CA22" s="588"/>
    </row>
    <row r="23" spans="1:79" ht="12" customHeight="1">
      <c r="A23" s="565" t="str">
        <f>改版履歴!$A$3</f>
        <v>NICCS</v>
      </c>
      <c r="B23" s="565"/>
      <c r="C23" s="565"/>
      <c r="D23" s="565"/>
      <c r="E23" s="565"/>
      <c r="F23" s="567" t="str">
        <f>改版履歴!$H$3</f>
        <v>マスタ</v>
      </c>
      <c r="G23" s="567"/>
      <c r="H23" s="567"/>
      <c r="I23" s="567"/>
      <c r="J23" s="567"/>
      <c r="K23" s="567" t="str">
        <f>改版履歴!$O$3</f>
        <v>内部設計</v>
      </c>
      <c r="L23" s="567"/>
      <c r="M23" s="567"/>
      <c r="N23" s="567"/>
      <c r="O23" s="567"/>
      <c r="P23" s="569" t="str">
        <f>改版履歴!$W$3</f>
        <v>画面設計書</v>
      </c>
      <c r="Q23" s="570"/>
      <c r="R23" s="570"/>
      <c r="S23" s="570"/>
      <c r="T23" s="570"/>
      <c r="U23" s="571"/>
      <c r="V23" s="199" t="s">
        <v>114</v>
      </c>
      <c r="W23" s="199"/>
      <c r="X23" s="199"/>
      <c r="Y23" s="199"/>
      <c r="Z23" s="199"/>
      <c r="AA23" s="199"/>
      <c r="AB23" s="576" t="str">
        <f>改版履歴!$AF$3</f>
        <v>一般マスタ管理</v>
      </c>
      <c r="AC23" s="577"/>
      <c r="AD23" s="577"/>
      <c r="AE23" s="577"/>
      <c r="AF23" s="577"/>
      <c r="AG23" s="578"/>
      <c r="AH23" s="576" t="str">
        <f>改版履歴!$AU$3</f>
        <v>MTI350</v>
      </c>
      <c r="AI23" s="577"/>
      <c r="AJ23" s="577"/>
      <c r="AK23" s="577"/>
      <c r="AL23" s="578"/>
      <c r="AM23" s="582" t="str">
        <f>改版履歴!$BB$3</f>
        <v>MTI350S01B02</v>
      </c>
      <c r="AN23" s="583"/>
      <c r="AO23" s="583"/>
      <c r="AP23" s="583"/>
      <c r="AQ23" s="583"/>
      <c r="AR23" s="583"/>
      <c r="AS23" s="584"/>
      <c r="AT23" s="582" t="str">
        <f>改版履歴!$BL$3</f>
        <v>汎用テーブル詳細（登録）</v>
      </c>
      <c r="AU23" s="583"/>
      <c r="AV23" s="583"/>
      <c r="AW23" s="583"/>
      <c r="AX23" s="583"/>
      <c r="AY23" s="583"/>
      <c r="AZ23" s="583"/>
      <c r="BA23" s="583"/>
      <c r="BB23" s="583"/>
      <c r="BC23" s="583"/>
      <c r="BD23" s="583"/>
      <c r="BE23" s="583"/>
      <c r="BF23" s="583"/>
      <c r="BG23" s="583"/>
      <c r="BH23" s="583"/>
      <c r="BI23" s="583"/>
      <c r="BJ23" s="583"/>
      <c r="BK23" s="583"/>
      <c r="BL23" s="583"/>
      <c r="BM23" s="583"/>
      <c r="BN23" s="583"/>
      <c r="BO23" s="583"/>
      <c r="BP23" s="584"/>
      <c r="BQ23" s="185" t="s">
        <v>13</v>
      </c>
      <c r="BR23" s="185"/>
      <c r="BS23" s="185"/>
      <c r="BT23" s="185"/>
      <c r="BU23" s="186" t="str">
        <f ca="1">改版履歴!$CM$3</f>
        <v>CITS佐藤</v>
      </c>
      <c r="BV23" s="186"/>
      <c r="BW23" s="186"/>
      <c r="BX23" s="186"/>
      <c r="BY23" s="187">
        <f ca="1">改版履歴!$CQ$3</f>
        <v>1</v>
      </c>
      <c r="BZ23" s="187"/>
      <c r="CA23" s="188"/>
    </row>
    <row r="24" spans="1:79" ht="12" customHeight="1" thickBot="1">
      <c r="A24" s="566"/>
      <c r="B24" s="566"/>
      <c r="C24" s="566"/>
      <c r="D24" s="566"/>
      <c r="E24" s="566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72"/>
      <c r="Q24" s="573"/>
      <c r="R24" s="573"/>
      <c r="S24" s="573"/>
      <c r="T24" s="573"/>
      <c r="U24" s="574"/>
      <c r="V24" s="575"/>
      <c r="W24" s="575"/>
      <c r="X24" s="575"/>
      <c r="Y24" s="575"/>
      <c r="Z24" s="575"/>
      <c r="AA24" s="575"/>
      <c r="AB24" s="579"/>
      <c r="AC24" s="580"/>
      <c r="AD24" s="580"/>
      <c r="AE24" s="580"/>
      <c r="AF24" s="580"/>
      <c r="AG24" s="581"/>
      <c r="AH24" s="579"/>
      <c r="AI24" s="580"/>
      <c r="AJ24" s="580"/>
      <c r="AK24" s="580"/>
      <c r="AL24" s="581"/>
      <c r="AM24" s="585"/>
      <c r="AN24" s="586"/>
      <c r="AO24" s="586"/>
      <c r="AP24" s="586"/>
      <c r="AQ24" s="586"/>
      <c r="AR24" s="586"/>
      <c r="AS24" s="587"/>
      <c r="AT24" s="585"/>
      <c r="AU24" s="586"/>
      <c r="AV24" s="586"/>
      <c r="AW24" s="586"/>
      <c r="AX24" s="586"/>
      <c r="AY24" s="586"/>
      <c r="AZ24" s="586"/>
      <c r="BA24" s="586"/>
      <c r="BB24" s="586"/>
      <c r="BC24" s="586"/>
      <c r="BD24" s="586"/>
      <c r="BE24" s="586"/>
      <c r="BF24" s="586"/>
      <c r="BG24" s="586"/>
      <c r="BH24" s="586"/>
      <c r="BI24" s="586"/>
      <c r="BJ24" s="586"/>
      <c r="BK24" s="586"/>
      <c r="BL24" s="586"/>
      <c r="BM24" s="586"/>
      <c r="BN24" s="586"/>
      <c r="BO24" s="586"/>
      <c r="BP24" s="587"/>
      <c r="BQ24" s="191" t="s">
        <v>14</v>
      </c>
      <c r="BR24" s="191"/>
      <c r="BS24" s="191"/>
      <c r="BT24" s="191"/>
      <c r="BU24" s="192">
        <f ca="1">改版履歴!$CM$4</f>
        <v>46055</v>
      </c>
      <c r="BV24" s="192"/>
      <c r="BW24" s="192"/>
      <c r="BX24" s="192"/>
      <c r="BY24" s="563"/>
      <c r="BZ24" s="563"/>
      <c r="CA24" s="564"/>
    </row>
    <row r="25" spans="1:79" ht="12" customHeight="1" thickBot="1"/>
    <row r="26" spans="1:79" ht="12" customHeight="1" thickBot="1">
      <c r="A26" s="217" t="s">
        <v>0</v>
      </c>
      <c r="B26" s="217"/>
      <c r="C26" s="217"/>
      <c r="D26" s="217"/>
      <c r="E26" s="217"/>
      <c r="F26" s="207" t="s">
        <v>1</v>
      </c>
      <c r="G26" s="207"/>
      <c r="H26" s="207"/>
      <c r="I26" s="207"/>
      <c r="J26" s="207"/>
      <c r="K26" s="207" t="s">
        <v>2</v>
      </c>
      <c r="L26" s="207"/>
      <c r="M26" s="207"/>
      <c r="N26" s="207"/>
      <c r="O26" s="207"/>
      <c r="P26" s="221" t="s">
        <v>3</v>
      </c>
      <c r="Q26" s="221"/>
      <c r="R26" s="221"/>
      <c r="S26" s="221"/>
      <c r="T26" s="221"/>
      <c r="U26" s="221"/>
      <c r="V26" s="221" t="s">
        <v>108</v>
      </c>
      <c r="W26" s="221"/>
      <c r="X26" s="221"/>
      <c r="Y26" s="221"/>
      <c r="Z26" s="221"/>
      <c r="AA26" s="221"/>
      <c r="AB26" s="221" t="s">
        <v>4</v>
      </c>
      <c r="AC26" s="222"/>
      <c r="AD26" s="222"/>
      <c r="AE26" s="222"/>
      <c r="AF26" s="222"/>
      <c r="AG26" s="223"/>
      <c r="AH26" s="221" t="s">
        <v>5</v>
      </c>
      <c r="AI26" s="222"/>
      <c r="AJ26" s="222"/>
      <c r="AK26" s="222"/>
      <c r="AL26" s="223"/>
      <c r="AM26" s="221" t="s">
        <v>109</v>
      </c>
      <c r="AN26" s="222"/>
      <c r="AO26" s="222"/>
      <c r="AP26" s="222"/>
      <c r="AQ26" s="222"/>
      <c r="AR26" s="222"/>
      <c r="AS26" s="223"/>
      <c r="AT26" s="221" t="s">
        <v>7</v>
      </c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3"/>
      <c r="BQ26" s="205" t="s">
        <v>8</v>
      </c>
      <c r="BR26" s="205"/>
      <c r="BS26" s="205"/>
      <c r="BT26" s="205"/>
      <c r="BU26" s="206" t="str">
        <f>改版履歴!$CM$1</f>
        <v>CITS李（佳）</v>
      </c>
      <c r="BV26" s="206"/>
      <c r="BW26" s="206"/>
      <c r="BX26" s="206"/>
      <c r="BY26" s="207" t="s">
        <v>9</v>
      </c>
      <c r="BZ26" s="207"/>
      <c r="CA26" s="588"/>
    </row>
    <row r="27" spans="1:79" ht="12" customHeight="1">
      <c r="A27" s="217"/>
      <c r="B27" s="217"/>
      <c r="C27" s="217"/>
      <c r="D27" s="217"/>
      <c r="E27" s="21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7"/>
      <c r="AC27" s="228"/>
      <c r="AD27" s="228"/>
      <c r="AE27" s="228"/>
      <c r="AF27" s="228"/>
      <c r="AG27" s="229"/>
      <c r="AH27" s="227"/>
      <c r="AI27" s="228"/>
      <c r="AJ27" s="228"/>
      <c r="AK27" s="228"/>
      <c r="AL27" s="229"/>
      <c r="AM27" s="227"/>
      <c r="AN27" s="228"/>
      <c r="AO27" s="228"/>
      <c r="AP27" s="228"/>
      <c r="AQ27" s="228"/>
      <c r="AR27" s="228"/>
      <c r="AS27" s="229"/>
      <c r="AT27" s="227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9"/>
      <c r="BQ27" s="213" t="s">
        <v>10</v>
      </c>
      <c r="BR27" s="213"/>
      <c r="BS27" s="213"/>
      <c r="BT27" s="213"/>
      <c r="BU27" s="216">
        <f>改版履歴!$CM$2</f>
        <v>45918</v>
      </c>
      <c r="BV27" s="216"/>
      <c r="BW27" s="216"/>
      <c r="BX27" s="216"/>
      <c r="BY27" s="207"/>
      <c r="BZ27" s="207"/>
      <c r="CA27" s="588"/>
    </row>
    <row r="28" spans="1:79" ht="12" customHeight="1">
      <c r="A28" s="565" t="str">
        <f>改版履歴!$A$3</f>
        <v>NICCS</v>
      </c>
      <c r="B28" s="565"/>
      <c r="C28" s="565"/>
      <c r="D28" s="565"/>
      <c r="E28" s="565"/>
      <c r="F28" s="567" t="str">
        <f>改版履歴!$H$3</f>
        <v>マスタ</v>
      </c>
      <c r="G28" s="567"/>
      <c r="H28" s="567"/>
      <c r="I28" s="567"/>
      <c r="J28" s="567"/>
      <c r="K28" s="567" t="str">
        <f>改版履歴!$O$3</f>
        <v>内部設計</v>
      </c>
      <c r="L28" s="567"/>
      <c r="M28" s="567"/>
      <c r="N28" s="567"/>
      <c r="O28" s="567"/>
      <c r="P28" s="569" t="str">
        <f>改版履歴!$W$3</f>
        <v>画面設計書</v>
      </c>
      <c r="Q28" s="570"/>
      <c r="R28" s="570"/>
      <c r="S28" s="570"/>
      <c r="T28" s="570"/>
      <c r="U28" s="571"/>
      <c r="V28" s="199" t="s">
        <v>115</v>
      </c>
      <c r="W28" s="199"/>
      <c r="X28" s="199"/>
      <c r="Y28" s="199"/>
      <c r="Z28" s="199"/>
      <c r="AA28" s="199"/>
      <c r="AB28" s="576" t="str">
        <f>改版履歴!$AF$3</f>
        <v>一般マスタ管理</v>
      </c>
      <c r="AC28" s="577"/>
      <c r="AD28" s="577"/>
      <c r="AE28" s="577"/>
      <c r="AF28" s="577"/>
      <c r="AG28" s="578"/>
      <c r="AH28" s="576" t="str">
        <f>改版履歴!$AU$3</f>
        <v>MTI350</v>
      </c>
      <c r="AI28" s="577"/>
      <c r="AJ28" s="577"/>
      <c r="AK28" s="577"/>
      <c r="AL28" s="578"/>
      <c r="AM28" s="582" t="str">
        <f>改版履歴!$BB$3</f>
        <v>MTI350S01B02</v>
      </c>
      <c r="AN28" s="583"/>
      <c r="AO28" s="583"/>
      <c r="AP28" s="583"/>
      <c r="AQ28" s="583"/>
      <c r="AR28" s="583"/>
      <c r="AS28" s="584"/>
      <c r="AT28" s="582" t="str">
        <f>改版履歴!$BL$3</f>
        <v>汎用テーブル詳細（登録）</v>
      </c>
      <c r="AU28" s="583"/>
      <c r="AV28" s="583"/>
      <c r="AW28" s="583"/>
      <c r="AX28" s="583"/>
      <c r="AY28" s="583"/>
      <c r="AZ28" s="583"/>
      <c r="BA28" s="583"/>
      <c r="BB28" s="583"/>
      <c r="BC28" s="583"/>
      <c r="BD28" s="583"/>
      <c r="BE28" s="583"/>
      <c r="BF28" s="583"/>
      <c r="BG28" s="583"/>
      <c r="BH28" s="583"/>
      <c r="BI28" s="583"/>
      <c r="BJ28" s="583"/>
      <c r="BK28" s="583"/>
      <c r="BL28" s="583"/>
      <c r="BM28" s="583"/>
      <c r="BN28" s="583"/>
      <c r="BO28" s="583"/>
      <c r="BP28" s="584"/>
      <c r="BQ28" s="185" t="s">
        <v>13</v>
      </c>
      <c r="BR28" s="185"/>
      <c r="BS28" s="185"/>
      <c r="BT28" s="185"/>
      <c r="BU28" s="186" t="str">
        <f ca="1">改版履歴!$CM$3</f>
        <v>CITS佐藤</v>
      </c>
      <c r="BV28" s="186"/>
      <c r="BW28" s="186"/>
      <c r="BX28" s="186"/>
      <c r="BY28" s="187">
        <f ca="1">改版履歴!$CQ$3</f>
        <v>1</v>
      </c>
      <c r="BZ28" s="187"/>
      <c r="CA28" s="188"/>
    </row>
    <row r="29" spans="1:79" ht="12" customHeight="1" thickBot="1">
      <c r="A29" s="566"/>
      <c r="B29" s="566"/>
      <c r="C29" s="566"/>
      <c r="D29" s="566"/>
      <c r="E29" s="566"/>
      <c r="F29" s="568"/>
      <c r="G29" s="568"/>
      <c r="H29" s="568"/>
      <c r="I29" s="568"/>
      <c r="J29" s="568"/>
      <c r="K29" s="568"/>
      <c r="L29" s="568"/>
      <c r="M29" s="568"/>
      <c r="N29" s="568"/>
      <c r="O29" s="568"/>
      <c r="P29" s="572"/>
      <c r="Q29" s="573"/>
      <c r="R29" s="573"/>
      <c r="S29" s="573"/>
      <c r="T29" s="573"/>
      <c r="U29" s="574"/>
      <c r="V29" s="575"/>
      <c r="W29" s="575"/>
      <c r="X29" s="575"/>
      <c r="Y29" s="575"/>
      <c r="Z29" s="575"/>
      <c r="AA29" s="575"/>
      <c r="AB29" s="579"/>
      <c r="AC29" s="580"/>
      <c r="AD29" s="580"/>
      <c r="AE29" s="580"/>
      <c r="AF29" s="580"/>
      <c r="AG29" s="581"/>
      <c r="AH29" s="579"/>
      <c r="AI29" s="580"/>
      <c r="AJ29" s="580"/>
      <c r="AK29" s="580"/>
      <c r="AL29" s="581"/>
      <c r="AM29" s="585"/>
      <c r="AN29" s="586"/>
      <c r="AO29" s="586"/>
      <c r="AP29" s="586"/>
      <c r="AQ29" s="586"/>
      <c r="AR29" s="586"/>
      <c r="AS29" s="587"/>
      <c r="AT29" s="585"/>
      <c r="AU29" s="586"/>
      <c r="AV29" s="586"/>
      <c r="AW29" s="586"/>
      <c r="AX29" s="586"/>
      <c r="AY29" s="586"/>
      <c r="AZ29" s="586"/>
      <c r="BA29" s="586"/>
      <c r="BB29" s="586"/>
      <c r="BC29" s="586"/>
      <c r="BD29" s="586"/>
      <c r="BE29" s="586"/>
      <c r="BF29" s="586"/>
      <c r="BG29" s="586"/>
      <c r="BH29" s="586"/>
      <c r="BI29" s="586"/>
      <c r="BJ29" s="586"/>
      <c r="BK29" s="586"/>
      <c r="BL29" s="586"/>
      <c r="BM29" s="586"/>
      <c r="BN29" s="586"/>
      <c r="BO29" s="586"/>
      <c r="BP29" s="587"/>
      <c r="BQ29" s="191" t="s">
        <v>14</v>
      </c>
      <c r="BR29" s="191"/>
      <c r="BS29" s="191"/>
      <c r="BT29" s="191"/>
      <c r="BU29" s="192">
        <f ca="1">改版履歴!$CM$4</f>
        <v>46055</v>
      </c>
      <c r="BV29" s="192"/>
      <c r="BW29" s="192"/>
      <c r="BX29" s="192"/>
      <c r="BY29" s="563"/>
      <c r="BZ29" s="563"/>
      <c r="CA29" s="564"/>
    </row>
    <row r="30" spans="1:79" ht="12" customHeight="1" thickBot="1"/>
    <row r="31" spans="1:79" ht="12" customHeight="1" thickBot="1">
      <c r="A31" s="217" t="s">
        <v>0</v>
      </c>
      <c r="B31" s="217"/>
      <c r="C31" s="217"/>
      <c r="D31" s="217"/>
      <c r="E31" s="217"/>
      <c r="F31" s="207" t="s">
        <v>1</v>
      </c>
      <c r="G31" s="207"/>
      <c r="H31" s="207"/>
      <c r="I31" s="207"/>
      <c r="J31" s="207"/>
      <c r="K31" s="207" t="s">
        <v>2</v>
      </c>
      <c r="L31" s="207"/>
      <c r="M31" s="207"/>
      <c r="N31" s="207"/>
      <c r="O31" s="207"/>
      <c r="P31" s="221" t="s">
        <v>3</v>
      </c>
      <c r="Q31" s="221"/>
      <c r="R31" s="221"/>
      <c r="S31" s="221"/>
      <c r="T31" s="221"/>
      <c r="U31" s="221"/>
      <c r="V31" s="221" t="s">
        <v>108</v>
      </c>
      <c r="W31" s="221"/>
      <c r="X31" s="221"/>
      <c r="Y31" s="221"/>
      <c r="Z31" s="221"/>
      <c r="AA31" s="221"/>
      <c r="AB31" s="221" t="s">
        <v>4</v>
      </c>
      <c r="AC31" s="222"/>
      <c r="AD31" s="222"/>
      <c r="AE31" s="222"/>
      <c r="AF31" s="222"/>
      <c r="AG31" s="223"/>
      <c r="AH31" s="221" t="s">
        <v>5</v>
      </c>
      <c r="AI31" s="222"/>
      <c r="AJ31" s="222"/>
      <c r="AK31" s="222"/>
      <c r="AL31" s="223"/>
      <c r="AM31" s="221" t="s">
        <v>109</v>
      </c>
      <c r="AN31" s="222"/>
      <c r="AO31" s="222"/>
      <c r="AP31" s="222"/>
      <c r="AQ31" s="222"/>
      <c r="AR31" s="222"/>
      <c r="AS31" s="223"/>
      <c r="AT31" s="221" t="s">
        <v>7</v>
      </c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3"/>
      <c r="BQ31" s="205" t="s">
        <v>8</v>
      </c>
      <c r="BR31" s="205"/>
      <c r="BS31" s="205"/>
      <c r="BT31" s="205"/>
      <c r="BU31" s="206" t="str">
        <f>改版履歴!$CM$1</f>
        <v>CITS李（佳）</v>
      </c>
      <c r="BV31" s="206"/>
      <c r="BW31" s="206"/>
      <c r="BX31" s="206"/>
      <c r="BY31" s="207" t="s">
        <v>9</v>
      </c>
      <c r="BZ31" s="207"/>
      <c r="CA31" s="588"/>
    </row>
    <row r="32" spans="1:79" ht="12" customHeight="1">
      <c r="A32" s="217"/>
      <c r="B32" s="217"/>
      <c r="C32" s="217"/>
      <c r="D32" s="217"/>
      <c r="E32" s="21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7"/>
      <c r="AC32" s="228"/>
      <c r="AD32" s="228"/>
      <c r="AE32" s="228"/>
      <c r="AF32" s="228"/>
      <c r="AG32" s="229"/>
      <c r="AH32" s="227"/>
      <c r="AI32" s="228"/>
      <c r="AJ32" s="228"/>
      <c r="AK32" s="228"/>
      <c r="AL32" s="229"/>
      <c r="AM32" s="227"/>
      <c r="AN32" s="228"/>
      <c r="AO32" s="228"/>
      <c r="AP32" s="228"/>
      <c r="AQ32" s="228"/>
      <c r="AR32" s="228"/>
      <c r="AS32" s="229"/>
      <c r="AT32" s="227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9"/>
      <c r="BQ32" s="213" t="s">
        <v>10</v>
      </c>
      <c r="BR32" s="213"/>
      <c r="BS32" s="213"/>
      <c r="BT32" s="213"/>
      <c r="BU32" s="216">
        <f>改版履歴!$CM$2</f>
        <v>45918</v>
      </c>
      <c r="BV32" s="216"/>
      <c r="BW32" s="216"/>
      <c r="BX32" s="216"/>
      <c r="BY32" s="207"/>
      <c r="BZ32" s="207"/>
      <c r="CA32" s="588"/>
    </row>
    <row r="33" spans="1:79" ht="12" customHeight="1">
      <c r="A33" s="565" t="str">
        <f>改版履歴!$A$3</f>
        <v>NICCS</v>
      </c>
      <c r="B33" s="565"/>
      <c r="C33" s="565"/>
      <c r="D33" s="565"/>
      <c r="E33" s="565"/>
      <c r="F33" s="567" t="str">
        <f>改版履歴!$H$3</f>
        <v>マスタ</v>
      </c>
      <c r="G33" s="567"/>
      <c r="H33" s="567"/>
      <c r="I33" s="567"/>
      <c r="J33" s="567"/>
      <c r="K33" s="567" t="str">
        <f>改版履歴!$O$3</f>
        <v>内部設計</v>
      </c>
      <c r="L33" s="567"/>
      <c r="M33" s="567"/>
      <c r="N33" s="567"/>
      <c r="O33" s="567"/>
      <c r="P33" s="569" t="str">
        <f>改版履歴!$W$3</f>
        <v>画面設計書</v>
      </c>
      <c r="Q33" s="570"/>
      <c r="R33" s="570"/>
      <c r="S33" s="570"/>
      <c r="T33" s="570"/>
      <c r="U33" s="571"/>
      <c r="V33" s="199" t="s">
        <v>116</v>
      </c>
      <c r="W33" s="199"/>
      <c r="X33" s="199"/>
      <c r="Y33" s="199"/>
      <c r="Z33" s="199"/>
      <c r="AA33" s="199"/>
      <c r="AB33" s="576" t="str">
        <f>改版履歴!$AF$3</f>
        <v>一般マスタ管理</v>
      </c>
      <c r="AC33" s="577"/>
      <c r="AD33" s="577"/>
      <c r="AE33" s="577"/>
      <c r="AF33" s="577"/>
      <c r="AG33" s="578"/>
      <c r="AH33" s="576" t="str">
        <f>改版履歴!$AU$3</f>
        <v>MTI350</v>
      </c>
      <c r="AI33" s="577"/>
      <c r="AJ33" s="577"/>
      <c r="AK33" s="577"/>
      <c r="AL33" s="578"/>
      <c r="AM33" s="582" t="str">
        <f>改版履歴!$BB$3</f>
        <v>MTI350S01B02</v>
      </c>
      <c r="AN33" s="583"/>
      <c r="AO33" s="583"/>
      <c r="AP33" s="583"/>
      <c r="AQ33" s="583"/>
      <c r="AR33" s="583"/>
      <c r="AS33" s="584"/>
      <c r="AT33" s="582" t="str">
        <f>改版履歴!$BL$3</f>
        <v>汎用テーブル詳細（登録）</v>
      </c>
      <c r="AU33" s="583"/>
      <c r="AV33" s="583"/>
      <c r="AW33" s="583"/>
      <c r="AX33" s="583"/>
      <c r="AY33" s="583"/>
      <c r="AZ33" s="583"/>
      <c r="BA33" s="583"/>
      <c r="BB33" s="583"/>
      <c r="BC33" s="583"/>
      <c r="BD33" s="583"/>
      <c r="BE33" s="583"/>
      <c r="BF33" s="583"/>
      <c r="BG33" s="583"/>
      <c r="BH33" s="583"/>
      <c r="BI33" s="583"/>
      <c r="BJ33" s="583"/>
      <c r="BK33" s="583"/>
      <c r="BL33" s="583"/>
      <c r="BM33" s="583"/>
      <c r="BN33" s="583"/>
      <c r="BO33" s="583"/>
      <c r="BP33" s="584"/>
      <c r="BQ33" s="185" t="s">
        <v>13</v>
      </c>
      <c r="BR33" s="185"/>
      <c r="BS33" s="185"/>
      <c r="BT33" s="185"/>
      <c r="BU33" s="186" t="str">
        <f ca="1">改版履歴!$CM$3</f>
        <v>CITS佐藤</v>
      </c>
      <c r="BV33" s="186"/>
      <c r="BW33" s="186"/>
      <c r="BX33" s="186"/>
      <c r="BY33" s="187">
        <f ca="1">改版履歴!$CQ$3</f>
        <v>1</v>
      </c>
      <c r="BZ33" s="187"/>
      <c r="CA33" s="188"/>
    </row>
    <row r="34" spans="1:79" ht="12" customHeight="1" thickBot="1">
      <c r="A34" s="566"/>
      <c r="B34" s="566"/>
      <c r="C34" s="566"/>
      <c r="D34" s="566"/>
      <c r="E34" s="566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72"/>
      <c r="Q34" s="573"/>
      <c r="R34" s="573"/>
      <c r="S34" s="573"/>
      <c r="T34" s="573"/>
      <c r="U34" s="574"/>
      <c r="V34" s="575"/>
      <c r="W34" s="575"/>
      <c r="X34" s="575"/>
      <c r="Y34" s="575"/>
      <c r="Z34" s="575"/>
      <c r="AA34" s="575"/>
      <c r="AB34" s="579"/>
      <c r="AC34" s="580"/>
      <c r="AD34" s="580"/>
      <c r="AE34" s="580"/>
      <c r="AF34" s="580"/>
      <c r="AG34" s="581"/>
      <c r="AH34" s="579"/>
      <c r="AI34" s="580"/>
      <c r="AJ34" s="580"/>
      <c r="AK34" s="580"/>
      <c r="AL34" s="581"/>
      <c r="AM34" s="585"/>
      <c r="AN34" s="586"/>
      <c r="AO34" s="586"/>
      <c r="AP34" s="586"/>
      <c r="AQ34" s="586"/>
      <c r="AR34" s="586"/>
      <c r="AS34" s="587"/>
      <c r="AT34" s="585"/>
      <c r="AU34" s="586"/>
      <c r="AV34" s="586"/>
      <c r="AW34" s="586"/>
      <c r="AX34" s="586"/>
      <c r="AY34" s="586"/>
      <c r="AZ34" s="586"/>
      <c r="BA34" s="586"/>
      <c r="BB34" s="586"/>
      <c r="BC34" s="586"/>
      <c r="BD34" s="586"/>
      <c r="BE34" s="586"/>
      <c r="BF34" s="586"/>
      <c r="BG34" s="586"/>
      <c r="BH34" s="586"/>
      <c r="BI34" s="586"/>
      <c r="BJ34" s="586"/>
      <c r="BK34" s="586"/>
      <c r="BL34" s="586"/>
      <c r="BM34" s="586"/>
      <c r="BN34" s="586"/>
      <c r="BO34" s="586"/>
      <c r="BP34" s="587"/>
      <c r="BQ34" s="191" t="s">
        <v>14</v>
      </c>
      <c r="BR34" s="191"/>
      <c r="BS34" s="191"/>
      <c r="BT34" s="191"/>
      <c r="BU34" s="192">
        <f ca="1">改版履歴!$CM$4</f>
        <v>46055</v>
      </c>
      <c r="BV34" s="192"/>
      <c r="BW34" s="192"/>
      <c r="BX34" s="192"/>
      <c r="BY34" s="563"/>
      <c r="BZ34" s="563"/>
      <c r="CA34" s="564"/>
    </row>
    <row r="35" spans="1:79" ht="12" customHeight="1" thickBot="1"/>
    <row r="36" spans="1:79" ht="12" customHeight="1" thickBot="1">
      <c r="A36" s="217" t="s">
        <v>0</v>
      </c>
      <c r="B36" s="217"/>
      <c r="C36" s="217"/>
      <c r="D36" s="217"/>
      <c r="E36" s="217"/>
      <c r="F36" s="207" t="s">
        <v>1</v>
      </c>
      <c r="G36" s="207"/>
      <c r="H36" s="207"/>
      <c r="I36" s="207"/>
      <c r="J36" s="207"/>
      <c r="K36" s="207" t="s">
        <v>2</v>
      </c>
      <c r="L36" s="207"/>
      <c r="M36" s="207"/>
      <c r="N36" s="207"/>
      <c r="O36" s="207"/>
      <c r="P36" s="221" t="s">
        <v>3</v>
      </c>
      <c r="Q36" s="221"/>
      <c r="R36" s="221"/>
      <c r="S36" s="221"/>
      <c r="T36" s="221"/>
      <c r="U36" s="221"/>
      <c r="V36" s="221" t="s">
        <v>108</v>
      </c>
      <c r="W36" s="221"/>
      <c r="X36" s="221"/>
      <c r="Y36" s="221"/>
      <c r="Z36" s="221"/>
      <c r="AA36" s="221"/>
      <c r="AB36" s="221" t="s">
        <v>4</v>
      </c>
      <c r="AC36" s="222"/>
      <c r="AD36" s="222"/>
      <c r="AE36" s="222"/>
      <c r="AF36" s="222"/>
      <c r="AG36" s="223"/>
      <c r="AH36" s="221" t="s">
        <v>5</v>
      </c>
      <c r="AI36" s="222"/>
      <c r="AJ36" s="222"/>
      <c r="AK36" s="222"/>
      <c r="AL36" s="223"/>
      <c r="AM36" s="221" t="s">
        <v>109</v>
      </c>
      <c r="AN36" s="222"/>
      <c r="AO36" s="222"/>
      <c r="AP36" s="222"/>
      <c r="AQ36" s="222"/>
      <c r="AR36" s="222"/>
      <c r="AS36" s="223"/>
      <c r="AT36" s="221" t="s">
        <v>7</v>
      </c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3"/>
      <c r="BQ36" s="205" t="s">
        <v>8</v>
      </c>
      <c r="BR36" s="205"/>
      <c r="BS36" s="205"/>
      <c r="BT36" s="205"/>
      <c r="BU36" s="206" t="str">
        <f>改版履歴!$CM$1</f>
        <v>CITS李（佳）</v>
      </c>
      <c r="BV36" s="206"/>
      <c r="BW36" s="206"/>
      <c r="BX36" s="206"/>
      <c r="BY36" s="207" t="s">
        <v>9</v>
      </c>
      <c r="BZ36" s="207"/>
      <c r="CA36" s="588"/>
    </row>
    <row r="37" spans="1:79" ht="12" customHeight="1">
      <c r="A37" s="217"/>
      <c r="B37" s="217"/>
      <c r="C37" s="217"/>
      <c r="D37" s="217"/>
      <c r="E37" s="21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7"/>
      <c r="AC37" s="228"/>
      <c r="AD37" s="228"/>
      <c r="AE37" s="228"/>
      <c r="AF37" s="228"/>
      <c r="AG37" s="229"/>
      <c r="AH37" s="227"/>
      <c r="AI37" s="228"/>
      <c r="AJ37" s="228"/>
      <c r="AK37" s="228"/>
      <c r="AL37" s="229"/>
      <c r="AM37" s="227"/>
      <c r="AN37" s="228"/>
      <c r="AO37" s="228"/>
      <c r="AP37" s="228"/>
      <c r="AQ37" s="228"/>
      <c r="AR37" s="228"/>
      <c r="AS37" s="229"/>
      <c r="AT37" s="227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9"/>
      <c r="BQ37" s="213" t="s">
        <v>10</v>
      </c>
      <c r="BR37" s="213"/>
      <c r="BS37" s="213"/>
      <c r="BT37" s="213"/>
      <c r="BU37" s="216">
        <f>改版履歴!$CM$2</f>
        <v>45918</v>
      </c>
      <c r="BV37" s="216"/>
      <c r="BW37" s="216"/>
      <c r="BX37" s="216"/>
      <c r="BY37" s="207"/>
      <c r="BZ37" s="207"/>
      <c r="CA37" s="588"/>
    </row>
    <row r="38" spans="1:79" ht="12" customHeight="1">
      <c r="A38" s="565" t="str">
        <f>改版履歴!$A$3</f>
        <v>NICCS</v>
      </c>
      <c r="B38" s="565"/>
      <c r="C38" s="565"/>
      <c r="D38" s="565"/>
      <c r="E38" s="565"/>
      <c r="F38" s="567" t="str">
        <f>改版履歴!$H$3</f>
        <v>マスタ</v>
      </c>
      <c r="G38" s="567"/>
      <c r="H38" s="567"/>
      <c r="I38" s="567"/>
      <c r="J38" s="567"/>
      <c r="K38" s="567" t="str">
        <f>改版履歴!$O$3</f>
        <v>内部設計</v>
      </c>
      <c r="L38" s="567"/>
      <c r="M38" s="567"/>
      <c r="N38" s="567"/>
      <c r="O38" s="567"/>
      <c r="P38" s="569" t="str">
        <f>改版履歴!$W$3</f>
        <v>画面設計書</v>
      </c>
      <c r="Q38" s="570"/>
      <c r="R38" s="570"/>
      <c r="S38" s="570"/>
      <c r="T38" s="570"/>
      <c r="U38" s="571"/>
      <c r="V38" s="199" t="s">
        <v>117</v>
      </c>
      <c r="W38" s="199"/>
      <c r="X38" s="199"/>
      <c r="Y38" s="199"/>
      <c r="Z38" s="199"/>
      <c r="AA38" s="199"/>
      <c r="AB38" s="576" t="str">
        <f>改版履歴!$AF$3</f>
        <v>一般マスタ管理</v>
      </c>
      <c r="AC38" s="577"/>
      <c r="AD38" s="577"/>
      <c r="AE38" s="577"/>
      <c r="AF38" s="577"/>
      <c r="AG38" s="578"/>
      <c r="AH38" s="576" t="str">
        <f>改版履歴!$AU$3</f>
        <v>MTI350</v>
      </c>
      <c r="AI38" s="577"/>
      <c r="AJ38" s="577"/>
      <c r="AK38" s="577"/>
      <c r="AL38" s="578"/>
      <c r="AM38" s="582" t="str">
        <f>改版履歴!$BB$3</f>
        <v>MTI350S01B02</v>
      </c>
      <c r="AN38" s="583"/>
      <c r="AO38" s="583"/>
      <c r="AP38" s="583"/>
      <c r="AQ38" s="583"/>
      <c r="AR38" s="583"/>
      <c r="AS38" s="584"/>
      <c r="AT38" s="582" t="str">
        <f>改版履歴!$BL$3</f>
        <v>汎用テーブル詳細（登録）</v>
      </c>
      <c r="AU38" s="583"/>
      <c r="AV38" s="583"/>
      <c r="AW38" s="583"/>
      <c r="AX38" s="583"/>
      <c r="AY38" s="583"/>
      <c r="AZ38" s="583"/>
      <c r="BA38" s="583"/>
      <c r="BB38" s="583"/>
      <c r="BC38" s="583"/>
      <c r="BD38" s="583"/>
      <c r="BE38" s="583"/>
      <c r="BF38" s="583"/>
      <c r="BG38" s="583"/>
      <c r="BH38" s="583"/>
      <c r="BI38" s="583"/>
      <c r="BJ38" s="583"/>
      <c r="BK38" s="583"/>
      <c r="BL38" s="583"/>
      <c r="BM38" s="583"/>
      <c r="BN38" s="583"/>
      <c r="BO38" s="583"/>
      <c r="BP38" s="584"/>
      <c r="BQ38" s="185" t="s">
        <v>13</v>
      </c>
      <c r="BR38" s="185"/>
      <c r="BS38" s="185"/>
      <c r="BT38" s="185"/>
      <c r="BU38" s="186" t="str">
        <f ca="1">改版履歴!$CM$3</f>
        <v>CITS佐藤</v>
      </c>
      <c r="BV38" s="186"/>
      <c r="BW38" s="186"/>
      <c r="BX38" s="186"/>
      <c r="BY38" s="187">
        <f ca="1">改版履歴!$CQ$3</f>
        <v>1</v>
      </c>
      <c r="BZ38" s="187"/>
      <c r="CA38" s="188"/>
    </row>
    <row r="39" spans="1:79" ht="12" customHeight="1" thickBot="1">
      <c r="A39" s="566"/>
      <c r="B39" s="566"/>
      <c r="C39" s="566"/>
      <c r="D39" s="566"/>
      <c r="E39" s="566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72"/>
      <c r="Q39" s="573"/>
      <c r="R39" s="573"/>
      <c r="S39" s="573"/>
      <c r="T39" s="573"/>
      <c r="U39" s="574"/>
      <c r="V39" s="575"/>
      <c r="W39" s="575"/>
      <c r="X39" s="575"/>
      <c r="Y39" s="575"/>
      <c r="Z39" s="575"/>
      <c r="AA39" s="575"/>
      <c r="AB39" s="579"/>
      <c r="AC39" s="580"/>
      <c r="AD39" s="580"/>
      <c r="AE39" s="580"/>
      <c r="AF39" s="580"/>
      <c r="AG39" s="581"/>
      <c r="AH39" s="579"/>
      <c r="AI39" s="580"/>
      <c r="AJ39" s="580"/>
      <c r="AK39" s="580"/>
      <c r="AL39" s="581"/>
      <c r="AM39" s="585"/>
      <c r="AN39" s="586"/>
      <c r="AO39" s="586"/>
      <c r="AP39" s="586"/>
      <c r="AQ39" s="586"/>
      <c r="AR39" s="586"/>
      <c r="AS39" s="587"/>
      <c r="AT39" s="585"/>
      <c r="AU39" s="586"/>
      <c r="AV39" s="586"/>
      <c r="AW39" s="586"/>
      <c r="AX39" s="586"/>
      <c r="AY39" s="586"/>
      <c r="AZ39" s="586"/>
      <c r="BA39" s="586"/>
      <c r="BB39" s="586"/>
      <c r="BC39" s="586"/>
      <c r="BD39" s="586"/>
      <c r="BE39" s="586"/>
      <c r="BF39" s="586"/>
      <c r="BG39" s="586"/>
      <c r="BH39" s="586"/>
      <c r="BI39" s="586"/>
      <c r="BJ39" s="586"/>
      <c r="BK39" s="586"/>
      <c r="BL39" s="586"/>
      <c r="BM39" s="586"/>
      <c r="BN39" s="586"/>
      <c r="BO39" s="586"/>
      <c r="BP39" s="587"/>
      <c r="BQ39" s="191" t="s">
        <v>14</v>
      </c>
      <c r="BR39" s="191"/>
      <c r="BS39" s="191"/>
      <c r="BT39" s="191"/>
      <c r="BU39" s="192">
        <f ca="1">改版履歴!$CM$4</f>
        <v>46055</v>
      </c>
      <c r="BV39" s="192"/>
      <c r="BW39" s="192"/>
      <c r="BX39" s="192"/>
      <c r="BY39" s="563"/>
      <c r="BZ39" s="563"/>
      <c r="CA39" s="564"/>
    </row>
    <row r="40" spans="1:79" ht="12" customHeight="1" thickBot="1"/>
    <row r="41" spans="1:79" ht="12" customHeight="1" thickBot="1">
      <c r="A41" s="217" t="s">
        <v>0</v>
      </c>
      <c r="B41" s="217"/>
      <c r="C41" s="217"/>
      <c r="D41" s="217"/>
      <c r="E41" s="217"/>
      <c r="F41" s="207" t="s">
        <v>1</v>
      </c>
      <c r="G41" s="207"/>
      <c r="H41" s="207"/>
      <c r="I41" s="207"/>
      <c r="J41" s="207"/>
      <c r="K41" s="207" t="s">
        <v>2</v>
      </c>
      <c r="L41" s="207"/>
      <c r="M41" s="207"/>
      <c r="N41" s="207"/>
      <c r="O41" s="207"/>
      <c r="P41" s="221" t="s">
        <v>3</v>
      </c>
      <c r="Q41" s="221"/>
      <c r="R41" s="221"/>
      <c r="S41" s="221"/>
      <c r="T41" s="221"/>
      <c r="U41" s="221"/>
      <c r="V41" s="221" t="s">
        <v>108</v>
      </c>
      <c r="W41" s="221"/>
      <c r="X41" s="221"/>
      <c r="Y41" s="221"/>
      <c r="Z41" s="221"/>
      <c r="AA41" s="221"/>
      <c r="AB41" s="221" t="s">
        <v>4</v>
      </c>
      <c r="AC41" s="222"/>
      <c r="AD41" s="222"/>
      <c r="AE41" s="222"/>
      <c r="AF41" s="222"/>
      <c r="AG41" s="223"/>
      <c r="AH41" s="221" t="s">
        <v>5</v>
      </c>
      <c r="AI41" s="222"/>
      <c r="AJ41" s="222"/>
      <c r="AK41" s="222"/>
      <c r="AL41" s="223"/>
      <c r="AM41" s="221" t="s">
        <v>109</v>
      </c>
      <c r="AN41" s="222"/>
      <c r="AO41" s="222"/>
      <c r="AP41" s="222"/>
      <c r="AQ41" s="222"/>
      <c r="AR41" s="222"/>
      <c r="AS41" s="223"/>
      <c r="AT41" s="221" t="s">
        <v>7</v>
      </c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3"/>
      <c r="BQ41" s="205" t="s">
        <v>8</v>
      </c>
      <c r="BR41" s="205"/>
      <c r="BS41" s="205"/>
      <c r="BT41" s="205"/>
      <c r="BU41" s="206" t="str">
        <f>改版履歴!$CM$1</f>
        <v>CITS李（佳）</v>
      </c>
      <c r="BV41" s="206"/>
      <c r="BW41" s="206"/>
      <c r="BX41" s="206"/>
      <c r="BY41" s="207" t="s">
        <v>9</v>
      </c>
      <c r="BZ41" s="207"/>
      <c r="CA41" s="588"/>
    </row>
    <row r="42" spans="1:79" ht="12" customHeight="1">
      <c r="A42" s="217"/>
      <c r="B42" s="217"/>
      <c r="C42" s="217"/>
      <c r="D42" s="217"/>
      <c r="E42" s="21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7"/>
      <c r="AC42" s="228"/>
      <c r="AD42" s="228"/>
      <c r="AE42" s="228"/>
      <c r="AF42" s="228"/>
      <c r="AG42" s="229"/>
      <c r="AH42" s="227"/>
      <c r="AI42" s="228"/>
      <c r="AJ42" s="228"/>
      <c r="AK42" s="228"/>
      <c r="AL42" s="229"/>
      <c r="AM42" s="227"/>
      <c r="AN42" s="228"/>
      <c r="AO42" s="228"/>
      <c r="AP42" s="228"/>
      <c r="AQ42" s="228"/>
      <c r="AR42" s="228"/>
      <c r="AS42" s="229"/>
      <c r="AT42" s="227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9"/>
      <c r="BQ42" s="213" t="s">
        <v>10</v>
      </c>
      <c r="BR42" s="213"/>
      <c r="BS42" s="213"/>
      <c r="BT42" s="213"/>
      <c r="BU42" s="216">
        <f>改版履歴!$CM$2</f>
        <v>45918</v>
      </c>
      <c r="BV42" s="216"/>
      <c r="BW42" s="216"/>
      <c r="BX42" s="216"/>
      <c r="BY42" s="207"/>
      <c r="BZ42" s="207"/>
      <c r="CA42" s="588"/>
    </row>
    <row r="43" spans="1:79" ht="12" customHeight="1">
      <c r="A43" s="565" t="str">
        <f>改版履歴!$A$3</f>
        <v>NICCS</v>
      </c>
      <c r="B43" s="565"/>
      <c r="C43" s="565"/>
      <c r="D43" s="565"/>
      <c r="E43" s="565"/>
      <c r="F43" s="567" t="str">
        <f>改版履歴!$H$3</f>
        <v>マスタ</v>
      </c>
      <c r="G43" s="567"/>
      <c r="H43" s="567"/>
      <c r="I43" s="567"/>
      <c r="J43" s="567"/>
      <c r="K43" s="567" t="str">
        <f>改版履歴!$O$3</f>
        <v>内部設計</v>
      </c>
      <c r="L43" s="567"/>
      <c r="M43" s="567"/>
      <c r="N43" s="567"/>
      <c r="O43" s="567"/>
      <c r="P43" s="569" t="str">
        <f>改版履歴!$W$3</f>
        <v>画面設計書</v>
      </c>
      <c r="Q43" s="570"/>
      <c r="R43" s="570"/>
      <c r="S43" s="570"/>
      <c r="T43" s="570"/>
      <c r="U43" s="571"/>
      <c r="V43" s="199" t="s">
        <v>118</v>
      </c>
      <c r="W43" s="199"/>
      <c r="X43" s="199"/>
      <c r="Y43" s="199"/>
      <c r="Z43" s="199"/>
      <c r="AA43" s="199"/>
      <c r="AB43" s="576" t="str">
        <f>改版履歴!$AF$3</f>
        <v>一般マスタ管理</v>
      </c>
      <c r="AC43" s="577"/>
      <c r="AD43" s="577"/>
      <c r="AE43" s="577"/>
      <c r="AF43" s="577"/>
      <c r="AG43" s="578"/>
      <c r="AH43" s="576" t="str">
        <f>改版履歴!$AU$3</f>
        <v>MTI350</v>
      </c>
      <c r="AI43" s="577"/>
      <c r="AJ43" s="577"/>
      <c r="AK43" s="577"/>
      <c r="AL43" s="578"/>
      <c r="AM43" s="582" t="str">
        <f>改版履歴!$BB$3</f>
        <v>MTI350S01B02</v>
      </c>
      <c r="AN43" s="583"/>
      <c r="AO43" s="583"/>
      <c r="AP43" s="583"/>
      <c r="AQ43" s="583"/>
      <c r="AR43" s="583"/>
      <c r="AS43" s="584"/>
      <c r="AT43" s="582" t="str">
        <f>改版履歴!$BL$3</f>
        <v>汎用テーブル詳細（登録）</v>
      </c>
      <c r="AU43" s="583"/>
      <c r="AV43" s="583"/>
      <c r="AW43" s="583"/>
      <c r="AX43" s="583"/>
      <c r="AY43" s="583"/>
      <c r="AZ43" s="583"/>
      <c r="BA43" s="583"/>
      <c r="BB43" s="583"/>
      <c r="BC43" s="583"/>
      <c r="BD43" s="583"/>
      <c r="BE43" s="583"/>
      <c r="BF43" s="583"/>
      <c r="BG43" s="583"/>
      <c r="BH43" s="583"/>
      <c r="BI43" s="583"/>
      <c r="BJ43" s="583"/>
      <c r="BK43" s="583"/>
      <c r="BL43" s="583"/>
      <c r="BM43" s="583"/>
      <c r="BN43" s="583"/>
      <c r="BO43" s="583"/>
      <c r="BP43" s="584"/>
      <c r="BQ43" s="185" t="s">
        <v>13</v>
      </c>
      <c r="BR43" s="185"/>
      <c r="BS43" s="185"/>
      <c r="BT43" s="185"/>
      <c r="BU43" s="186" t="str">
        <f ca="1">改版履歴!$CM$3</f>
        <v>CITS佐藤</v>
      </c>
      <c r="BV43" s="186"/>
      <c r="BW43" s="186"/>
      <c r="BX43" s="186"/>
      <c r="BY43" s="187">
        <f ca="1">改版履歴!$CQ$3</f>
        <v>1</v>
      </c>
      <c r="BZ43" s="187"/>
      <c r="CA43" s="188"/>
    </row>
    <row r="44" spans="1:79" ht="12" customHeight="1" thickBot="1">
      <c r="A44" s="566"/>
      <c r="B44" s="566"/>
      <c r="C44" s="566"/>
      <c r="D44" s="566"/>
      <c r="E44" s="566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72"/>
      <c r="Q44" s="573"/>
      <c r="R44" s="573"/>
      <c r="S44" s="573"/>
      <c r="T44" s="573"/>
      <c r="U44" s="574"/>
      <c r="V44" s="575"/>
      <c r="W44" s="575"/>
      <c r="X44" s="575"/>
      <c r="Y44" s="575"/>
      <c r="Z44" s="575"/>
      <c r="AA44" s="575"/>
      <c r="AB44" s="579"/>
      <c r="AC44" s="580"/>
      <c r="AD44" s="580"/>
      <c r="AE44" s="580"/>
      <c r="AF44" s="580"/>
      <c r="AG44" s="581"/>
      <c r="AH44" s="579"/>
      <c r="AI44" s="580"/>
      <c r="AJ44" s="580"/>
      <c r="AK44" s="580"/>
      <c r="AL44" s="581"/>
      <c r="AM44" s="585"/>
      <c r="AN44" s="586"/>
      <c r="AO44" s="586"/>
      <c r="AP44" s="586"/>
      <c r="AQ44" s="586"/>
      <c r="AR44" s="586"/>
      <c r="AS44" s="587"/>
      <c r="AT44" s="585"/>
      <c r="AU44" s="586"/>
      <c r="AV44" s="586"/>
      <c r="AW44" s="586"/>
      <c r="AX44" s="586"/>
      <c r="AY44" s="586"/>
      <c r="AZ44" s="586"/>
      <c r="BA44" s="586"/>
      <c r="BB44" s="586"/>
      <c r="BC44" s="586"/>
      <c r="BD44" s="586"/>
      <c r="BE44" s="586"/>
      <c r="BF44" s="586"/>
      <c r="BG44" s="586"/>
      <c r="BH44" s="586"/>
      <c r="BI44" s="586"/>
      <c r="BJ44" s="586"/>
      <c r="BK44" s="586"/>
      <c r="BL44" s="586"/>
      <c r="BM44" s="586"/>
      <c r="BN44" s="586"/>
      <c r="BO44" s="586"/>
      <c r="BP44" s="587"/>
      <c r="BQ44" s="191" t="s">
        <v>14</v>
      </c>
      <c r="BR44" s="191"/>
      <c r="BS44" s="191"/>
      <c r="BT44" s="191"/>
      <c r="BU44" s="192">
        <f ca="1">改版履歴!$CM$4</f>
        <v>46055</v>
      </c>
      <c r="BV44" s="192"/>
      <c r="BW44" s="192"/>
      <c r="BX44" s="192"/>
      <c r="BY44" s="563"/>
      <c r="BZ44" s="563"/>
      <c r="CA44" s="564"/>
    </row>
  </sheetData>
  <mergeCells count="252">
    <mergeCell ref="BQ1:BT1"/>
    <mergeCell ref="BU1:BX1"/>
    <mergeCell ref="BY1:CA2"/>
    <mergeCell ref="BQ2:BT2"/>
    <mergeCell ref="BU2:BX2"/>
    <mergeCell ref="A3:E4"/>
    <mergeCell ref="F3:J4"/>
    <mergeCell ref="K3:O4"/>
    <mergeCell ref="P3:U4"/>
    <mergeCell ref="V3:AA4"/>
    <mergeCell ref="A1:E2"/>
    <mergeCell ref="F1:J2"/>
    <mergeCell ref="K1:O2"/>
    <mergeCell ref="P1:U2"/>
    <mergeCell ref="V1:AA2"/>
    <mergeCell ref="AB1:AG2"/>
    <mergeCell ref="AH1:AL2"/>
    <mergeCell ref="AM1:AS2"/>
    <mergeCell ref="AT1:BP2"/>
    <mergeCell ref="AB3:AG4"/>
    <mergeCell ref="AH3:AL4"/>
    <mergeCell ref="AM3:AS4"/>
    <mergeCell ref="AT3:BP4"/>
    <mergeCell ref="BQ3:BT3"/>
    <mergeCell ref="BQ8:BT8"/>
    <mergeCell ref="BU8:BX8"/>
    <mergeCell ref="BY8:CA9"/>
    <mergeCell ref="BQ9:BT9"/>
    <mergeCell ref="BU9:BX9"/>
    <mergeCell ref="BQ6:BT6"/>
    <mergeCell ref="BU6:BX6"/>
    <mergeCell ref="BY6:CA7"/>
    <mergeCell ref="BQ7:BT7"/>
    <mergeCell ref="BU7:BX7"/>
    <mergeCell ref="BU3:BX3"/>
    <mergeCell ref="BY3:CA4"/>
    <mergeCell ref="BQ4:BT4"/>
    <mergeCell ref="BU4:BX4"/>
    <mergeCell ref="A6:E7"/>
    <mergeCell ref="F6:J7"/>
    <mergeCell ref="K6:O7"/>
    <mergeCell ref="P6:U7"/>
    <mergeCell ref="V6:AA7"/>
    <mergeCell ref="AB6:AG7"/>
    <mergeCell ref="AH6:AL7"/>
    <mergeCell ref="AM6:AS7"/>
    <mergeCell ref="AT6:BP7"/>
    <mergeCell ref="A8:E9"/>
    <mergeCell ref="F8:J9"/>
    <mergeCell ref="K8:O9"/>
    <mergeCell ref="P8:U9"/>
    <mergeCell ref="V8:AA9"/>
    <mergeCell ref="AB8:AG9"/>
    <mergeCell ref="AH8:AL9"/>
    <mergeCell ref="AM8:AS9"/>
    <mergeCell ref="AT8:BP9"/>
    <mergeCell ref="BQ11:BT11"/>
    <mergeCell ref="BU11:BX11"/>
    <mergeCell ref="BY11:CA12"/>
    <mergeCell ref="BQ12:BT12"/>
    <mergeCell ref="BU12:BX12"/>
    <mergeCell ref="A13:E14"/>
    <mergeCell ref="F13:J14"/>
    <mergeCell ref="K13:O14"/>
    <mergeCell ref="P13:U14"/>
    <mergeCell ref="V13:AA14"/>
    <mergeCell ref="A11:E12"/>
    <mergeCell ref="F11:J12"/>
    <mergeCell ref="K11:O12"/>
    <mergeCell ref="P11:U12"/>
    <mergeCell ref="V11:AA12"/>
    <mergeCell ref="AB11:AG12"/>
    <mergeCell ref="AH11:AL12"/>
    <mergeCell ref="AM11:AS12"/>
    <mergeCell ref="AT11:BP12"/>
    <mergeCell ref="AB13:AG14"/>
    <mergeCell ref="AH13:AL14"/>
    <mergeCell ref="AM13:AS14"/>
    <mergeCell ref="AT13:BP14"/>
    <mergeCell ref="BQ13:BT13"/>
    <mergeCell ref="BQ18:BT18"/>
    <mergeCell ref="BU18:BX18"/>
    <mergeCell ref="BY18:CA19"/>
    <mergeCell ref="BQ19:BT19"/>
    <mergeCell ref="BU19:BX19"/>
    <mergeCell ref="BQ16:BT16"/>
    <mergeCell ref="BU16:BX16"/>
    <mergeCell ref="BY16:CA17"/>
    <mergeCell ref="BQ17:BT17"/>
    <mergeCell ref="BU17:BX17"/>
    <mergeCell ref="BU13:BX13"/>
    <mergeCell ref="BY13:CA14"/>
    <mergeCell ref="BQ14:BT14"/>
    <mergeCell ref="BU14:BX14"/>
    <mergeCell ref="A16:E17"/>
    <mergeCell ref="F16:J17"/>
    <mergeCell ref="K16:O17"/>
    <mergeCell ref="P16:U17"/>
    <mergeCell ref="V16:AA17"/>
    <mergeCell ref="AB16:AG17"/>
    <mergeCell ref="AH16:AL17"/>
    <mergeCell ref="AM16:AS17"/>
    <mergeCell ref="AT16:BP17"/>
    <mergeCell ref="A18:E19"/>
    <mergeCell ref="F18:J19"/>
    <mergeCell ref="K18:O19"/>
    <mergeCell ref="P18:U19"/>
    <mergeCell ref="V18:AA19"/>
    <mergeCell ref="AB18:AG19"/>
    <mergeCell ref="AH18:AL19"/>
    <mergeCell ref="AM18:AS19"/>
    <mergeCell ref="AT18:BP19"/>
    <mergeCell ref="BQ23:BT23"/>
    <mergeCell ref="BU23:BX23"/>
    <mergeCell ref="BY23:CA24"/>
    <mergeCell ref="BQ24:BT24"/>
    <mergeCell ref="BU24:BX24"/>
    <mergeCell ref="A21:E22"/>
    <mergeCell ref="F21:J22"/>
    <mergeCell ref="K21:O22"/>
    <mergeCell ref="P21:U22"/>
    <mergeCell ref="V21:AA22"/>
    <mergeCell ref="AB21:AG22"/>
    <mergeCell ref="AH21:AL22"/>
    <mergeCell ref="AM21:AS22"/>
    <mergeCell ref="AT21:BP22"/>
    <mergeCell ref="BQ21:BT21"/>
    <mergeCell ref="BU21:BX21"/>
    <mergeCell ref="BY21:CA22"/>
    <mergeCell ref="BQ22:BT22"/>
    <mergeCell ref="BU22:BX22"/>
    <mergeCell ref="A23:E24"/>
    <mergeCell ref="F23:J24"/>
    <mergeCell ref="K23:O24"/>
    <mergeCell ref="P23:U24"/>
    <mergeCell ref="V23:AA24"/>
    <mergeCell ref="AB23:AG24"/>
    <mergeCell ref="AH23:AL24"/>
    <mergeCell ref="AM23:AS24"/>
    <mergeCell ref="AT23:BP24"/>
    <mergeCell ref="BQ33:BT33"/>
    <mergeCell ref="BU33:BX33"/>
    <mergeCell ref="BY33:CA34"/>
    <mergeCell ref="BQ34:BT34"/>
    <mergeCell ref="BU34:BX34"/>
    <mergeCell ref="BQ31:BT31"/>
    <mergeCell ref="BU31:BX31"/>
    <mergeCell ref="BY31:CA32"/>
    <mergeCell ref="BQ32:BT32"/>
    <mergeCell ref="BU32:BX32"/>
    <mergeCell ref="AH26:AL27"/>
    <mergeCell ref="AM26:AS27"/>
    <mergeCell ref="AT26:BP27"/>
    <mergeCell ref="BQ26:BT26"/>
    <mergeCell ref="BU26:BX26"/>
    <mergeCell ref="BY26:CA27"/>
    <mergeCell ref="BQ27:BT27"/>
    <mergeCell ref="BU27:BX27"/>
    <mergeCell ref="BQ28:BT28"/>
    <mergeCell ref="BU28:BX28"/>
    <mergeCell ref="A31:E32"/>
    <mergeCell ref="F31:J32"/>
    <mergeCell ref="K31:O32"/>
    <mergeCell ref="P31:U32"/>
    <mergeCell ref="V31:AA32"/>
    <mergeCell ref="AB31:AG32"/>
    <mergeCell ref="AH31:AL32"/>
    <mergeCell ref="AM31:AS32"/>
    <mergeCell ref="AT31:BP32"/>
    <mergeCell ref="A33:E34"/>
    <mergeCell ref="F33:J34"/>
    <mergeCell ref="K33:O34"/>
    <mergeCell ref="P33:U34"/>
    <mergeCell ref="V33:AA34"/>
    <mergeCell ref="AB33:AG34"/>
    <mergeCell ref="AH33:AL34"/>
    <mergeCell ref="AM33:AS34"/>
    <mergeCell ref="AT33:BP34"/>
    <mergeCell ref="BQ36:BT36"/>
    <mergeCell ref="BU36:BX36"/>
    <mergeCell ref="BY36:CA37"/>
    <mergeCell ref="BQ37:BT37"/>
    <mergeCell ref="BU37:BX37"/>
    <mergeCell ref="A38:E39"/>
    <mergeCell ref="F38:J39"/>
    <mergeCell ref="K38:O39"/>
    <mergeCell ref="P38:U39"/>
    <mergeCell ref="V38:AA39"/>
    <mergeCell ref="A36:E37"/>
    <mergeCell ref="F36:J37"/>
    <mergeCell ref="K36:O37"/>
    <mergeCell ref="P36:U37"/>
    <mergeCell ref="V36:AA37"/>
    <mergeCell ref="AB36:AG37"/>
    <mergeCell ref="AH36:AL37"/>
    <mergeCell ref="AM36:AS37"/>
    <mergeCell ref="AT36:BP37"/>
    <mergeCell ref="AB38:AG39"/>
    <mergeCell ref="AH38:AL39"/>
    <mergeCell ref="AM38:AS39"/>
    <mergeCell ref="AT38:BP39"/>
    <mergeCell ref="BQ38:BT38"/>
    <mergeCell ref="BQ43:BT43"/>
    <mergeCell ref="BU43:BX43"/>
    <mergeCell ref="BY43:CA44"/>
    <mergeCell ref="BQ44:BT44"/>
    <mergeCell ref="BU44:BX44"/>
    <mergeCell ref="BQ41:BT41"/>
    <mergeCell ref="BU41:BX41"/>
    <mergeCell ref="BY41:CA42"/>
    <mergeCell ref="BQ42:BT42"/>
    <mergeCell ref="BU42:BX42"/>
    <mergeCell ref="BU38:BX38"/>
    <mergeCell ref="BY38:CA39"/>
    <mergeCell ref="BQ39:BT39"/>
    <mergeCell ref="BU39:BX39"/>
    <mergeCell ref="A41:E42"/>
    <mergeCell ref="F41:J42"/>
    <mergeCell ref="K41:O42"/>
    <mergeCell ref="P41:U42"/>
    <mergeCell ref="V41:AA42"/>
    <mergeCell ref="AB41:AG42"/>
    <mergeCell ref="AH41:AL42"/>
    <mergeCell ref="AM41:AS42"/>
    <mergeCell ref="AT41:BP42"/>
    <mergeCell ref="A43:E44"/>
    <mergeCell ref="F43:J44"/>
    <mergeCell ref="K43:O44"/>
    <mergeCell ref="P43:U44"/>
    <mergeCell ref="V43:AA44"/>
    <mergeCell ref="AB43:AG44"/>
    <mergeCell ref="AH43:AL44"/>
    <mergeCell ref="AM43:AS44"/>
    <mergeCell ref="AT43:BP44"/>
    <mergeCell ref="A26:E27"/>
    <mergeCell ref="F26:J27"/>
    <mergeCell ref="K26:O27"/>
    <mergeCell ref="P26:U27"/>
    <mergeCell ref="V26:AA27"/>
    <mergeCell ref="AB26:AG27"/>
    <mergeCell ref="AH28:AL29"/>
    <mergeCell ref="AM28:AS29"/>
    <mergeCell ref="AT28:BP29"/>
    <mergeCell ref="BY28:CA29"/>
    <mergeCell ref="BQ29:BT29"/>
    <mergeCell ref="BU29:BX29"/>
    <mergeCell ref="A28:E29"/>
    <mergeCell ref="F28:J29"/>
    <mergeCell ref="K28:O29"/>
    <mergeCell ref="P28:U29"/>
    <mergeCell ref="V28:AA29"/>
    <mergeCell ref="AB28:AG29"/>
  </mergeCells>
  <phoneticPr fontId="9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0fd7e-3ae6-4c6f-b2b3-e212599418c7" xsi:nil="true"/>
    <lcf76f155ced4ddcb4097134ff3c332f xmlns="a51bfd30-683f-49fa-b82e-071ebf89ea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939478AB0C3C446B47286A60B224B78" ma:contentTypeVersion="" ma:contentTypeDescription="新しいドキュメントを作成します。" ma:contentTypeScope="" ma:versionID="2ca5208bb23780cddd0020fafe0f0b42">
  <xsd:schema xmlns:xsd="http://www.w3.org/2001/XMLSchema" xmlns:xs="http://www.w3.org/2001/XMLSchema" xmlns:p="http://schemas.microsoft.com/office/2006/metadata/properties" xmlns:ns2="a51bfd30-683f-49fa-b82e-071ebf89eab0" xmlns:ns3="5390fd7e-3ae6-4c6f-b2b3-e212599418c7" targetNamespace="http://schemas.microsoft.com/office/2006/metadata/properties" ma:root="true" ma:fieldsID="985f4c863e1d3c1ad7bab7a937312557" ns2:_="" ns3:_="">
    <xsd:import namespace="a51bfd30-683f-49fa-b82e-071ebf89eab0"/>
    <xsd:import namespace="5390fd7e-3ae6-4c6f-b2b3-e21259941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bfd30-683f-49fa-b82e-071ebf89e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39cf6af-007c-4f7d-a604-462adfc623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0fd7e-3ae6-4c6f-b2b3-e21259941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35FF2F-D0AB-47F1-AC4E-59D525A5128C}" ma:internalName="TaxCatchAll" ma:showField="CatchAllData" ma:web="{d761f607-0a88-4eda-8d17-27d17c0ab3d8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B219C-22B3-4577-A813-3E2540517EB5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5390fd7e-3ae6-4c6f-b2b3-e212599418c7"/>
    <ds:schemaRef ds:uri="a51bfd30-683f-49fa-b82e-071ebf89eab0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F2A95-A58E-456D-9367-1317EE8FA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B9F5E-8689-41E6-ADD8-96465F540E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bfd30-683f-49fa-b82e-071ebf89eab0"/>
    <ds:schemaRef ds:uri="5390fd7e-3ae6-4c6f-b2b3-e21259941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17</vt:i4>
      </vt:variant>
    </vt:vector>
  </HeadingPairs>
  <TitlesOfParts>
    <vt:vector size="29" baseType="lpstr">
      <vt:lpstr>改版履歴</vt:lpstr>
      <vt:lpstr>リスト</vt:lpstr>
      <vt:lpstr>画面定義書</vt:lpstr>
      <vt:lpstr>画面項目説明書</vt:lpstr>
      <vt:lpstr>画面機能定義書</vt:lpstr>
      <vt:lpstr>画面チェック仕様書</vt:lpstr>
      <vt:lpstr>処理機能記述書</vt:lpstr>
      <vt:lpstr>DB設定項目定義_汎用マスタ制御マスタ</vt:lpstr>
      <vt:lpstr>DB設定項目定義_汎用マスタ</vt:lpstr>
      <vt:lpstr>DB設定項目定義_汎用マスタ（履歴）</vt:lpstr>
      <vt:lpstr>補足説明書</vt:lpstr>
      <vt:lpstr>ヘッダ</vt:lpstr>
      <vt:lpstr>画面チェック仕様書!Print_Area</vt:lpstr>
      <vt:lpstr>画面機能定義書!Print_Area</vt:lpstr>
      <vt:lpstr>画面項目説明書!Print_Area</vt:lpstr>
      <vt:lpstr>画面定義書!Print_Area</vt:lpstr>
      <vt:lpstr>改版履歴!Print_Area</vt:lpstr>
      <vt:lpstr>処理機能記述書!Print_Area</vt:lpstr>
      <vt:lpstr>補足説明書!Print_Area</vt:lpstr>
      <vt:lpstr>DB設定項目定義_汎用マスタ!Print_Titles</vt:lpstr>
      <vt:lpstr>'DB設定項目定義_汎用マスタ（履歴）'!Print_Titles</vt:lpstr>
      <vt:lpstr>DB設定項目定義_汎用マスタ制御マスタ!Print_Titles</vt:lpstr>
      <vt:lpstr>画面チェック仕様書!Print_Titles</vt:lpstr>
      <vt:lpstr>画面機能定義書!Print_Titles</vt:lpstr>
      <vt:lpstr>画面項目説明書!Print_Titles</vt:lpstr>
      <vt:lpstr>画面定義書!Print_Titles</vt:lpstr>
      <vt:lpstr>改版履歴!Print_Titles</vt:lpstr>
      <vt:lpstr>処理機能記述書!Print_Titles</vt:lpstr>
      <vt:lpstr>補足説明書!Print_Titles</vt:lpstr>
    </vt:vector>
  </TitlesOfParts>
  <Manager/>
  <Company>キヤノンITソリューションズ株式会社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小村　里奈</dc:creator>
  <cp:keywords/>
  <dc:description/>
  <cp:lastModifiedBy>test</cp:lastModifiedBy>
  <cp:revision/>
  <dcterms:created xsi:type="dcterms:W3CDTF">2016-04-05T06:31:03Z</dcterms:created>
  <dcterms:modified xsi:type="dcterms:W3CDTF">2026-03-18T10:07:36Z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1923b0c3-6be7-4dc7-8f90-7d74ecf392c4</vt:lpwstr>
  </property>
  <property fmtid="{D5CDD505-2E9C-101B-9397-08002B2CF9AE}" pid="3" name="ContentTypeId">
    <vt:lpwstr>0x0101008939478AB0C3C446B47286A60B224B78</vt:lpwstr>
  </property>
  <property fmtid="{D5CDD505-2E9C-101B-9397-08002B2CF9AE}" pid="4" name="Order">
    <vt:r8>1384039000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